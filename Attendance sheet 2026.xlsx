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chabelimousines-my.sharepoint.com/personal/uae_chabe_com/Documents/Bureau/"/>
    </mc:Choice>
  </mc:AlternateContent>
  <xr:revisionPtr revIDLastSave="14376" documentId="8_{3A6B85B3-8E17-4AD0-A297-5A6B58E9823D}" xr6:coauthVersionLast="47" xr6:coauthVersionMax="47" xr10:uidLastSave="{DDB8B512-2FAB-4616-92D5-6797C9A135AB}"/>
  <bookViews>
    <workbookView xWindow="-120" yWindow="-120" windowWidth="51840" windowHeight="21120" firstSheet="2" activeTab="2" xr2:uid="{00000000-000D-0000-FFFF-FFFF00000000}"/>
  </bookViews>
  <sheets>
    <sheet name="JANUARY 2026" sheetId="24" r:id="rId1"/>
    <sheet name="FEBRUARY 2026 " sheetId="26" r:id="rId2"/>
    <sheet name="MARCH 2026" sheetId="27" r:id="rId3"/>
    <sheet name="Sheet1" sheetId="25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5" i="26" l="1"/>
  <c r="BA6" i="26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Z119" i="27" s="1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Z117" i="27" s="1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Z115" i="27" s="1"/>
  <c r="AK114" i="27"/>
  <c r="AY113" i="27"/>
  <c r="AX113" i="27"/>
  <c r="AW113" i="27"/>
  <c r="AV113" i="27"/>
  <c r="AU113" i="27"/>
  <c r="AT113" i="27"/>
  <c r="AS113" i="27"/>
  <c r="AR113" i="27"/>
  <c r="AQ113" i="27"/>
  <c r="AP113" i="27"/>
  <c r="AO113" i="27"/>
  <c r="AN113" i="27"/>
  <c r="AM113" i="27"/>
  <c r="AL113" i="27"/>
  <c r="AK113" i="27"/>
  <c r="AZ113" i="27" s="1"/>
  <c r="AK112" i="27"/>
  <c r="AK141" i="27" s="1"/>
  <c r="AY111" i="27"/>
  <c r="AX111" i="27"/>
  <c r="AW111" i="27"/>
  <c r="AV111" i="27"/>
  <c r="AU111" i="27"/>
  <c r="AK131" i="27" s="1"/>
  <c r="AT111" i="27"/>
  <c r="AS111" i="27"/>
  <c r="AR111" i="27"/>
  <c r="AQ111" i="27"/>
  <c r="AP111" i="27"/>
  <c r="AO111" i="27"/>
  <c r="AN111" i="27"/>
  <c r="AM111" i="27"/>
  <c r="AL111" i="27"/>
  <c r="AK111" i="27"/>
  <c r="AZ111" i="27" s="1"/>
  <c r="AK110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Z109" i="27" s="1"/>
  <c r="AK108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Z107" i="27" s="1"/>
  <c r="AK106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Z105" i="27" s="1"/>
  <c r="AK104" i="27"/>
  <c r="AY103" i="27"/>
  <c r="AX103" i="27"/>
  <c r="AW103" i="27"/>
  <c r="AV103" i="27"/>
  <c r="AU103" i="27"/>
  <c r="AT103" i="27"/>
  <c r="AS103" i="27"/>
  <c r="AR103" i="27"/>
  <c r="AQ103" i="27"/>
  <c r="AP103" i="27"/>
  <c r="AO103" i="27"/>
  <c r="AN103" i="27"/>
  <c r="AM103" i="27"/>
  <c r="AL103" i="27"/>
  <c r="AK103" i="27"/>
  <c r="AZ103" i="27" s="1"/>
  <c r="AK102" i="27"/>
  <c r="AY101" i="27"/>
  <c r="AX101" i="27"/>
  <c r="AW101" i="27"/>
  <c r="AV101" i="27"/>
  <c r="AU101" i="27"/>
  <c r="AT101" i="27"/>
  <c r="AS101" i="27"/>
  <c r="AR101" i="27"/>
  <c r="AQ101" i="27"/>
  <c r="AP101" i="27"/>
  <c r="AO101" i="27"/>
  <c r="AN101" i="27"/>
  <c r="AM101" i="27"/>
  <c r="AL101" i="27"/>
  <c r="AK101" i="27"/>
  <c r="AZ101" i="27" s="1"/>
  <c r="AK100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Z99" i="27" s="1"/>
  <c r="AK98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Z97" i="27" s="1"/>
  <c r="AK96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Z95" i="27" s="1"/>
  <c r="AK94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Z93" i="27" s="1"/>
  <c r="AK92" i="27"/>
  <c r="AY91" i="27"/>
  <c r="AX91" i="27"/>
  <c r="AW91" i="27"/>
  <c r="AV91" i="27"/>
  <c r="AU91" i="27"/>
  <c r="AT91" i="27"/>
  <c r="AS91" i="27"/>
  <c r="AR91" i="27"/>
  <c r="AQ91" i="27"/>
  <c r="AP91" i="27"/>
  <c r="AO91" i="27"/>
  <c r="AN91" i="27"/>
  <c r="AM91" i="27"/>
  <c r="AL91" i="27"/>
  <c r="AK91" i="27"/>
  <c r="AZ91" i="27" s="1"/>
  <c r="AK90" i="27"/>
  <c r="AY89" i="27"/>
  <c r="AX89" i="27"/>
  <c r="AW89" i="27"/>
  <c r="AV89" i="27"/>
  <c r="AU89" i="27"/>
  <c r="AK128" i="27" s="1"/>
  <c r="AT89" i="27"/>
  <c r="AS89" i="27"/>
  <c r="AR89" i="27"/>
  <c r="AQ89" i="27"/>
  <c r="AP89" i="27"/>
  <c r="AO89" i="27"/>
  <c r="AN89" i="27"/>
  <c r="AM89" i="27"/>
  <c r="AL89" i="27"/>
  <c r="AK89" i="27"/>
  <c r="AZ89" i="27" s="1"/>
  <c r="AK88" i="27"/>
  <c r="BA87" i="27" a="1"/>
  <c r="BA87" i="27" s="1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Z87" i="27" s="1"/>
  <c r="AK86" i="27"/>
  <c r="BA85" i="27" a="1"/>
  <c r="BA85" i="27" s="1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Z85" i="27" s="1"/>
  <c r="AK84" i="27"/>
  <c r="BA83" i="27" a="1"/>
  <c r="BA83" i="27" s="1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Z83" i="27" s="1"/>
  <c r="AK82" i="27"/>
  <c r="BA81" i="27" a="1"/>
  <c r="BA81" i="27" s="1"/>
  <c r="AY81" i="27"/>
  <c r="AX81" i="27"/>
  <c r="AW81" i="27"/>
  <c r="AV81" i="27"/>
  <c r="AU81" i="27"/>
  <c r="AT81" i="27"/>
  <c r="AS81" i="27"/>
  <c r="AR81" i="27"/>
  <c r="AQ81" i="27"/>
  <c r="AP81" i="27"/>
  <c r="AO81" i="27"/>
  <c r="AN81" i="27"/>
  <c r="AM81" i="27"/>
  <c r="AL81" i="27"/>
  <c r="AK81" i="27"/>
  <c r="AZ81" i="27" s="1"/>
  <c r="AK80" i="27"/>
  <c r="BA79" i="27" a="1"/>
  <c r="BA79" i="27" s="1"/>
  <c r="AY79" i="27"/>
  <c r="AX79" i="27"/>
  <c r="AW79" i="27"/>
  <c r="AV79" i="27"/>
  <c r="AU79" i="27"/>
  <c r="AT79" i="27"/>
  <c r="AS79" i="27"/>
  <c r="AR79" i="27"/>
  <c r="AQ79" i="27"/>
  <c r="AP79" i="27"/>
  <c r="AO79" i="27"/>
  <c r="AN79" i="27"/>
  <c r="AM79" i="27"/>
  <c r="AL79" i="27"/>
  <c r="AK79" i="27"/>
  <c r="AZ79" i="27" s="1"/>
  <c r="AK78" i="27"/>
  <c r="BA77" i="27" a="1"/>
  <c r="BA77" i="27" s="1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Z77" i="27" s="1"/>
  <c r="AK76" i="27"/>
  <c r="BA75" i="27" a="1"/>
  <c r="BA75" i="27" s="1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Z75" i="27" s="1"/>
  <c r="AK74" i="27"/>
  <c r="BA73" i="27" a="1"/>
  <c r="BA73" i="27" s="1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Z73" i="27" s="1"/>
  <c r="AK72" i="27"/>
  <c r="BA71" i="27" a="1"/>
  <c r="BA71" i="27" s="1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Z71" i="27" s="1"/>
  <c r="AK70" i="27"/>
  <c r="BA69" i="27" a="1"/>
  <c r="BA69" i="27" s="1"/>
  <c r="AY69" i="27"/>
  <c r="AX69" i="27"/>
  <c r="AW69" i="27"/>
  <c r="AV69" i="27"/>
  <c r="AU69" i="27"/>
  <c r="AT69" i="27"/>
  <c r="AS69" i="27"/>
  <c r="AR69" i="27"/>
  <c r="AQ69" i="27"/>
  <c r="AP69" i="27"/>
  <c r="AO69" i="27"/>
  <c r="AN69" i="27"/>
  <c r="AM69" i="27"/>
  <c r="AL69" i="27"/>
  <c r="AK69" i="27"/>
  <c r="AZ69" i="27" s="1"/>
  <c r="AK68" i="27"/>
  <c r="BA67" i="27" a="1"/>
  <c r="BA67" i="27" s="1"/>
  <c r="AY67" i="27"/>
  <c r="AX67" i="27"/>
  <c r="AW67" i="27"/>
  <c r="AV67" i="27"/>
  <c r="AU67" i="27"/>
  <c r="AT67" i="27"/>
  <c r="AS67" i="27"/>
  <c r="AR67" i="27"/>
  <c r="AQ67" i="27"/>
  <c r="AP67" i="27"/>
  <c r="AO67" i="27"/>
  <c r="AN67" i="27"/>
  <c r="AM67" i="27"/>
  <c r="AL67" i="27"/>
  <c r="AK67" i="27"/>
  <c r="AZ67" i="27" s="1"/>
  <c r="AK66" i="27"/>
  <c r="BA65" i="27" a="1"/>
  <c r="BA65" i="27" s="1"/>
  <c r="AY65" i="27"/>
  <c r="AX65" i="27"/>
  <c r="AW65" i="27"/>
  <c r="AV65" i="27"/>
  <c r="AU65" i="27"/>
  <c r="AT65" i="27"/>
  <c r="AS65" i="27"/>
  <c r="AR65" i="27"/>
  <c r="AQ65" i="27"/>
  <c r="AP65" i="27"/>
  <c r="AO65" i="27"/>
  <c r="AN65" i="27"/>
  <c r="AM65" i="27"/>
  <c r="AL65" i="27"/>
  <c r="AK65" i="27"/>
  <c r="AZ65" i="27" s="1"/>
  <c r="AK64" i="27"/>
  <c r="BA63" i="27" a="1"/>
  <c r="BA63" i="27" s="1"/>
  <c r="AY63" i="27"/>
  <c r="AX63" i="27"/>
  <c r="AW63" i="27"/>
  <c r="AV63" i="27"/>
  <c r="AU63" i="27"/>
  <c r="AT63" i="27"/>
  <c r="AS63" i="27"/>
  <c r="AR63" i="27"/>
  <c r="AQ63" i="27"/>
  <c r="AP63" i="27"/>
  <c r="AO63" i="27"/>
  <c r="AN63" i="27"/>
  <c r="AM63" i="27"/>
  <c r="AL63" i="27"/>
  <c r="AK63" i="27"/>
  <c r="AZ63" i="27" s="1"/>
  <c r="AK62" i="27"/>
  <c r="BA61" i="27" a="1"/>
  <c r="BA61" i="27" s="1"/>
  <c r="AY61" i="27"/>
  <c r="AX61" i="27"/>
  <c r="AW61" i="27"/>
  <c r="AV61" i="27"/>
  <c r="AU61" i="27"/>
  <c r="AT61" i="27"/>
  <c r="AS61" i="27"/>
  <c r="AR61" i="27"/>
  <c r="AQ61" i="27"/>
  <c r="AP61" i="27"/>
  <c r="AO61" i="27"/>
  <c r="AN61" i="27"/>
  <c r="AM61" i="27"/>
  <c r="AL61" i="27"/>
  <c r="AK61" i="27"/>
  <c r="AZ61" i="27" s="1"/>
  <c r="AK60" i="27"/>
  <c r="BA59" i="27" a="1"/>
  <c r="BA59" i="27" s="1"/>
  <c r="AY59" i="27"/>
  <c r="AX59" i="27"/>
  <c r="AW59" i="27"/>
  <c r="AV59" i="27"/>
  <c r="AU59" i="27"/>
  <c r="AT59" i="27"/>
  <c r="AS59" i="27"/>
  <c r="AR59" i="27"/>
  <c r="AQ59" i="27"/>
  <c r="AP59" i="27"/>
  <c r="AO59" i="27"/>
  <c r="AN59" i="27"/>
  <c r="AM59" i="27"/>
  <c r="AL59" i="27"/>
  <c r="AK59" i="27"/>
  <c r="AZ59" i="27" s="1"/>
  <c r="AK58" i="27"/>
  <c r="BA57" i="27" a="1"/>
  <c r="BA57" i="27" s="1"/>
  <c r="AY57" i="27"/>
  <c r="AX57" i="27"/>
  <c r="AW57" i="27"/>
  <c r="AV57" i="27"/>
  <c r="AU57" i="27"/>
  <c r="AT57" i="27"/>
  <c r="AS57" i="27"/>
  <c r="AR57" i="27"/>
  <c r="AQ57" i="27"/>
  <c r="AP57" i="27"/>
  <c r="AO57" i="27"/>
  <c r="AN57" i="27"/>
  <c r="AM57" i="27"/>
  <c r="AL57" i="27"/>
  <c r="AK57" i="27"/>
  <c r="AZ57" i="27" s="1"/>
  <c r="AK56" i="27"/>
  <c r="BA55" i="27" a="1"/>
  <c r="BA55" i="27" s="1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Z55" i="27" s="1"/>
  <c r="AK54" i="27"/>
  <c r="BA53" i="27" a="1"/>
  <c r="BA53" i="27" s="1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Z53" i="27" s="1"/>
  <c r="AK52" i="27"/>
  <c r="BA51" i="27" a="1"/>
  <c r="BA51" i="27" s="1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Z51" i="27" s="1"/>
  <c r="AK50" i="27"/>
  <c r="BA49" i="27" a="1"/>
  <c r="BA49" i="27" s="1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Z49" i="27" s="1"/>
  <c r="AK48" i="27"/>
  <c r="BA47" i="27" a="1"/>
  <c r="BA47" i="27" s="1"/>
  <c r="AY47" i="27"/>
  <c r="AX47" i="27"/>
  <c r="AW47" i="27"/>
  <c r="AV47" i="27"/>
  <c r="AU47" i="27"/>
  <c r="AT47" i="27"/>
  <c r="AS47" i="27"/>
  <c r="AR47" i="27"/>
  <c r="AQ47" i="27"/>
  <c r="AP47" i="27"/>
  <c r="AO47" i="27"/>
  <c r="AN47" i="27"/>
  <c r="AM47" i="27"/>
  <c r="AL47" i="27"/>
  <c r="AK47" i="27"/>
  <c r="AZ47" i="27" s="1"/>
  <c r="AK46" i="27"/>
  <c r="BA45" i="27" a="1"/>
  <c r="BA45" i="27" s="1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Z45" i="27" s="1"/>
  <c r="AK44" i="27"/>
  <c r="BA43" i="27" a="1"/>
  <c r="BA43" i="27" s="1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Z43" i="27" s="1"/>
  <c r="AK42" i="27"/>
  <c r="BA41" i="27" a="1"/>
  <c r="BA41" i="27" s="1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Z41" i="27" s="1"/>
  <c r="AK40" i="27"/>
  <c r="BA39" i="27" a="1"/>
  <c r="BA39" i="27" s="1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Z39" i="27" s="1"/>
  <c r="AK38" i="27"/>
  <c r="BA37" i="27" a="1"/>
  <c r="BA37" i="27" s="1"/>
  <c r="AY37" i="27"/>
  <c r="AX37" i="27"/>
  <c r="AW37" i="27"/>
  <c r="AV37" i="27"/>
  <c r="AU37" i="27"/>
  <c r="AT37" i="27"/>
  <c r="AS37" i="27"/>
  <c r="AR37" i="27"/>
  <c r="AQ37" i="27"/>
  <c r="AP37" i="27"/>
  <c r="AO37" i="27"/>
  <c r="AN37" i="27"/>
  <c r="AM37" i="27"/>
  <c r="AL37" i="27"/>
  <c r="AK37" i="27"/>
  <c r="AZ37" i="27" s="1"/>
  <c r="AK36" i="27"/>
  <c r="BA35" i="27" a="1"/>
  <c r="BA35" i="27" s="1"/>
  <c r="AY35" i="27"/>
  <c r="AX35" i="27"/>
  <c r="AW35" i="27"/>
  <c r="AV35" i="27"/>
  <c r="AU35" i="27"/>
  <c r="AT35" i="27"/>
  <c r="AS35" i="27"/>
  <c r="AR35" i="27"/>
  <c r="AQ35" i="27"/>
  <c r="AP35" i="27"/>
  <c r="AO35" i="27"/>
  <c r="AN35" i="27"/>
  <c r="AM35" i="27"/>
  <c r="AL35" i="27"/>
  <c r="AK35" i="27"/>
  <c r="AZ35" i="27" s="1"/>
  <c r="AK34" i="27"/>
  <c r="BA33" i="27" a="1"/>
  <c r="BA33" i="27" s="1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Z33" i="27" s="1"/>
  <c r="AK32" i="27"/>
  <c r="BA31" i="27" a="1"/>
  <c r="BA31" i="27" s="1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Z31" i="27" s="1"/>
  <c r="AK30" i="27"/>
  <c r="BA29" i="27" a="1"/>
  <c r="BA29" i="27" s="1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Z29" i="27" s="1"/>
  <c r="AK28" i="27"/>
  <c r="BA27" i="27" a="1"/>
  <c r="BA27" i="27" s="1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Z27" i="27" s="1"/>
  <c r="AK26" i="27"/>
  <c r="BA25" i="27" a="1"/>
  <c r="BA25" i="27" s="1"/>
  <c r="AY25" i="27"/>
  <c r="AX25" i="27"/>
  <c r="AW25" i="27"/>
  <c r="AV25" i="27"/>
  <c r="AU25" i="27"/>
  <c r="AT25" i="27"/>
  <c r="AS25" i="27"/>
  <c r="AR25" i="27"/>
  <c r="AQ25" i="27"/>
  <c r="AP25" i="27"/>
  <c r="AO25" i="27"/>
  <c r="AN25" i="27"/>
  <c r="AM25" i="27"/>
  <c r="AL25" i="27"/>
  <c r="AK25" i="27"/>
  <c r="AZ25" i="27" s="1"/>
  <c r="AK24" i="27"/>
  <c r="BA23" i="27" a="1"/>
  <c r="BA23" i="27" s="1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Z23" i="27" s="1"/>
  <c r="AK22" i="27"/>
  <c r="BA21" i="27" a="1"/>
  <c r="BA21" i="27" s="1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Z21" i="27" s="1"/>
  <c r="AK20" i="27"/>
  <c r="BA19" i="27" a="1"/>
  <c r="BA19" i="27" s="1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Z19" i="27" s="1"/>
  <c r="AK18" i="27"/>
  <c r="BA17" i="27" a="1"/>
  <c r="BA17" i="27" s="1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Z17" i="27" s="1"/>
  <c r="AK16" i="27"/>
  <c r="BA15" i="27" a="1"/>
  <c r="BA15" i="27" s="1"/>
  <c r="AY15" i="27"/>
  <c r="AX15" i="27"/>
  <c r="AW15" i="27"/>
  <c r="AV15" i="27"/>
  <c r="AU15" i="27"/>
  <c r="AT15" i="27"/>
  <c r="AS15" i="27"/>
  <c r="AR15" i="27"/>
  <c r="AQ15" i="27"/>
  <c r="AP15" i="27"/>
  <c r="AO15" i="27"/>
  <c r="AN15" i="27"/>
  <c r="AM15" i="27"/>
  <c r="AL15" i="27"/>
  <c r="AK15" i="27"/>
  <c r="AZ15" i="27" s="1"/>
  <c r="AK14" i="27"/>
  <c r="BA13" i="27" a="1"/>
  <c r="BA13" i="27" s="1"/>
  <c r="AY13" i="27"/>
  <c r="AX13" i="27"/>
  <c r="AW13" i="27"/>
  <c r="AV13" i="27"/>
  <c r="AU13" i="27"/>
  <c r="AT13" i="27"/>
  <c r="AS13" i="27"/>
  <c r="AR13" i="27"/>
  <c r="AQ13" i="27"/>
  <c r="AP13" i="27"/>
  <c r="AO13" i="27"/>
  <c r="AN13" i="27"/>
  <c r="AM13" i="27"/>
  <c r="AL13" i="27"/>
  <c r="AK13" i="27"/>
  <c r="AZ13" i="27" s="1"/>
  <c r="AK12" i="27"/>
  <c r="BA11" i="27" a="1"/>
  <c r="BA11" i="27" s="1"/>
  <c r="AY11" i="27"/>
  <c r="AX11" i="27"/>
  <c r="AW11" i="27"/>
  <c r="AV11" i="27"/>
  <c r="AU11" i="27"/>
  <c r="AT11" i="27"/>
  <c r="AS11" i="27"/>
  <c r="AR11" i="27"/>
  <c r="AQ11" i="27"/>
  <c r="AP11" i="27"/>
  <c r="AO11" i="27"/>
  <c r="AN11" i="27"/>
  <c r="AM11" i="27"/>
  <c r="AL11" i="27"/>
  <c r="AK11" i="27"/>
  <c r="AZ11" i="27" s="1"/>
  <c r="AK10" i="27"/>
  <c r="BA9" i="27" a="1"/>
  <c r="BA9" i="27" s="1"/>
  <c r="AY9" i="27"/>
  <c r="AX9" i="27"/>
  <c r="AW9" i="27"/>
  <c r="AV9" i="27"/>
  <c r="AU9" i="27"/>
  <c r="AT9" i="27"/>
  <c r="AS9" i="27"/>
  <c r="AR9" i="27"/>
  <c r="AQ9" i="27"/>
  <c r="AP9" i="27"/>
  <c r="AO9" i="27"/>
  <c r="AN9" i="27"/>
  <c r="AM9" i="27"/>
  <c r="AL9" i="27"/>
  <c r="AK9" i="27"/>
  <c r="AZ9" i="27" s="1"/>
  <c r="AK8" i="27"/>
  <c r="BA7" i="27" a="1"/>
  <c r="BA7" i="27" s="1"/>
  <c r="AY7" i="27"/>
  <c r="AX7" i="27"/>
  <c r="AW7" i="27"/>
  <c r="AV7" i="27"/>
  <c r="AU7" i="27"/>
  <c r="AT7" i="27"/>
  <c r="AS7" i="27"/>
  <c r="AR7" i="27"/>
  <c r="AQ7" i="27"/>
  <c r="AP7" i="27"/>
  <c r="AO7" i="27"/>
  <c r="AN7" i="27"/>
  <c r="AM7" i="27"/>
  <c r="AL7" i="27"/>
  <c r="AK7" i="27"/>
  <c r="AZ7" i="27" s="1"/>
  <c r="AK6" i="27"/>
  <c r="AK135" i="27" s="1"/>
  <c r="BA5" i="27" a="1"/>
  <c r="BA5" i="27" s="1"/>
  <c r="AY5" i="27"/>
  <c r="AX5" i="27"/>
  <c r="AW5" i="27"/>
  <c r="AV5" i="27"/>
  <c r="AU5" i="27"/>
  <c r="AK125" i="27" s="1"/>
  <c r="AT5" i="27"/>
  <c r="AS5" i="27"/>
  <c r="AR5" i="27"/>
  <c r="AQ5" i="27"/>
  <c r="AP5" i="27"/>
  <c r="AO5" i="27"/>
  <c r="AN5" i="27"/>
  <c r="AM5" i="27"/>
  <c r="AL5" i="27"/>
  <c r="AK5" i="27"/>
  <c r="AZ5" i="27" s="1"/>
  <c r="BD4" i="27"/>
  <c r="AH121" i="26"/>
  <c r="AQ7" i="26"/>
  <c r="AX5" i="26" a="1"/>
  <c r="AX5" i="26"/>
  <c r="AX25" i="26" a="1"/>
  <c r="AX25" i="26"/>
  <c r="AX87" i="26" a="1"/>
  <c r="AX87" i="26" s="1"/>
  <c r="AX85" i="26" a="1"/>
  <c r="AX85" i="26" s="1"/>
  <c r="AX83" i="26" a="1"/>
  <c r="AX83" i="26" s="1"/>
  <c r="AX81" i="26" a="1"/>
  <c r="AX81" i="26" s="1"/>
  <c r="AX79" i="26" a="1"/>
  <c r="AX79" i="26" s="1"/>
  <c r="AX77" i="26" a="1"/>
  <c r="AX77" i="26" s="1"/>
  <c r="AX75" i="26" a="1"/>
  <c r="AX75" i="26" s="1"/>
  <c r="AX73" i="26" a="1"/>
  <c r="AX73" i="26" s="1"/>
  <c r="AX71" i="26" a="1"/>
  <c r="AX71" i="26" s="1"/>
  <c r="AX69" i="26" a="1"/>
  <c r="AX69" i="26" s="1"/>
  <c r="AX67" i="26" a="1"/>
  <c r="AX67" i="26" s="1"/>
  <c r="AX65" i="26" a="1"/>
  <c r="AX65" i="26" s="1"/>
  <c r="AX63" i="26" a="1"/>
  <c r="AX63" i="26" s="1"/>
  <c r="AX61" i="26" a="1"/>
  <c r="AX61" i="26" s="1"/>
  <c r="AX59" i="26" a="1"/>
  <c r="AX59" i="26" s="1"/>
  <c r="AX57" i="26" a="1"/>
  <c r="AX57" i="26" s="1"/>
  <c r="AX55" i="26" a="1"/>
  <c r="AX55" i="26" s="1"/>
  <c r="AX53" i="26" a="1"/>
  <c r="AX53" i="26" s="1"/>
  <c r="AX51" i="26" a="1"/>
  <c r="AX51" i="26" s="1"/>
  <c r="AX49" i="26" a="1"/>
  <c r="AX49" i="26" s="1"/>
  <c r="AX47" i="26" a="1"/>
  <c r="AX47" i="26" s="1"/>
  <c r="AX45" i="26" a="1"/>
  <c r="AX45" i="26" s="1"/>
  <c r="AX43" i="26" a="1"/>
  <c r="AX43" i="26" s="1"/>
  <c r="AX41" i="26" a="1"/>
  <c r="AX41" i="26" s="1"/>
  <c r="AX39" i="26" a="1"/>
  <c r="AX39" i="26" s="1"/>
  <c r="AX37" i="26" a="1"/>
  <c r="AX37" i="26" s="1"/>
  <c r="AX35" i="26" a="1"/>
  <c r="AX35" i="26" s="1"/>
  <c r="AX33" i="26" a="1"/>
  <c r="AX33" i="26" s="1"/>
  <c r="AX31" i="26" a="1"/>
  <c r="AX31" i="26" s="1"/>
  <c r="AX29" i="26" a="1"/>
  <c r="AX29" i="26" s="1"/>
  <c r="AX27" i="26" a="1"/>
  <c r="AX27" i="26" s="1"/>
  <c r="AX23" i="26" a="1"/>
  <c r="AX23" i="26" s="1"/>
  <c r="AX21" i="26" a="1"/>
  <c r="AX21" i="26" s="1"/>
  <c r="AX19" i="26" a="1"/>
  <c r="AX19" i="26" s="1"/>
  <c r="AX17" i="26" a="1"/>
  <c r="AX17" i="26" s="1"/>
  <c r="AX15" i="26" a="1"/>
  <c r="AX15" i="26" s="1"/>
  <c r="AX13" i="26" a="1"/>
  <c r="AX13" i="26" s="1"/>
  <c r="AX11" i="26" a="1"/>
  <c r="AX11" i="26" s="1"/>
  <c r="AX9" i="26" a="1"/>
  <c r="AX9" i="26" s="1"/>
  <c r="AX7" i="26" a="1"/>
  <c r="AX7" i="26" s="1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F123" i="26"/>
  <c r="G123" i="26"/>
  <c r="H123" i="26"/>
  <c r="I123" i="26"/>
  <c r="J123" i="26"/>
  <c r="K123" i="26"/>
  <c r="L123" i="26"/>
  <c r="M123" i="26"/>
  <c r="N123" i="26"/>
  <c r="F124" i="26"/>
  <c r="AK92" i="24"/>
  <c r="AG124" i="26"/>
  <c r="AF124" i="26"/>
  <c r="AE124" i="26"/>
  <c r="AD124" i="26"/>
  <c r="AC124" i="26"/>
  <c r="AB124" i="26"/>
  <c r="AA124" i="26"/>
  <c r="Z124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AV121" i="26"/>
  <c r="AU121" i="26"/>
  <c r="AT121" i="26"/>
  <c r="AS121" i="26"/>
  <c r="AR121" i="26"/>
  <c r="AW121" i="26" s="1"/>
  <c r="AQ121" i="26"/>
  <c r="AP121" i="26"/>
  <c r="AO121" i="26"/>
  <c r="AN121" i="26"/>
  <c r="AM121" i="26"/>
  <c r="AL121" i="26"/>
  <c r="AK121" i="26"/>
  <c r="AJ121" i="26"/>
  <c r="AI121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W119" i="26" s="1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W117" i="26" s="1"/>
  <c r="AH116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W115" i="26" s="1"/>
  <c r="AH114" i="26"/>
  <c r="AH143" i="26" s="1"/>
  <c r="AV113" i="26"/>
  <c r="AU113" i="26"/>
  <c r="AT113" i="26"/>
  <c r="AS113" i="26"/>
  <c r="AR113" i="26"/>
  <c r="AH133" i="26" s="1"/>
  <c r="AQ113" i="26"/>
  <c r="AP113" i="26"/>
  <c r="AO113" i="26"/>
  <c r="AN113" i="26"/>
  <c r="AM113" i="26"/>
  <c r="AL113" i="26"/>
  <c r="AK113" i="26"/>
  <c r="AJ113" i="26"/>
  <c r="AI113" i="26"/>
  <c r="AH113" i="26"/>
  <c r="AW113" i="26" s="1"/>
  <c r="AH112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W111" i="26" s="1"/>
  <c r="AH110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W109" i="26" s="1"/>
  <c r="AH108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W107" i="26" s="1"/>
  <c r="AH106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W105" i="26" s="1"/>
  <c r="AH104" i="26"/>
  <c r="AV103" i="26"/>
  <c r="AU103" i="26"/>
  <c r="AT103" i="26"/>
  <c r="AS103" i="26"/>
  <c r="AR103" i="26"/>
  <c r="AQ103" i="26"/>
  <c r="AP103" i="26"/>
  <c r="AO103" i="26"/>
  <c r="AN103" i="26"/>
  <c r="AM103" i="26"/>
  <c r="AL103" i="26"/>
  <c r="AK103" i="26"/>
  <c r="AJ103" i="26"/>
  <c r="AI103" i="26"/>
  <c r="AH103" i="26"/>
  <c r="AW103" i="26" s="1"/>
  <c r="AH102" i="26"/>
  <c r="AV101" i="26"/>
  <c r="AU101" i="26"/>
  <c r="AT101" i="26"/>
  <c r="AS101" i="26"/>
  <c r="AR101" i="26"/>
  <c r="AQ101" i="26"/>
  <c r="AP101" i="26"/>
  <c r="AO101" i="26"/>
  <c r="AN101" i="26"/>
  <c r="AM101" i="26"/>
  <c r="AL101" i="26"/>
  <c r="AK101" i="26"/>
  <c r="AJ101" i="26"/>
  <c r="AI101" i="26"/>
  <c r="AH101" i="26"/>
  <c r="AW101" i="26" s="1"/>
  <c r="AH100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W99" i="26" s="1"/>
  <c r="AH98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W97" i="26" s="1"/>
  <c r="AH96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W95" i="26" s="1"/>
  <c r="AH94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W93" i="26" s="1"/>
  <c r="AH92" i="26"/>
  <c r="AV91" i="26"/>
  <c r="AU91" i="26"/>
  <c r="AT91" i="26"/>
  <c r="AS91" i="26"/>
  <c r="AR91" i="26"/>
  <c r="AQ91" i="26"/>
  <c r="AP91" i="26"/>
  <c r="AO91" i="26"/>
  <c r="AN91" i="26"/>
  <c r="AM91" i="26"/>
  <c r="AL91" i="26"/>
  <c r="AK91" i="26"/>
  <c r="AJ91" i="26"/>
  <c r="AI91" i="26"/>
  <c r="AH91" i="26"/>
  <c r="AW91" i="26" s="1"/>
  <c r="AH90" i="26"/>
  <c r="AV89" i="26"/>
  <c r="AU89" i="26"/>
  <c r="AT89" i="26"/>
  <c r="AS89" i="26"/>
  <c r="AR89" i="26"/>
  <c r="AH130" i="26" s="1"/>
  <c r="AQ89" i="26"/>
  <c r="AP89" i="26"/>
  <c r="AO89" i="26"/>
  <c r="AN89" i="26"/>
  <c r="AM89" i="26"/>
  <c r="AL89" i="26"/>
  <c r="AK89" i="26"/>
  <c r="AJ89" i="26"/>
  <c r="AI89" i="26"/>
  <c r="AH89" i="26"/>
  <c r="AW89" i="26" s="1"/>
  <c r="AH88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W87" i="26" s="1"/>
  <c r="AH86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W85" i="26" s="1"/>
  <c r="AH84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W83" i="26" s="1"/>
  <c r="AH82" i="26"/>
  <c r="AV81" i="26"/>
  <c r="AU81" i="26"/>
  <c r="AT81" i="26"/>
  <c r="AS81" i="26"/>
  <c r="AR81" i="26"/>
  <c r="AQ81" i="26"/>
  <c r="AP81" i="26"/>
  <c r="AO81" i="26"/>
  <c r="AN81" i="26"/>
  <c r="AM81" i="26"/>
  <c r="AL81" i="26"/>
  <c r="AK81" i="26"/>
  <c r="AJ81" i="26"/>
  <c r="AI81" i="26"/>
  <c r="AH81" i="26"/>
  <c r="AW81" i="26" s="1"/>
  <c r="AH80" i="26"/>
  <c r="AV79" i="26"/>
  <c r="AU79" i="26"/>
  <c r="AT79" i="26"/>
  <c r="AS79" i="26"/>
  <c r="AR79" i="26"/>
  <c r="AQ79" i="26"/>
  <c r="AP79" i="26"/>
  <c r="AO79" i="26"/>
  <c r="AN79" i="26"/>
  <c r="AM79" i="26"/>
  <c r="AL79" i="26"/>
  <c r="AK79" i="26"/>
  <c r="AJ79" i="26"/>
  <c r="AI79" i="26"/>
  <c r="AH79" i="26"/>
  <c r="AW79" i="26" s="1"/>
  <c r="AH78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W77" i="26" s="1"/>
  <c r="AH76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W75" i="26" s="1"/>
  <c r="AH74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W73" i="26" s="1"/>
  <c r="AH72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W71" i="26" s="1"/>
  <c r="AH70" i="26"/>
  <c r="AV69" i="26"/>
  <c r="AU69" i="26"/>
  <c r="AT69" i="26"/>
  <c r="AS69" i="26"/>
  <c r="AR69" i="26"/>
  <c r="AQ69" i="26"/>
  <c r="AP69" i="26"/>
  <c r="AO69" i="26"/>
  <c r="AN69" i="26"/>
  <c r="AM69" i="26"/>
  <c r="AL69" i="26"/>
  <c r="AK69" i="26"/>
  <c r="AJ69" i="26"/>
  <c r="AI69" i="26"/>
  <c r="AH69" i="26"/>
  <c r="AW69" i="26" s="1"/>
  <c r="AH68" i="26"/>
  <c r="AV67" i="26"/>
  <c r="AU67" i="26"/>
  <c r="AT67" i="26"/>
  <c r="AS67" i="26"/>
  <c r="AR67" i="26"/>
  <c r="AQ67" i="26"/>
  <c r="AP67" i="26"/>
  <c r="AO67" i="26"/>
  <c r="AN67" i="26"/>
  <c r="AM67" i="26"/>
  <c r="AL67" i="26"/>
  <c r="AK67" i="26"/>
  <c r="AJ67" i="26"/>
  <c r="AI67" i="26"/>
  <c r="AH67" i="26"/>
  <c r="AW67" i="26" s="1"/>
  <c r="AH66" i="26"/>
  <c r="AV65" i="26"/>
  <c r="AU65" i="26"/>
  <c r="AT65" i="26"/>
  <c r="AS65" i="26"/>
  <c r="AR65" i="26"/>
  <c r="AQ65" i="26"/>
  <c r="AP65" i="26"/>
  <c r="AO65" i="26"/>
  <c r="AN65" i="26"/>
  <c r="AM65" i="26"/>
  <c r="AL65" i="26"/>
  <c r="AK65" i="26"/>
  <c r="AJ65" i="26"/>
  <c r="AI65" i="26"/>
  <c r="AH65" i="26"/>
  <c r="AW65" i="26" s="1"/>
  <c r="AH64" i="26"/>
  <c r="AV63" i="26"/>
  <c r="AU63" i="26"/>
  <c r="AT63" i="26"/>
  <c r="AS63" i="26"/>
  <c r="AR63" i="26"/>
  <c r="AQ63" i="26"/>
  <c r="AP63" i="26"/>
  <c r="AO63" i="26"/>
  <c r="AN63" i="26"/>
  <c r="AM63" i="26"/>
  <c r="AL63" i="26"/>
  <c r="AK63" i="26"/>
  <c r="AJ63" i="26"/>
  <c r="AI63" i="26"/>
  <c r="AH63" i="26"/>
  <c r="AW63" i="26" s="1"/>
  <c r="AH62" i="26"/>
  <c r="AV61" i="26"/>
  <c r="AU61" i="26"/>
  <c r="AT61" i="26"/>
  <c r="AS61" i="26"/>
  <c r="AR61" i="26"/>
  <c r="AQ61" i="26"/>
  <c r="AP61" i="26"/>
  <c r="AO61" i="26"/>
  <c r="AN61" i="26"/>
  <c r="AM61" i="26"/>
  <c r="AL61" i="26"/>
  <c r="AK61" i="26"/>
  <c r="AJ61" i="26"/>
  <c r="AI61" i="26"/>
  <c r="AH61" i="26"/>
  <c r="AW61" i="26" s="1"/>
  <c r="AH60" i="26"/>
  <c r="AV59" i="26"/>
  <c r="AU59" i="26"/>
  <c r="AT59" i="26"/>
  <c r="AS59" i="26"/>
  <c r="AR59" i="26"/>
  <c r="AQ59" i="26"/>
  <c r="AP59" i="26"/>
  <c r="AO59" i="26"/>
  <c r="AN59" i="26"/>
  <c r="AM59" i="26"/>
  <c r="AL59" i="26"/>
  <c r="AK59" i="26"/>
  <c r="AJ59" i="26"/>
  <c r="AI59" i="26"/>
  <c r="AH59" i="26"/>
  <c r="AW59" i="26" s="1"/>
  <c r="AH58" i="26"/>
  <c r="AV57" i="26"/>
  <c r="AU57" i="26"/>
  <c r="AT57" i="26"/>
  <c r="AS57" i="26"/>
  <c r="AR57" i="26"/>
  <c r="AQ57" i="26"/>
  <c r="AP57" i="26"/>
  <c r="AO57" i="26"/>
  <c r="AN57" i="26"/>
  <c r="AM57" i="26"/>
  <c r="AL57" i="26"/>
  <c r="AK57" i="26"/>
  <c r="AJ57" i="26"/>
  <c r="AI57" i="26"/>
  <c r="AH57" i="26"/>
  <c r="AW57" i="26" s="1"/>
  <c r="AH56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W55" i="26" s="1"/>
  <c r="AH54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W53" i="26" s="1"/>
  <c r="AH52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W51" i="26" s="1"/>
  <c r="AH50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W49" i="26" s="1"/>
  <c r="AH48" i="26"/>
  <c r="AV47" i="26"/>
  <c r="AU47" i="26"/>
  <c r="AT47" i="26"/>
  <c r="AS47" i="26"/>
  <c r="AR47" i="26"/>
  <c r="AQ47" i="26"/>
  <c r="AP47" i="26"/>
  <c r="AO47" i="26"/>
  <c r="AN47" i="26"/>
  <c r="AM47" i="26"/>
  <c r="AL47" i="26"/>
  <c r="AK47" i="26"/>
  <c r="AJ47" i="26"/>
  <c r="AI47" i="26"/>
  <c r="AH47" i="26"/>
  <c r="AW47" i="26" s="1"/>
  <c r="AH46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W45" i="26" s="1"/>
  <c r="AH44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W43" i="26" s="1"/>
  <c r="AH42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W41" i="26" s="1"/>
  <c r="AH40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W39" i="26" s="1"/>
  <c r="AH38" i="26"/>
  <c r="AV37" i="26"/>
  <c r="AU37" i="26"/>
  <c r="AT37" i="26"/>
  <c r="AS37" i="26"/>
  <c r="AR37" i="26"/>
  <c r="AQ37" i="26"/>
  <c r="AP37" i="26"/>
  <c r="AO37" i="26"/>
  <c r="AN37" i="26"/>
  <c r="AM37" i="26"/>
  <c r="AL37" i="26"/>
  <c r="AK37" i="26"/>
  <c r="AJ37" i="26"/>
  <c r="AI37" i="26"/>
  <c r="AH37" i="26"/>
  <c r="AW37" i="26" s="1"/>
  <c r="AH36" i="26"/>
  <c r="AV35" i="26"/>
  <c r="AU35" i="26"/>
  <c r="AT35" i="26"/>
  <c r="AS35" i="26"/>
  <c r="AR35" i="26"/>
  <c r="AQ35" i="26"/>
  <c r="AP35" i="26"/>
  <c r="AO35" i="26"/>
  <c r="AN35" i="26"/>
  <c r="AM35" i="26"/>
  <c r="AL35" i="26"/>
  <c r="AK35" i="26"/>
  <c r="AJ35" i="26"/>
  <c r="AI35" i="26"/>
  <c r="AH35" i="26"/>
  <c r="AW35" i="26" s="1"/>
  <c r="AH34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W33" i="26" s="1"/>
  <c r="AH32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W31" i="26" s="1"/>
  <c r="AH30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W29" i="26" s="1"/>
  <c r="AH28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W27" i="26" s="1"/>
  <c r="AH26" i="26"/>
  <c r="AV25" i="26"/>
  <c r="AU25" i="26"/>
  <c r="AT25" i="26"/>
  <c r="AS25" i="26"/>
  <c r="AR25" i="26"/>
  <c r="AQ25" i="26"/>
  <c r="AP25" i="26"/>
  <c r="AO25" i="26"/>
  <c r="AN25" i="26"/>
  <c r="AM25" i="26"/>
  <c r="AL25" i="26"/>
  <c r="AK25" i="26"/>
  <c r="AJ25" i="26"/>
  <c r="AI25" i="26"/>
  <c r="AH25" i="26"/>
  <c r="AW25" i="26" s="1"/>
  <c r="AH24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W23" i="26" s="1"/>
  <c r="AH22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W21" i="26" s="1"/>
  <c r="AH20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W19" i="26" s="1"/>
  <c r="AH18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W17" i="26" s="1"/>
  <c r="AH16" i="26"/>
  <c r="AV15" i="26"/>
  <c r="AU15" i="26"/>
  <c r="AT15" i="26"/>
  <c r="AS15" i="26"/>
  <c r="AR15" i="26"/>
  <c r="AQ15" i="26"/>
  <c r="AP15" i="26"/>
  <c r="AO15" i="26"/>
  <c r="AN15" i="26"/>
  <c r="AM15" i="26"/>
  <c r="AL15" i="26"/>
  <c r="AK15" i="26"/>
  <c r="AJ15" i="26"/>
  <c r="AI15" i="26"/>
  <c r="AH15" i="26"/>
  <c r="AW15" i="26" s="1"/>
  <c r="AH14" i="26"/>
  <c r="AV13" i="26"/>
  <c r="AU13" i="26"/>
  <c r="AT13" i="26"/>
  <c r="AS13" i="26"/>
  <c r="AR13" i="26"/>
  <c r="AQ13" i="26"/>
  <c r="AP13" i="26"/>
  <c r="AO13" i="26"/>
  <c r="AN13" i="26"/>
  <c r="AM13" i="26"/>
  <c r="AL13" i="26"/>
  <c r="AK13" i="26"/>
  <c r="AJ13" i="26"/>
  <c r="AI13" i="26"/>
  <c r="AH13" i="26"/>
  <c r="AW13" i="26" s="1"/>
  <c r="AH12" i="26"/>
  <c r="AV11" i="26"/>
  <c r="AU11" i="26"/>
  <c r="AT11" i="26"/>
  <c r="AS11" i="26"/>
  <c r="AR11" i="26"/>
  <c r="AQ11" i="26"/>
  <c r="AP11" i="26"/>
  <c r="AO11" i="26"/>
  <c r="AN11" i="26"/>
  <c r="AM11" i="26"/>
  <c r="AL11" i="26"/>
  <c r="AK11" i="26"/>
  <c r="AJ11" i="26"/>
  <c r="AI11" i="26"/>
  <c r="AH11" i="26"/>
  <c r="AW11" i="26" s="1"/>
  <c r="AH10" i="26"/>
  <c r="AV9" i="26"/>
  <c r="AU9" i="26"/>
  <c r="AT9" i="26"/>
  <c r="AS9" i="26"/>
  <c r="AR9" i="26"/>
  <c r="AQ9" i="26"/>
  <c r="AP9" i="26"/>
  <c r="AO9" i="26"/>
  <c r="AN9" i="26"/>
  <c r="AM9" i="26"/>
  <c r="AL9" i="26"/>
  <c r="AK9" i="26"/>
  <c r="AJ9" i="26"/>
  <c r="AI9" i="26"/>
  <c r="AH9" i="26"/>
  <c r="AW9" i="26" s="1"/>
  <c r="AH8" i="26"/>
  <c r="AV7" i="26"/>
  <c r="AU7" i="26"/>
  <c r="AT7" i="26"/>
  <c r="AS7" i="26"/>
  <c r="AR7" i="26"/>
  <c r="AP7" i="26"/>
  <c r="AO7" i="26"/>
  <c r="AN7" i="26"/>
  <c r="AM7" i="26"/>
  <c r="AL7" i="26"/>
  <c r="AK7" i="26"/>
  <c r="AJ7" i="26"/>
  <c r="AI7" i="26"/>
  <c r="AH7" i="26"/>
  <c r="AW7" i="26" s="1"/>
  <c r="AH6" i="26"/>
  <c r="AH137" i="26" s="1"/>
  <c r="BA4" i="26"/>
  <c r="AV5" i="26"/>
  <c r="AU5" i="26"/>
  <c r="AT5" i="26"/>
  <c r="AS5" i="26"/>
  <c r="AR5" i="26"/>
  <c r="AH127" i="26" s="1"/>
  <c r="AQ5" i="26"/>
  <c r="AP5" i="26"/>
  <c r="AO5" i="26"/>
  <c r="AN5" i="26"/>
  <c r="AM5" i="26"/>
  <c r="AL5" i="26"/>
  <c r="AK5" i="26"/>
  <c r="AJ5" i="26"/>
  <c r="AI5" i="26"/>
  <c r="AH5" i="26"/>
  <c r="BC5" i="24"/>
  <c r="G124" i="24"/>
  <c r="H124" i="24"/>
  <c r="I124" i="24"/>
  <c r="J124" i="24"/>
  <c r="K124" i="24"/>
  <c r="L124" i="24"/>
  <c r="M124" i="24"/>
  <c r="N124" i="24"/>
  <c r="O124" i="24"/>
  <c r="P124" i="24"/>
  <c r="Q124" i="24"/>
  <c r="R124" i="24"/>
  <c r="S124" i="24"/>
  <c r="T124" i="24"/>
  <c r="U124" i="24"/>
  <c r="V124" i="24"/>
  <c r="W124" i="24"/>
  <c r="X124" i="24"/>
  <c r="Y124" i="24"/>
  <c r="Z124" i="24"/>
  <c r="AA124" i="24"/>
  <c r="AB124" i="24"/>
  <c r="AC124" i="24"/>
  <c r="AD124" i="24"/>
  <c r="AE124" i="24"/>
  <c r="AF124" i="24"/>
  <c r="AG124" i="24"/>
  <c r="AH124" i="24"/>
  <c r="AI124" i="24"/>
  <c r="AJ124" i="24"/>
  <c r="H123" i="24"/>
  <c r="I123" i="24"/>
  <c r="J123" i="24"/>
  <c r="K123" i="24"/>
  <c r="L123" i="24"/>
  <c r="M123" i="24"/>
  <c r="N123" i="24"/>
  <c r="O123" i="24"/>
  <c r="P123" i="24"/>
  <c r="Q123" i="24"/>
  <c r="R123" i="24"/>
  <c r="S123" i="24"/>
  <c r="T123" i="24"/>
  <c r="U123" i="24"/>
  <c r="V123" i="24"/>
  <c r="W123" i="24"/>
  <c r="X123" i="24"/>
  <c r="Y123" i="24"/>
  <c r="Z123" i="24"/>
  <c r="AA123" i="24"/>
  <c r="AB123" i="24"/>
  <c r="AC123" i="24"/>
  <c r="AD123" i="24"/>
  <c r="AE123" i="24"/>
  <c r="AF123" i="24"/>
  <c r="AG123" i="24"/>
  <c r="AH123" i="24"/>
  <c r="AI123" i="24"/>
  <c r="AJ123" i="24"/>
  <c r="G123" i="24"/>
  <c r="AL111" i="24"/>
  <c r="AM111" i="24"/>
  <c r="AN111" i="24"/>
  <c r="AO111" i="24"/>
  <c r="AP111" i="24"/>
  <c r="AQ111" i="24"/>
  <c r="AR111" i="24"/>
  <c r="AS111" i="24"/>
  <c r="AT111" i="24"/>
  <c r="AU111" i="24"/>
  <c r="AV111" i="24"/>
  <c r="AW111" i="24"/>
  <c r="AX111" i="24"/>
  <c r="AY111" i="24"/>
  <c r="AK32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Z31" i="24" s="1"/>
  <c r="AK88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Z87" i="24" s="1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Z121" i="24" s="1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Z119" i="24" s="1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Z117" i="24" s="1"/>
  <c r="AK114" i="24"/>
  <c r="AK143" i="24" s="1"/>
  <c r="AY113" i="24"/>
  <c r="AX113" i="24"/>
  <c r="AW113" i="24"/>
  <c r="AV113" i="24"/>
  <c r="AU113" i="24"/>
  <c r="AK133" i="24" s="1"/>
  <c r="AT113" i="24"/>
  <c r="AS113" i="24"/>
  <c r="AR113" i="24"/>
  <c r="AQ113" i="24"/>
  <c r="AP113" i="24"/>
  <c r="AO113" i="24"/>
  <c r="AN113" i="24"/>
  <c r="AM113" i="24"/>
  <c r="AL113" i="24"/>
  <c r="AK113" i="24"/>
  <c r="AZ113" i="24" s="1"/>
  <c r="AK116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Z115" i="24" s="1"/>
  <c r="AK112" i="24"/>
  <c r="AK111" i="24"/>
  <c r="AZ111" i="24" s="1"/>
  <c r="AK108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Z107" i="24" s="1"/>
  <c r="AK110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Z109" i="24" s="1"/>
  <c r="AK106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Z105" i="24" s="1"/>
  <c r="AK104" i="24"/>
  <c r="AY103" i="24"/>
  <c r="AX103" i="24"/>
  <c r="AW103" i="24"/>
  <c r="AV103" i="24"/>
  <c r="AU103" i="24"/>
  <c r="AT103" i="24"/>
  <c r="AS103" i="24"/>
  <c r="AR103" i="24"/>
  <c r="AQ103" i="24"/>
  <c r="AP103" i="24"/>
  <c r="AO103" i="24"/>
  <c r="AN103" i="24"/>
  <c r="AM103" i="24"/>
  <c r="AL103" i="24"/>
  <c r="AK103" i="24"/>
  <c r="AZ103" i="24" s="1"/>
  <c r="AK102" i="24"/>
  <c r="AY101" i="24"/>
  <c r="AX101" i="24"/>
  <c r="AW101" i="24"/>
  <c r="AV101" i="24"/>
  <c r="AU101" i="24"/>
  <c r="AT101" i="24"/>
  <c r="AS101" i="24"/>
  <c r="AR101" i="24"/>
  <c r="AQ101" i="24"/>
  <c r="AP101" i="24"/>
  <c r="AO101" i="24"/>
  <c r="AN101" i="24"/>
  <c r="AM101" i="24"/>
  <c r="AL101" i="24"/>
  <c r="AK101" i="24"/>
  <c r="AZ101" i="24" s="1"/>
  <c r="AK100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Z99" i="24" s="1"/>
  <c r="AK98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Z97" i="24" s="1"/>
  <c r="AK96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Z95" i="24" s="1"/>
  <c r="AK94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Z93" i="24" s="1"/>
  <c r="AY91" i="24"/>
  <c r="AX91" i="24"/>
  <c r="AW91" i="24"/>
  <c r="AV91" i="24"/>
  <c r="AU91" i="24"/>
  <c r="AT91" i="24"/>
  <c r="AS91" i="24"/>
  <c r="AR91" i="24"/>
  <c r="AQ91" i="24"/>
  <c r="AP91" i="24"/>
  <c r="AO91" i="24"/>
  <c r="AN91" i="24"/>
  <c r="AM91" i="24"/>
  <c r="AL91" i="24"/>
  <c r="AK91" i="24"/>
  <c r="AZ91" i="24" s="1"/>
  <c r="AK90" i="24"/>
  <c r="AY89" i="24"/>
  <c r="AX89" i="24"/>
  <c r="AW89" i="24"/>
  <c r="AV89" i="24"/>
  <c r="AU89" i="24"/>
  <c r="AK130" i="24" s="1"/>
  <c r="AT89" i="24"/>
  <c r="AS89" i="24"/>
  <c r="AR89" i="24"/>
  <c r="AQ89" i="24"/>
  <c r="AP89" i="24"/>
  <c r="AO89" i="24"/>
  <c r="AN89" i="24"/>
  <c r="AM89" i="24"/>
  <c r="AL89" i="24"/>
  <c r="AK89" i="24"/>
  <c r="AZ89" i="24" s="1"/>
  <c r="AK86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Z85" i="24" s="1"/>
  <c r="AK84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Z83" i="24" s="1"/>
  <c r="AK82" i="24"/>
  <c r="AY81" i="24"/>
  <c r="AX81" i="24"/>
  <c r="AW81" i="24"/>
  <c r="AV81" i="24"/>
  <c r="AU81" i="24"/>
  <c r="AT81" i="24"/>
  <c r="AS81" i="24"/>
  <c r="AR81" i="24"/>
  <c r="AQ81" i="24"/>
  <c r="AP81" i="24"/>
  <c r="AO81" i="24"/>
  <c r="AN81" i="24"/>
  <c r="AM81" i="24"/>
  <c r="AL81" i="24"/>
  <c r="AK81" i="24"/>
  <c r="AZ81" i="24" s="1"/>
  <c r="AK80" i="24"/>
  <c r="AY79" i="24"/>
  <c r="AX79" i="24"/>
  <c r="AW79" i="24"/>
  <c r="AV79" i="24"/>
  <c r="AU79" i="24"/>
  <c r="AT79" i="24"/>
  <c r="AS79" i="24"/>
  <c r="AR79" i="24"/>
  <c r="AQ79" i="24"/>
  <c r="AP79" i="24"/>
  <c r="AO79" i="24"/>
  <c r="AN79" i="24"/>
  <c r="AM79" i="24"/>
  <c r="AL79" i="24"/>
  <c r="AK79" i="24"/>
  <c r="AZ79" i="24" s="1"/>
  <c r="AK78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Z77" i="24" s="1"/>
  <c r="AK76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Z75" i="24" s="1"/>
  <c r="AK74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Z73" i="24" s="1"/>
  <c r="AK72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Z71" i="24" s="1"/>
  <c r="AK70" i="24"/>
  <c r="AY69" i="24"/>
  <c r="AX69" i="24"/>
  <c r="AW69" i="24"/>
  <c r="AV69" i="24"/>
  <c r="AU69" i="24"/>
  <c r="AT69" i="24"/>
  <c r="AS69" i="24"/>
  <c r="AR69" i="24"/>
  <c r="AQ69" i="24"/>
  <c r="AP69" i="24"/>
  <c r="AO69" i="24"/>
  <c r="AN69" i="24"/>
  <c r="AM69" i="24"/>
  <c r="AL69" i="24"/>
  <c r="AK69" i="24"/>
  <c r="AZ69" i="24" s="1"/>
  <c r="AK68" i="24"/>
  <c r="AY67" i="24"/>
  <c r="AX67" i="24"/>
  <c r="AW67" i="24"/>
  <c r="AV67" i="24"/>
  <c r="AU67" i="24"/>
  <c r="AT67" i="24"/>
  <c r="AS67" i="24"/>
  <c r="AR67" i="24"/>
  <c r="AQ67" i="24"/>
  <c r="AP67" i="24"/>
  <c r="AO67" i="24"/>
  <c r="AN67" i="24"/>
  <c r="AM67" i="24"/>
  <c r="AL67" i="24"/>
  <c r="AK67" i="24"/>
  <c r="AZ67" i="24" s="1"/>
  <c r="AK66" i="24"/>
  <c r="AY65" i="24"/>
  <c r="AX65" i="24"/>
  <c r="AW65" i="24"/>
  <c r="AV65" i="24"/>
  <c r="AU65" i="24"/>
  <c r="AT65" i="24"/>
  <c r="AS65" i="24"/>
  <c r="AR65" i="24"/>
  <c r="AQ65" i="24"/>
  <c r="AP65" i="24"/>
  <c r="AO65" i="24"/>
  <c r="AN65" i="24"/>
  <c r="AM65" i="24"/>
  <c r="AL65" i="24"/>
  <c r="AK65" i="24"/>
  <c r="AZ65" i="24" s="1"/>
  <c r="AK64" i="24"/>
  <c r="AY63" i="24"/>
  <c r="AX63" i="24"/>
  <c r="AW63" i="24"/>
  <c r="AV63" i="24"/>
  <c r="AU63" i="24"/>
  <c r="AT63" i="24"/>
  <c r="AS63" i="24"/>
  <c r="AR63" i="24"/>
  <c r="AQ63" i="24"/>
  <c r="AP63" i="24"/>
  <c r="AO63" i="24"/>
  <c r="AN63" i="24"/>
  <c r="AM63" i="24"/>
  <c r="AL63" i="24"/>
  <c r="AK63" i="24"/>
  <c r="AZ63" i="24" s="1"/>
  <c r="AK62" i="24"/>
  <c r="AY61" i="24"/>
  <c r="AX61" i="24"/>
  <c r="AW61" i="24"/>
  <c r="AV61" i="24"/>
  <c r="AU61" i="24"/>
  <c r="AT61" i="24"/>
  <c r="AS61" i="24"/>
  <c r="AR61" i="24"/>
  <c r="AQ61" i="24"/>
  <c r="AP61" i="24"/>
  <c r="AO61" i="24"/>
  <c r="AN61" i="24"/>
  <c r="AM61" i="24"/>
  <c r="AL61" i="24"/>
  <c r="AK61" i="24"/>
  <c r="AZ61" i="24" s="1"/>
  <c r="AK60" i="24"/>
  <c r="AY59" i="24"/>
  <c r="AX59" i="24"/>
  <c r="AW59" i="24"/>
  <c r="AV59" i="24"/>
  <c r="AU59" i="24"/>
  <c r="AT59" i="24"/>
  <c r="AS59" i="24"/>
  <c r="AR59" i="24"/>
  <c r="AQ59" i="24"/>
  <c r="AP59" i="24"/>
  <c r="AO59" i="24"/>
  <c r="AN59" i="24"/>
  <c r="AM59" i="24"/>
  <c r="AL59" i="24"/>
  <c r="AK59" i="24"/>
  <c r="AZ59" i="24" s="1"/>
  <c r="AK58" i="24"/>
  <c r="AY57" i="24"/>
  <c r="AX57" i="24"/>
  <c r="AW57" i="24"/>
  <c r="AV57" i="24"/>
  <c r="AU57" i="24"/>
  <c r="AT57" i="24"/>
  <c r="AS57" i="24"/>
  <c r="AR57" i="24"/>
  <c r="AQ57" i="24"/>
  <c r="AP57" i="24"/>
  <c r="AO57" i="24"/>
  <c r="AN57" i="24"/>
  <c r="AM57" i="24"/>
  <c r="AL57" i="24"/>
  <c r="AK57" i="24"/>
  <c r="AZ57" i="24" s="1"/>
  <c r="AK56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Z55" i="24" s="1"/>
  <c r="AK54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Z53" i="24" s="1"/>
  <c r="AK52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Z51" i="24" s="1"/>
  <c r="AK50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Z49" i="24" s="1"/>
  <c r="AK48" i="24"/>
  <c r="AY47" i="24"/>
  <c r="AX47" i="24"/>
  <c r="AW47" i="24"/>
  <c r="AV47" i="24"/>
  <c r="AU47" i="24"/>
  <c r="AT47" i="24"/>
  <c r="AS47" i="24"/>
  <c r="AR47" i="24"/>
  <c r="AQ47" i="24"/>
  <c r="AP47" i="24"/>
  <c r="AO47" i="24"/>
  <c r="AN47" i="24"/>
  <c r="AM47" i="24"/>
  <c r="AL47" i="24"/>
  <c r="AK47" i="24"/>
  <c r="AZ47" i="24" s="1"/>
  <c r="AK46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Z45" i="24" s="1"/>
  <c r="AK44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Z43" i="24" s="1"/>
  <c r="AK42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Z41" i="24" s="1"/>
  <c r="AK40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Z39" i="24" s="1"/>
  <c r="AK38" i="24"/>
  <c r="AY37" i="24"/>
  <c r="AX37" i="24"/>
  <c r="AW37" i="24"/>
  <c r="AV37" i="24"/>
  <c r="AU37" i="24"/>
  <c r="AT37" i="24"/>
  <c r="AS37" i="24"/>
  <c r="AR37" i="24"/>
  <c r="AQ37" i="24"/>
  <c r="AP37" i="24"/>
  <c r="AO37" i="24"/>
  <c r="AN37" i="24"/>
  <c r="AM37" i="24"/>
  <c r="AL37" i="24"/>
  <c r="AK37" i="24"/>
  <c r="AZ37" i="24" s="1"/>
  <c r="AK36" i="24"/>
  <c r="AY35" i="24"/>
  <c r="AX35" i="24"/>
  <c r="AW35" i="24"/>
  <c r="AV35" i="24"/>
  <c r="AU35" i="24"/>
  <c r="AT35" i="24"/>
  <c r="AS35" i="24"/>
  <c r="AR35" i="24"/>
  <c r="AQ35" i="24"/>
  <c r="AP35" i="24"/>
  <c r="AO35" i="24"/>
  <c r="AN35" i="24"/>
  <c r="AM35" i="24"/>
  <c r="AL35" i="24"/>
  <c r="AK35" i="24"/>
  <c r="AZ35" i="24" s="1"/>
  <c r="AK34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Z33" i="24" s="1"/>
  <c r="AK30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Z29" i="24" s="1"/>
  <c r="AK28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Z27" i="24" s="1"/>
  <c r="AK26" i="24"/>
  <c r="AY25" i="24"/>
  <c r="AX25" i="24"/>
  <c r="AW25" i="24"/>
  <c r="AV25" i="24"/>
  <c r="AU25" i="24"/>
  <c r="AT25" i="24"/>
  <c r="AS25" i="24"/>
  <c r="AR25" i="24"/>
  <c r="AQ25" i="24"/>
  <c r="AP25" i="24"/>
  <c r="AO25" i="24"/>
  <c r="AN25" i="24"/>
  <c r="AM25" i="24"/>
  <c r="AL25" i="24"/>
  <c r="AK25" i="24"/>
  <c r="AZ25" i="24" s="1"/>
  <c r="AK24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Z23" i="24" s="1"/>
  <c r="AK22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Z21" i="24" s="1"/>
  <c r="AK20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Z19" i="24" s="1"/>
  <c r="AK18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Z17" i="24" s="1"/>
  <c r="AK16" i="24"/>
  <c r="AY15" i="24"/>
  <c r="AX15" i="24"/>
  <c r="AW15" i="24"/>
  <c r="AV15" i="24"/>
  <c r="AU15" i="24"/>
  <c r="AT15" i="24"/>
  <c r="AS15" i="24"/>
  <c r="AR15" i="24"/>
  <c r="AQ15" i="24"/>
  <c r="AP15" i="24"/>
  <c r="AO15" i="24"/>
  <c r="AN15" i="24"/>
  <c r="AM15" i="24"/>
  <c r="AL15" i="24"/>
  <c r="AK15" i="24"/>
  <c r="AZ15" i="24" s="1"/>
  <c r="AK14" i="24"/>
  <c r="AY13" i="24"/>
  <c r="AX13" i="24"/>
  <c r="AW13" i="24"/>
  <c r="AV13" i="24"/>
  <c r="AU13" i="24"/>
  <c r="AT13" i="24"/>
  <c r="AS13" i="24"/>
  <c r="AR13" i="24"/>
  <c r="AQ13" i="24"/>
  <c r="AP13" i="24"/>
  <c r="AO13" i="24"/>
  <c r="AN13" i="24"/>
  <c r="AM13" i="24"/>
  <c r="AL13" i="24"/>
  <c r="AK13" i="24"/>
  <c r="AZ13" i="24" s="1"/>
  <c r="AK12" i="24"/>
  <c r="AY11" i="24"/>
  <c r="AX11" i="24"/>
  <c r="AW11" i="24"/>
  <c r="AV11" i="24"/>
  <c r="AU11" i="24"/>
  <c r="AT11" i="24"/>
  <c r="AS11" i="24"/>
  <c r="AR11" i="24"/>
  <c r="AQ11" i="24"/>
  <c r="AP11" i="24"/>
  <c r="AO11" i="24"/>
  <c r="AN11" i="24"/>
  <c r="AM11" i="24"/>
  <c r="AL11" i="24"/>
  <c r="AK11" i="24"/>
  <c r="AZ11" i="24" s="1"/>
  <c r="AK10" i="24"/>
  <c r="AY9" i="24"/>
  <c r="AX9" i="24"/>
  <c r="AW9" i="24"/>
  <c r="AV9" i="24"/>
  <c r="AU9" i="24"/>
  <c r="AT9" i="24"/>
  <c r="AS9" i="24"/>
  <c r="AR9" i="24"/>
  <c r="AQ9" i="24"/>
  <c r="AP9" i="24"/>
  <c r="AO9" i="24"/>
  <c r="AN9" i="24"/>
  <c r="AM9" i="24"/>
  <c r="AL9" i="24"/>
  <c r="AK9" i="24"/>
  <c r="AZ9" i="24" s="1"/>
  <c r="AK8" i="24"/>
  <c r="AY7" i="24"/>
  <c r="AX7" i="24"/>
  <c r="AW7" i="24"/>
  <c r="AV7" i="24"/>
  <c r="AU7" i="24"/>
  <c r="AS7" i="24"/>
  <c r="AR7" i="24"/>
  <c r="AQ7" i="24"/>
  <c r="AP7" i="24"/>
  <c r="AO7" i="24"/>
  <c r="AN7" i="24"/>
  <c r="AM7" i="24"/>
  <c r="AL7" i="24"/>
  <c r="AK7" i="24"/>
  <c r="AZ7" i="24" s="1"/>
  <c r="AK6" i="24"/>
  <c r="AY5" i="24"/>
  <c r="AX5" i="24"/>
  <c r="AW5" i="24"/>
  <c r="AV5" i="24"/>
  <c r="AU5" i="24"/>
  <c r="AT5" i="24"/>
  <c r="AS5" i="24"/>
  <c r="AR5" i="24"/>
  <c r="AQ5" i="24"/>
  <c r="AP5" i="24"/>
  <c r="AO5" i="24"/>
  <c r="AN5" i="24"/>
  <c r="AM5" i="24"/>
  <c r="AL5" i="24"/>
  <c r="AK5" i="24"/>
  <c r="AZ5" i="24" s="1"/>
  <c r="BD5" i="27" l="1"/>
  <c r="BD6" i="27" s="1"/>
  <c r="BF6" i="27" s="1"/>
  <c r="BC10" i="27" a="1"/>
  <c r="BC10" i="27" s="1"/>
  <c r="BF10" i="27" a="1"/>
  <c r="BF10" i="27" s="1"/>
  <c r="BC10" i="26" a="1"/>
  <c r="BC10" i="26" s="1"/>
  <c r="AZ10" i="26" a="1"/>
  <c r="AZ10" i="26" s="1"/>
  <c r="AW5" i="26"/>
  <c r="BC6" i="26"/>
  <c r="BC6" i="24"/>
  <c r="BC7" i="24" s="1"/>
  <c r="BE7" i="24" s="1"/>
  <c r="AK127" i="24"/>
  <c r="AK137" i="24"/>
  <c r="AH122" i="26"/>
  <c r="AH118" i="26"/>
  <c r="AH140" i="26"/>
  <c r="AK140" i="24"/>
  <c r="AK118" i="24"/>
  <c r="AK120" i="24"/>
  <c r="AK122" i="24"/>
  <c r="AH120" i="26"/>
  <c r="AK138" i="27"/>
  <c r="AK116" i="27"/>
  <c r="AK118" i="27"/>
  <c r="AK120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Maideen MOHAMED</author>
    <author>Joseph BINU</author>
  </authors>
  <commentList>
    <comment ref="G8" authorId="0" shapeId="0" xr:uid="{C4FBB0F1-0EAB-480D-ABAB-58C6029A88D8}">
      <text>
        <r>
          <rPr>
            <sz val="11"/>
            <color theme="1"/>
            <rFont val="Aptos Narrow"/>
            <family val="2"/>
            <scheme val="minor"/>
          </rPr>
          <t>Maideen MOHAMED:
FSJ OT</t>
        </r>
      </text>
    </comment>
    <comment ref="I12" authorId="0" shapeId="0" xr:uid="{8BBD34AC-5399-411D-8B64-D9DF2C0EE8AF}">
      <text>
        <r>
          <rPr>
            <sz val="11"/>
            <color theme="1"/>
            <rFont val="Aptos Narrow"/>
            <family val="2"/>
            <scheme val="minor"/>
          </rPr>
          <t>Maideen MOHAMED:
FSDIFC OT</t>
        </r>
      </text>
    </comment>
    <comment ref="G20" authorId="0" shapeId="0" xr:uid="{B154E788-B7D4-4476-BC87-C6B118057D82}">
      <text>
        <r>
          <rPr>
            <sz val="11"/>
            <color theme="1"/>
            <rFont val="Aptos Narrow"/>
            <family val="2"/>
            <scheme val="minor"/>
          </rPr>
          <t>Maideen MOHAMED:
FSJ OT</t>
        </r>
      </text>
    </comment>
    <comment ref="G24" authorId="1" shapeId="0" xr:uid="{F49E5108-77C8-426F-B779-23BB324EC45C}">
      <text>
        <r>
          <rPr>
            <sz val="11"/>
            <color theme="1"/>
            <rFont val="Aptos Narrow"/>
            <family val="2"/>
            <scheme val="minor"/>
          </rPr>
          <t>Joseph BINU:
modtd dec.2025</t>
        </r>
      </text>
    </comment>
    <comment ref="G26" authorId="0" shapeId="0" xr:uid="{8379A47B-EA39-4100-9E48-C68D80EF86CB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G42" authorId="0" shapeId="0" xr:uid="{8FCD8615-9643-48A0-93BC-6FD858DF206E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AA44" authorId="0" shapeId="0" xr:uid="{D0F70110-9A2F-48DE-A2C3-20441274C9F0}">
      <text>
        <r>
          <rPr>
            <sz val="11"/>
            <color theme="1"/>
            <rFont val="Aptos Narrow"/>
            <family val="2"/>
            <scheme val="minor"/>
          </rPr>
          <t>Maideen MOHAMED:
DIFC OT</t>
        </r>
      </text>
    </comment>
    <comment ref="G50" authorId="0" shapeId="0" xr:uid="{73FEF9DD-AA44-4B13-A73D-2612406E7591}">
      <text>
        <r>
          <rPr>
            <sz val="11"/>
            <color theme="1"/>
            <rFont val="Aptos Narrow"/>
            <family val="2"/>
            <scheme val="minor"/>
          </rPr>
          <t>Maideen MOHAMED:
FSJ OT</t>
        </r>
      </text>
    </comment>
    <comment ref="G52" authorId="0" shapeId="0" xr:uid="{9D3D8D7E-C90D-4F2C-A51C-D39E6F843926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G54" authorId="0" shapeId="0" xr:uid="{230AB08D-3274-4DF0-A92E-02A96944F294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H66" authorId="0" shapeId="0" xr:uid="{0D787788-8180-4800-A544-EB786D252D07}">
      <text>
        <r>
          <rPr>
            <sz val="11"/>
            <color theme="1"/>
            <rFont val="Aptos Narrow"/>
            <family val="2"/>
            <scheme val="minor"/>
          </rPr>
          <t>Maideen MOHAMED:
DIFC OT</t>
        </r>
      </text>
    </comment>
    <comment ref="G68" authorId="0" shapeId="0" xr:uid="{C3605C61-F75C-45A4-BE3F-12B429BCD964}">
      <text>
        <r>
          <rPr>
            <sz val="11"/>
            <color theme="1"/>
            <rFont val="Aptos Narrow"/>
            <family val="2"/>
            <scheme val="minor"/>
          </rPr>
          <t>Maideen MOHAMED:
maa</t>
        </r>
      </text>
    </comment>
    <comment ref="G74" authorId="0" shapeId="0" xr:uid="{D80B18C6-7341-4B27-905F-8B173B3D4407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G78" authorId="0" shapeId="0" xr:uid="{7A264F5F-F172-44B4-BA32-87C028D9D02F}">
      <text>
        <r>
          <rPr>
            <sz val="11"/>
            <color theme="1"/>
            <rFont val="Aptos Narrow"/>
            <family val="2"/>
            <scheme val="minor"/>
          </rPr>
          <t>Maideen MOHAMED:
modt</t>
        </r>
      </text>
    </comment>
    <comment ref="G84" authorId="0" shapeId="0" xr:uid="{04809433-508B-4BB8-A18C-7D916AF47263}">
      <text>
        <r>
          <rPr>
            <sz val="11"/>
            <color theme="1"/>
            <rFont val="Aptos Narrow"/>
            <family val="2"/>
            <scheme val="minor"/>
          </rPr>
          <t>Maideen MOHAMED:
FSJ</t>
        </r>
      </text>
    </comment>
    <comment ref="H86" authorId="0" shapeId="0" xr:uid="{64BA4D58-BE24-4AB7-B4DC-35CADBA5DB62}">
      <text>
        <r>
          <rPr>
            <sz val="11"/>
            <color theme="1"/>
            <rFont val="Aptos Narrow"/>
            <family val="2"/>
            <scheme val="minor"/>
          </rPr>
          <t>Maideen MOHAMED:
maa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Maideen MOHAMED</author>
  </authors>
  <commentList>
    <comment ref="G8" authorId="0" shapeId="0" xr:uid="{64ED907F-3444-40B3-89B3-9B923CB57C1F}">
      <text>
        <r>
          <rPr>
            <sz val="11"/>
            <color theme="1"/>
            <rFont val="Aptos Narrow"/>
            <family val="2"/>
            <scheme val="minor"/>
          </rPr>
          <t>Maideen MOHAMED:
FSJ OT</t>
        </r>
      </text>
    </comment>
    <comment ref="F12" authorId="0" shapeId="0" xr:uid="{C0F5CE38-4F03-4295-8313-7037DAF5FCC2}">
      <text>
        <r>
          <rPr>
            <sz val="11"/>
            <color theme="1"/>
            <rFont val="Aptos Narrow"/>
            <family val="2"/>
            <scheme val="minor"/>
          </rPr>
          <t>Maideen M
FS DIFC OT</t>
        </r>
      </text>
    </comment>
    <comment ref="F20" authorId="0" shapeId="0" xr:uid="{0F4C6219-941B-46F0-9E2A-1D8661BED786}">
      <text>
        <r>
          <rPr>
            <sz val="11"/>
            <color theme="1"/>
            <rFont val="Aptos Narrow"/>
            <family val="2"/>
            <scheme val="minor"/>
          </rPr>
          <t>Maideen MOHAMED:
FSJ OT</t>
        </r>
      </text>
    </comment>
    <comment ref="F21" authorId="0" shapeId="0" xr:uid="{C8B8FF2D-5E16-431B-9AC6-67B171F59F24}">
      <text>
        <r>
          <rPr>
            <sz val="11"/>
            <color theme="1"/>
            <rFont val="Aptos Narrow"/>
            <family val="2"/>
            <scheme val="minor"/>
          </rPr>
          <t>Maideen MOHAMED:
Jan OT carried on</t>
        </r>
      </text>
    </comment>
    <comment ref="F26" authorId="0" shapeId="0" xr:uid="{3CA22E8F-BDD9-4B98-9856-FBFC5A3CB5F7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F40" authorId="0" shapeId="0" xr:uid="{AC60EAF2-3B3F-4D01-83FF-ADBFF8DC5EC0}">
      <text>
        <r>
          <rPr>
            <sz val="11"/>
            <color theme="1"/>
            <rFont val="Aptos Narrow"/>
            <family val="2"/>
            <scheme val="minor"/>
          </rPr>
          <t>Maideen MOHAMED:
FSJ OT</t>
        </r>
      </text>
    </comment>
    <comment ref="L42" authorId="0" shapeId="0" xr:uid="{5C6E3EC4-D17E-4F0A-B6C4-412A5F4E4A4B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F50" authorId="0" shapeId="0" xr:uid="{A92602D9-72B7-44FA-A9F7-3B32FB25C23B}">
      <text>
        <r>
          <rPr>
            <sz val="11"/>
            <color theme="1"/>
            <rFont val="Aptos Narrow"/>
            <family val="2"/>
            <scheme val="minor"/>
          </rPr>
          <t>Maideen MOHAMED:
FSJ OT</t>
        </r>
      </text>
    </comment>
    <comment ref="G52" authorId="0" shapeId="0" xr:uid="{362A4A55-D7C2-41FF-9C90-ACEE95CFD854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G54" authorId="0" shapeId="0" xr:uid="{CCFA2E19-7CA7-47A5-93EF-F94491AC87D7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F74" authorId="0" shapeId="0" xr:uid="{A78E71AA-D683-48AE-B286-D149CE6C54B4}">
      <text>
        <r>
          <rPr>
            <sz val="11"/>
            <color theme="1"/>
            <rFont val="Aptos Narrow"/>
            <family val="2"/>
            <scheme val="minor"/>
          </rPr>
          <t>Maideen MOHAMED:
BAA</t>
        </r>
      </text>
    </comment>
    <comment ref="G82" authorId="0" shapeId="0" xr:uid="{84E311B3-2417-47C8-BD92-865326C2E92A}">
      <text>
        <r>
          <rPr>
            <sz val="11"/>
            <color theme="1"/>
            <rFont val="Aptos Narrow"/>
            <family val="2"/>
            <scheme val="minor"/>
          </rPr>
          <t>Maideen MOHAMED:
FSJ OT</t>
        </r>
      </text>
    </comment>
    <comment ref="G84" authorId="0" shapeId="0" xr:uid="{4AE28D21-404A-4608-AEA9-79A99298B16B}">
      <text>
        <r>
          <rPr>
            <sz val="11"/>
            <color theme="1"/>
            <rFont val="Aptos Narrow"/>
            <family val="2"/>
            <scheme val="minor"/>
          </rPr>
          <t>Maideen MOHAMED:
FSJ OT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<sst xmlns="http://schemas.openxmlformats.org/spreadsheetml/2006/main" count="5317" uniqueCount="148">
  <si>
    <t>MONTHLY ATTENDANCE- CHABE LUXURY  TRANSPORT LLC</t>
  </si>
  <si>
    <t>DATE</t>
  </si>
  <si>
    <t>S/N</t>
  </si>
  <si>
    <t>ID no.</t>
  </si>
  <si>
    <t>NAME</t>
  </si>
  <si>
    <t>DESIGNATION</t>
  </si>
  <si>
    <t>DAYS</t>
  </si>
  <si>
    <t>THU</t>
  </si>
  <si>
    <t>FRI</t>
  </si>
  <si>
    <t>SAT</t>
  </si>
  <si>
    <t>SUN</t>
  </si>
  <si>
    <t>MON</t>
  </si>
  <si>
    <t>TUE</t>
  </si>
  <si>
    <t>WED</t>
  </si>
  <si>
    <t>P</t>
  </si>
  <si>
    <t>A</t>
  </si>
  <si>
    <t>HD</t>
  </si>
  <si>
    <t>E</t>
  </si>
  <si>
    <t>H</t>
  </si>
  <si>
    <t>SL</t>
  </si>
  <si>
    <t>SUP</t>
  </si>
  <si>
    <t>UL</t>
  </si>
  <si>
    <t>L</t>
  </si>
  <si>
    <t>OD</t>
  </si>
  <si>
    <t>OT</t>
  </si>
  <si>
    <t>T</t>
  </si>
  <si>
    <t>S</t>
  </si>
  <si>
    <t>RW</t>
  </si>
  <si>
    <t>TD</t>
  </si>
  <si>
    <t>P+OT</t>
  </si>
  <si>
    <t>ABDULLA</t>
  </si>
  <si>
    <t>LIMO DRIVER</t>
  </si>
  <si>
    <t>LETTERS</t>
  </si>
  <si>
    <t>Total off day</t>
  </si>
  <si>
    <t>OT Hours</t>
  </si>
  <si>
    <t>Real</t>
  </si>
  <si>
    <t>Cost</t>
  </si>
  <si>
    <t>AHMED IRFAN</t>
  </si>
  <si>
    <t>Difference</t>
  </si>
  <si>
    <t>AMANULLAH</t>
  </si>
  <si>
    <t>ANAM</t>
  </si>
  <si>
    <t>ANEEFA</t>
  </si>
  <si>
    <t xml:space="preserve">ANEES </t>
  </si>
  <si>
    <t>ASAL</t>
  </si>
  <si>
    <t>ATTA RASOOL</t>
  </si>
  <si>
    <t>ATTIQ</t>
  </si>
  <si>
    <t>BILAL</t>
  </si>
  <si>
    <t>FAROOK</t>
  </si>
  <si>
    <t>HAJA</t>
  </si>
  <si>
    <t>IBRAHIM</t>
  </si>
  <si>
    <t>HAIDER ZAMAN</t>
  </si>
  <si>
    <t>JAHIR</t>
  </si>
  <si>
    <t>JOY</t>
  </si>
  <si>
    <t>KAMRAN</t>
  </si>
  <si>
    <t>KENE</t>
  </si>
  <si>
    <t>MOHSIN</t>
  </si>
  <si>
    <t>MOIDEEN</t>
  </si>
  <si>
    <t>NANDHAN</t>
  </si>
  <si>
    <t>NASEEM</t>
  </si>
  <si>
    <t>NAWAZ</t>
  </si>
  <si>
    <t>NIZAM</t>
  </si>
  <si>
    <t>PRANAV</t>
  </si>
  <si>
    <t>QADIR</t>
  </si>
  <si>
    <t>RASHEED</t>
  </si>
  <si>
    <t xml:space="preserve">RAJAN </t>
  </si>
  <si>
    <t>RIYAS</t>
  </si>
  <si>
    <t>RIJU</t>
  </si>
  <si>
    <t>SACKEER</t>
  </si>
  <si>
    <t>SHAMIL</t>
  </si>
  <si>
    <t>SHAH</t>
  </si>
  <si>
    <t>SHAHZAD</t>
  </si>
  <si>
    <t>SHIJU</t>
  </si>
  <si>
    <t>SIRAJUDHEEN</t>
  </si>
  <si>
    <t>SOHAIL</t>
  </si>
  <si>
    <t>SUMESH</t>
  </si>
  <si>
    <t>USMAN</t>
  </si>
  <si>
    <t>UMER</t>
  </si>
  <si>
    <t>WAHID</t>
  </si>
  <si>
    <t>WAQAR AHMAD</t>
  </si>
  <si>
    <t>MOHAMMAD</t>
  </si>
  <si>
    <t>PRO</t>
  </si>
  <si>
    <t>FANCY</t>
  </si>
  <si>
    <t>ACCOUNTANT</t>
  </si>
  <si>
    <t>BINU</t>
  </si>
  <si>
    <t>OPERATIONS</t>
  </si>
  <si>
    <t>ANOOP</t>
  </si>
  <si>
    <t>AZEEM</t>
  </si>
  <si>
    <t>MAIDEEN</t>
  </si>
  <si>
    <t>PRINCE G P</t>
  </si>
  <si>
    <t>SAJUB</t>
  </si>
  <si>
    <t>SHANAVAS</t>
  </si>
  <si>
    <t>RAIZA</t>
  </si>
  <si>
    <t>LOSHIN</t>
  </si>
  <si>
    <t>PATMA</t>
  </si>
  <si>
    <t>CAR WASHER</t>
  </si>
  <si>
    <t>RAWUTHAR</t>
  </si>
  <si>
    <t>RAMANJANEYULU</t>
  </si>
  <si>
    <t>MARIAM</t>
  </si>
  <si>
    <t>LOCAL</t>
  </si>
  <si>
    <t>FETOUN</t>
  </si>
  <si>
    <t>SHAIKHA</t>
  </si>
  <si>
    <t>Total chauffeur</t>
  </si>
  <si>
    <t>Total staff</t>
  </si>
  <si>
    <t>Note:</t>
  </si>
  <si>
    <t>If you want to write comments please right click and click the "insert comments"</t>
  </si>
  <si>
    <t>Total OT Days Driv</t>
  </si>
  <si>
    <t>SN</t>
  </si>
  <si>
    <t>Letter</t>
  </si>
  <si>
    <t>Meaning</t>
  </si>
  <si>
    <t>1</t>
  </si>
  <si>
    <t>Present</t>
  </si>
  <si>
    <t>2</t>
  </si>
  <si>
    <t xml:space="preserve">Absent </t>
  </si>
  <si>
    <t>Total OT Days Staff</t>
  </si>
  <si>
    <t>3</t>
  </si>
  <si>
    <t>Half Day</t>
  </si>
  <si>
    <t>4</t>
  </si>
  <si>
    <t>Emergency leave</t>
  </si>
  <si>
    <t>5</t>
  </si>
  <si>
    <t>Holiday</t>
  </si>
  <si>
    <t>Total OT Days Cleaners LLC</t>
  </si>
  <si>
    <t>6</t>
  </si>
  <si>
    <t>Sick Leave</t>
  </si>
  <si>
    <t>7</t>
  </si>
  <si>
    <t>Sick Leave UP</t>
  </si>
  <si>
    <t>8</t>
  </si>
  <si>
    <t>Unpaid leave</t>
  </si>
  <si>
    <t>9</t>
  </si>
  <si>
    <t xml:space="preserve">Leave </t>
  </si>
  <si>
    <t>Total OT Hours Driv</t>
  </si>
  <si>
    <t>10</t>
  </si>
  <si>
    <t>Off Day</t>
  </si>
  <si>
    <t>11</t>
  </si>
  <si>
    <t>Over Time</t>
  </si>
  <si>
    <t>12</t>
  </si>
  <si>
    <t>Tardy (late in coming)</t>
  </si>
  <si>
    <t>Total OT Hours Staff</t>
  </si>
  <si>
    <t>13</t>
  </si>
  <si>
    <t>Suspended</t>
  </si>
  <si>
    <t>14</t>
  </si>
  <si>
    <t>Remote working day</t>
  </si>
  <si>
    <t>15</t>
  </si>
  <si>
    <t xml:space="preserve">Total number of days </t>
  </si>
  <si>
    <t>Total OT Hours Cleaners LLC</t>
  </si>
  <si>
    <t>Last day off</t>
  </si>
  <si>
    <t>IF POSSIBLE</t>
  </si>
  <si>
    <t>Need to be OFF = 6 days</t>
  </si>
  <si>
    <t>In late to be OFF &gt; 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</si>
</sst>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i/>
      <sz val="10"/>
      <color rgb="FF0000FF"/>
      <name val="Arial"/>
      <family val="2"/>
    </font>
    <font>
      <b/>
      <i/>
      <sz val="9"/>
      <color rgb="FF0000FF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u/>
      <sz val="9"/>
      <color theme="1"/>
      <name val="Aptos Narrow"/>
      <family val="2"/>
      <scheme val="minor"/>
    </font>
    <font>
      <u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name val="Arial"/>
    </font>
    <font>
      <b/>
      <sz val="10"/>
      <name val="Arial"/>
      <family val="2"/>
    </font>
    <font>
      <u/>
      <sz val="9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FF0000"/>
      <name val="Arial"/>
    </font>
    <font>
      <sz val="9"/>
      <color theme="1"/>
      <name val="Arial"/>
    </font>
    <font>
      <sz val="9"/>
      <color rgb="FF000000"/>
      <name val="Arial"/>
    </font>
    <font>
      <b/>
      <sz val="9"/>
      <color rgb="FF000000"/>
      <name val="Arial"/>
      <family val="2"/>
    </font>
    <font>
      <b/>
      <sz val="9"/>
      <color rgb="FFFF0000"/>
      <name val="Arial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name val="Arial"/>
      <family val="2"/>
    </font>
    <font>
      <sz val="8"/>
      <color rgb="FF000000"/>
      <name val="Arial"/>
      <family val="2"/>
    </font>
    <font>
      <b/>
      <i/>
      <sz val="9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90D1"/>
        <bgColor indexed="64"/>
      </patternFill>
    </fill>
    <fill>
      <patternFill patternType="solid">
        <fgColor rgb="FFF086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6916"/>
        <bgColor indexed="64"/>
      </patternFill>
    </fill>
    <fill>
      <patternFill patternType="solid">
        <fgColor rgb="FF31E8B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392D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1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 style="hair">
        <color indexed="64"/>
      </bottom>
      <diagonal/>
    </border>
    <border>
      <left style="hair">
        <color indexed="64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 style="medium">
        <color rgb="FF000000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rgb="FF000000"/>
      </right>
      <top/>
      <bottom style="hair">
        <color indexed="64"/>
      </bottom>
      <diagonal/>
    </border>
    <border>
      <left style="hair">
        <color indexed="64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hair">
        <color indexed="64"/>
      </right>
      <top/>
      <bottom style="medium">
        <color rgb="FF000000"/>
      </bottom>
      <diagonal/>
    </border>
    <border>
      <left style="hair">
        <color indexed="64"/>
      </left>
      <right style="hair">
        <color indexed="64"/>
      </right>
      <top/>
      <bottom style="medium">
        <color rgb="FF000000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/>
      <diagonal/>
    </border>
    <border>
      <left/>
      <right style="hair">
        <color indexed="64"/>
      </right>
      <top style="medium">
        <color rgb="FF000000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rgb="FF000000"/>
      </bottom>
      <diagonal/>
    </border>
    <border>
      <left/>
      <right/>
      <top style="hair">
        <color indexed="64"/>
      </top>
      <bottom style="medium">
        <color rgb="FF000000"/>
      </bottom>
      <diagonal/>
    </border>
    <border>
      <left style="medium">
        <color rgb="FF000000"/>
      </left>
      <right style="hair">
        <color indexed="64"/>
      </right>
      <top style="hair">
        <color indexed="64"/>
      </top>
      <bottom/>
      <diagonal/>
    </border>
    <border>
      <left style="medium">
        <color rgb="FF000000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rgb="FF000000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dotted">
        <color rgb="FF000000"/>
      </left>
      <right/>
      <top style="dotted">
        <color rgb="FF000000"/>
      </top>
      <bottom style="hair">
        <color indexed="64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 style="hair">
        <color indexed="64"/>
      </bottom>
      <diagonal/>
    </border>
    <border>
      <left style="dotted">
        <color rgb="FF000000"/>
      </left>
      <right/>
      <top/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hair">
        <color indexed="64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/>
      <diagonal/>
    </border>
    <border>
      <left style="hair">
        <color indexed="64"/>
      </left>
      <right style="medium">
        <color rgb="FF000000"/>
      </right>
      <top style="hair">
        <color indexed="64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hair">
        <color indexed="64"/>
      </right>
      <top style="dotted">
        <color rgb="FF000000"/>
      </top>
      <bottom/>
      <diagonal/>
    </border>
    <border>
      <left style="hair">
        <color indexed="64"/>
      </left>
      <right style="hair">
        <color indexed="64"/>
      </right>
      <top style="dotted">
        <color rgb="FF000000"/>
      </top>
      <bottom/>
      <diagonal/>
    </border>
    <border>
      <left style="hair">
        <color indexed="64"/>
      </left>
      <right style="hair">
        <color indexed="64"/>
      </right>
      <top style="dotted">
        <color rgb="FF000000"/>
      </top>
      <bottom style="dotted">
        <color rgb="FF000000"/>
      </bottom>
      <diagonal/>
    </border>
    <border>
      <left style="hair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hair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indexed="64"/>
      </right>
      <top style="medium">
        <color rgb="FF000000"/>
      </top>
      <bottom/>
      <diagonal/>
    </border>
    <border>
      <left style="hair">
        <color indexed="64"/>
      </left>
      <right/>
      <top/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/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tted">
        <color rgb="FF000000"/>
      </left>
      <right style="dotted">
        <color rgb="FF000000"/>
      </right>
      <top/>
      <bottom style="hair">
        <color indexed="64"/>
      </bottom>
      <diagonal/>
    </border>
    <border>
      <left style="dotted">
        <color rgb="FF000000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dotted">
        <color rgb="FF000000"/>
      </bottom>
      <diagonal/>
    </border>
    <border>
      <left style="dotted">
        <color rgb="FF000000"/>
      </left>
      <right style="hair">
        <color indexed="64"/>
      </right>
      <top style="dotted">
        <color rgb="FF000000"/>
      </top>
      <bottom style="dotted">
        <color rgb="FF000000"/>
      </bottom>
      <diagonal/>
    </border>
    <border>
      <left/>
      <right style="hair">
        <color indexed="64"/>
      </right>
      <top/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hair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/>
      <top/>
      <bottom style="hair">
        <color indexed="64"/>
      </bottom>
      <diagonal/>
    </border>
    <border>
      <left/>
      <right style="hair">
        <color indexed="64"/>
      </right>
      <top style="dotted">
        <color rgb="FF00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rgb="FF000000"/>
      </top>
      <bottom style="hair">
        <color indexed="64"/>
      </bottom>
      <diagonal/>
    </border>
    <border>
      <left/>
      <right style="medium">
        <color rgb="FF000000"/>
      </right>
      <top style="hair">
        <color indexed="64"/>
      </top>
      <bottom style="dotted">
        <color rgb="FF000000"/>
      </bottom>
      <diagonal/>
    </border>
    <border>
      <left/>
      <right/>
      <top style="hair">
        <color indexed="64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hair">
        <color indexed="64"/>
      </right>
      <top style="dotted">
        <color rgb="FF000000"/>
      </top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 style="dotted">
        <color rgb="FF000000"/>
      </bottom>
      <diagonal/>
    </border>
    <border>
      <left style="hair">
        <color indexed="64"/>
      </left>
      <right/>
      <top style="dotted">
        <color rgb="FF000000"/>
      </top>
      <bottom style="hair">
        <color indexed="64"/>
      </bottom>
      <diagonal/>
    </border>
    <border>
      <left style="hair">
        <color indexed="64"/>
      </left>
      <right/>
      <top/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hair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hair">
        <color indexed="64"/>
      </right>
      <top style="dotted">
        <color rgb="FF000000"/>
      </top>
      <bottom/>
      <diagonal/>
    </border>
    <border>
      <left style="hair">
        <color indexed="64"/>
      </left>
      <right style="medium">
        <color rgb="FF000000"/>
      </right>
      <top style="dotted">
        <color rgb="FF000000"/>
      </top>
      <bottom style="hair">
        <color indexed="64"/>
      </bottom>
      <diagonal/>
    </border>
    <border>
      <left style="medium">
        <color rgb="FF000000"/>
      </left>
      <right style="hair">
        <color indexed="64"/>
      </right>
      <top/>
      <bottom style="dotted">
        <color rgb="FF000000"/>
      </bottom>
      <diagonal/>
    </border>
    <border>
      <left style="hair">
        <color indexed="64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hair">
        <color indexed="64"/>
      </right>
      <top style="medium">
        <color rgb="FF00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hair">
        <color indexed="64"/>
      </bottom>
      <diagonal/>
    </border>
    <border>
      <left/>
      <right style="hair">
        <color indexed="64"/>
      </right>
      <top style="medium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hair">
        <color indexed="64"/>
      </bottom>
      <diagonal/>
    </border>
    <border>
      <left/>
      <right style="dotted">
        <color rgb="FF000000"/>
      </right>
      <top/>
      <bottom style="hair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hair">
        <color indexed="64"/>
      </left>
      <right/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hair">
        <color indexed="64"/>
      </right>
      <top style="dotted">
        <color rgb="FF000000"/>
      </top>
      <bottom/>
      <diagonal/>
    </border>
    <border>
      <left style="hair">
        <color indexed="64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hair">
        <color indexed="64"/>
      </right>
      <top style="dotted">
        <color rgb="FF000000"/>
      </top>
      <bottom style="medium">
        <color rgb="FF000000"/>
      </bottom>
      <diagonal/>
    </border>
    <border>
      <left/>
      <right style="hair">
        <color indexed="64"/>
      </right>
      <top style="dotted">
        <color rgb="FF000000"/>
      </top>
      <bottom style="medium">
        <color rgb="FF000000"/>
      </bottom>
      <diagonal/>
    </border>
    <border>
      <left style="hair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hair">
        <color indexed="64"/>
      </left>
      <right/>
      <top style="dotted">
        <color rgb="FF000000"/>
      </top>
      <bottom/>
      <diagonal/>
    </border>
    <border>
      <left style="dotted">
        <color rgb="FF000000"/>
      </left>
      <right/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hair">
        <color indexed="64"/>
      </right>
      <top/>
      <bottom style="dotted">
        <color rgb="FF000000"/>
      </bottom>
      <diagonal/>
    </border>
  </borders>
  <cellStyleXfs count="1">
    <xf numFmtId="0" fontId="0" fillId="0" borderId="0"/>
  </cellStyleXfs>
  <cellXfs count="527">
    <xf numFmtId="0" fontId="0" fillId="0" borderId="0" xfId="0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4" fillId="2" borderId="0" xfId="0" applyFont="1" applyFill="1"/>
    <xf numFmtId="0" fontId="4" fillId="2" borderId="1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4" fillId="2" borderId="0" xfId="0" applyFont="1" applyFill="1" applyAlignment="1">
      <alignment textRotation="90"/>
    </xf>
    <xf numFmtId="0" fontId="12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3" fillId="2" borderId="0" xfId="0" applyFont="1" applyFill="1" applyAlignment="1">
      <alignment horizontal="center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/>
    <xf numFmtId="2" fontId="0" fillId="0" borderId="0" xfId="0" applyNumberFormat="1"/>
    <xf numFmtId="0" fontId="7" fillId="2" borderId="23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textRotation="9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18" fillId="2" borderId="8" xfId="0" applyFont="1" applyFill="1" applyBorder="1" applyAlignment="1">
      <alignment horizontal="center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17" fillId="2" borderId="10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3" fillId="2" borderId="39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4" fillId="0" borderId="31" xfId="0" applyFont="1" applyBorder="1" applyAlignment="1">
      <alignment vertical="center"/>
    </xf>
    <xf numFmtId="0" fontId="4" fillId="2" borderId="39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4" fillId="2" borderId="9" xfId="0" applyNumberFormat="1" applyFont="1" applyFill="1" applyBorder="1" applyAlignment="1">
      <alignment horizontal="left" vertical="center" indent="1"/>
    </xf>
    <xf numFmtId="0" fontId="4" fillId="2" borderId="12" xfId="0" applyFont="1" applyFill="1" applyBorder="1" applyAlignment="1">
      <alignment horizontal="left" vertical="center" indent="1"/>
    </xf>
    <xf numFmtId="0" fontId="4" fillId="2" borderId="32" xfId="0" applyFont="1" applyFill="1" applyBorder="1" applyAlignment="1">
      <alignment horizontal="left" vertical="center" indent="1"/>
    </xf>
    <xf numFmtId="0" fontId="4" fillId="2" borderId="40" xfId="0" applyFont="1" applyFill="1" applyBorder="1" applyAlignment="1" applyProtection="1">
      <alignment horizontal="left" vertical="center" indent="1"/>
      <protection locked="0"/>
    </xf>
    <xf numFmtId="0" fontId="4" fillId="0" borderId="7" xfId="0" applyFont="1" applyBorder="1" applyAlignment="1">
      <alignment horizontal="center"/>
    </xf>
    <xf numFmtId="164" fontId="4" fillId="2" borderId="10" xfId="0" applyNumberFormat="1" applyFont="1" applyFill="1" applyBorder="1" applyAlignment="1">
      <alignment horizontal="left" vertical="center" indent="1"/>
    </xf>
    <xf numFmtId="0" fontId="4" fillId="2" borderId="10" xfId="0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left" vertical="center" indent="1"/>
    </xf>
    <xf numFmtId="0" fontId="7" fillId="2" borderId="41" xfId="0" applyFont="1" applyFill="1" applyBorder="1" applyAlignment="1" applyProtection="1">
      <alignment horizontal="left" vertical="center" indent="1"/>
      <protection locked="0"/>
    </xf>
    <xf numFmtId="0" fontId="4" fillId="2" borderId="9" xfId="0" applyFont="1" applyFill="1" applyBorder="1" applyAlignment="1">
      <alignment horizontal="left" vertical="center" indent="1"/>
    </xf>
    <xf numFmtId="0" fontId="4" fillId="2" borderId="42" xfId="0" applyFont="1" applyFill="1" applyBorder="1" applyAlignment="1">
      <alignment horizontal="left" vertical="center" indent="1"/>
    </xf>
    <xf numFmtId="0" fontId="7" fillId="2" borderId="39" xfId="0" applyFont="1" applyFill="1" applyBorder="1" applyAlignment="1" applyProtection="1">
      <alignment horizontal="left" vertical="center" indent="1"/>
      <protection locked="0"/>
    </xf>
    <xf numFmtId="164" fontId="4" fillId="2" borderId="12" xfId="0" applyNumberFormat="1" applyFont="1" applyFill="1" applyBorder="1" applyAlignment="1">
      <alignment horizontal="left" vertical="center" indent="1"/>
    </xf>
    <xf numFmtId="0" fontId="4" fillId="2" borderId="43" xfId="0" applyFont="1" applyFill="1" applyBorder="1" applyAlignment="1" applyProtection="1">
      <alignment horizontal="left" vertical="center" indent="1"/>
      <protection locked="0"/>
    </xf>
    <xf numFmtId="0" fontId="7" fillId="2" borderId="35" xfId="0" applyFont="1" applyFill="1" applyBorder="1" applyAlignment="1" applyProtection="1">
      <alignment horizontal="left" vertical="center" indent="1"/>
      <protection locked="0"/>
    </xf>
    <xf numFmtId="0" fontId="4" fillId="0" borderId="12" xfId="0" applyFont="1" applyBorder="1" applyAlignment="1">
      <alignment horizontal="left" vertical="center" indent="1"/>
    </xf>
    <xf numFmtId="0" fontId="4" fillId="2" borderId="35" xfId="0" applyFont="1" applyFill="1" applyBorder="1" applyAlignment="1" applyProtection="1">
      <alignment horizontal="left" vertical="center" indent="1"/>
      <protection locked="0"/>
    </xf>
    <xf numFmtId="0" fontId="4" fillId="0" borderId="10" xfId="0" applyFont="1" applyBorder="1" applyAlignment="1">
      <alignment horizontal="left" vertical="center" indent="1"/>
    </xf>
    <xf numFmtId="0" fontId="7" fillId="2" borderId="15" xfId="0" applyFont="1" applyFill="1" applyBorder="1" applyAlignment="1" applyProtection="1">
      <alignment horizontal="left" vertical="center" indent="1"/>
      <protection locked="0"/>
    </xf>
    <xf numFmtId="0" fontId="18" fillId="0" borderId="8" xfId="0" applyFont="1" applyBorder="1" applyAlignment="1">
      <alignment horizontal="center"/>
    </xf>
    <xf numFmtId="0" fontId="13" fillId="12" borderId="16" xfId="0" applyFont="1" applyFill="1" applyBorder="1" applyAlignment="1">
      <alignment horizontal="center" wrapText="1"/>
    </xf>
    <xf numFmtId="0" fontId="13" fillId="13" borderId="16" xfId="0" applyFont="1" applyFill="1" applyBorder="1" applyAlignment="1">
      <alignment horizontal="center" wrapText="1"/>
    </xf>
    <xf numFmtId="0" fontId="7" fillId="2" borderId="30" xfId="0" applyFont="1" applyFill="1" applyBorder="1" applyAlignment="1" applyProtection="1">
      <alignment horizontal="left" vertical="center" indent="1"/>
      <protection locked="0"/>
    </xf>
    <xf numFmtId="164" fontId="4" fillId="2" borderId="24" xfId="0" applyNumberFormat="1" applyFont="1" applyFill="1" applyBorder="1" applyAlignment="1">
      <alignment horizontal="left" vertical="center" indent="1"/>
    </xf>
    <xf numFmtId="0" fontId="4" fillId="2" borderId="24" xfId="0" applyFont="1" applyFill="1" applyBorder="1" applyAlignment="1">
      <alignment horizontal="left" vertical="center" indent="1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2" borderId="12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left" vertical="center" wrapText="1" indent="1"/>
    </xf>
    <xf numFmtId="0" fontId="4" fillId="2" borderId="47" xfId="0" applyFont="1" applyFill="1" applyBorder="1" applyAlignment="1">
      <alignment horizontal="left" vertical="center" indent="1"/>
    </xf>
    <xf numFmtId="0" fontId="4" fillId="2" borderId="40" xfId="0" applyFont="1" applyFill="1" applyBorder="1" applyAlignment="1">
      <alignment horizontal="left" vertical="center" indent="1"/>
    </xf>
    <xf numFmtId="0" fontId="4" fillId="2" borderId="49" xfId="0" applyFont="1" applyFill="1" applyBorder="1" applyAlignment="1">
      <alignment horizontal="left" vertical="center" indent="1"/>
    </xf>
    <xf numFmtId="0" fontId="4" fillId="2" borderId="13" xfId="0" applyFont="1" applyFill="1" applyBorder="1" applyAlignment="1">
      <alignment horizontal="left" vertical="center" indent="1"/>
    </xf>
    <xf numFmtId="164" fontId="4" fillId="2" borderId="50" xfId="0" applyNumberFormat="1" applyFont="1" applyFill="1" applyBorder="1" applyAlignment="1">
      <alignment horizontal="left" vertical="center" indent="1"/>
    </xf>
    <xf numFmtId="0" fontId="4" fillId="2" borderId="31" xfId="0" applyFont="1" applyFill="1" applyBorder="1" applyAlignment="1">
      <alignment horizontal="left" vertical="center" indent="1"/>
    </xf>
    <xf numFmtId="0" fontId="4" fillId="0" borderId="12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164" fontId="4" fillId="2" borderId="52" xfId="0" applyNumberFormat="1" applyFont="1" applyFill="1" applyBorder="1" applyAlignment="1">
      <alignment horizontal="left" vertical="center" indent="1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46" xfId="0" applyFont="1" applyFill="1" applyBorder="1" applyAlignment="1" applyProtection="1">
      <alignment horizontal="left" vertical="center" indent="1"/>
      <protection locked="0"/>
    </xf>
    <xf numFmtId="0" fontId="4" fillId="0" borderId="45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7" fillId="2" borderId="62" xfId="0" applyFont="1" applyFill="1" applyBorder="1" applyAlignment="1" applyProtection="1">
      <alignment horizontal="left" vertical="center" indent="1"/>
      <protection locked="0"/>
    </xf>
    <xf numFmtId="0" fontId="7" fillId="2" borderId="22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/>
    <xf numFmtId="0" fontId="1" fillId="2" borderId="16" xfId="0" applyFont="1" applyFill="1" applyBorder="1" applyAlignment="1">
      <alignment horizontal="center"/>
    </xf>
    <xf numFmtId="0" fontId="20" fillId="2" borderId="16" xfId="0" applyFont="1" applyFill="1" applyBorder="1" applyAlignment="1">
      <alignment horizontal="center" wrapText="1"/>
    </xf>
    <xf numFmtId="0" fontId="20" fillId="2" borderId="16" xfId="0" applyFont="1" applyFill="1" applyBorder="1" applyAlignment="1">
      <alignment horizontal="center"/>
    </xf>
    <xf numFmtId="0" fontId="1" fillId="2" borderId="16" xfId="0" quotePrefix="1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4" fillId="2" borderId="65" xfId="0" applyFont="1" applyFill="1" applyBorder="1"/>
    <xf numFmtId="0" fontId="13" fillId="11" borderId="16" xfId="0" applyFont="1" applyFill="1" applyBorder="1" applyAlignment="1">
      <alignment horizontal="center" wrapText="1"/>
    </xf>
    <xf numFmtId="0" fontId="13" fillId="2" borderId="16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 wrapText="1"/>
    </xf>
    <xf numFmtId="0" fontId="21" fillId="2" borderId="0" xfId="0" applyFont="1" applyFill="1"/>
    <xf numFmtId="0" fontId="13" fillId="5" borderId="16" xfId="0" applyFont="1" applyFill="1" applyBorder="1" applyAlignment="1">
      <alignment horizontal="center" wrapText="1"/>
    </xf>
    <xf numFmtId="0" fontId="22" fillId="2" borderId="0" xfId="0" applyFont="1" applyFill="1"/>
    <xf numFmtId="0" fontId="13" fillId="10" borderId="16" xfId="0" applyFont="1" applyFill="1" applyBorder="1" applyAlignment="1">
      <alignment horizontal="center" wrapText="1"/>
    </xf>
    <xf numFmtId="0" fontId="13" fillId="8" borderId="16" xfId="0" applyFont="1" applyFill="1" applyBorder="1" applyAlignment="1">
      <alignment horizontal="center" wrapText="1"/>
    </xf>
    <xf numFmtId="0" fontId="13" fillId="7" borderId="16" xfId="0" applyFont="1" applyFill="1" applyBorder="1" applyAlignment="1">
      <alignment horizontal="center" wrapText="1"/>
    </xf>
    <xf numFmtId="0" fontId="13" fillId="3" borderId="16" xfId="0" applyFont="1" applyFill="1" applyBorder="1" applyAlignment="1">
      <alignment horizontal="center" wrapText="1"/>
    </xf>
    <xf numFmtId="0" fontId="13" fillId="6" borderId="16" xfId="0" applyFont="1" applyFill="1" applyBorder="1" applyAlignment="1">
      <alignment horizontal="center" wrapText="1"/>
    </xf>
    <xf numFmtId="0" fontId="0" fillId="9" borderId="0" xfId="0" applyFill="1" applyAlignment="1">
      <alignment horizontal="center"/>
    </xf>
    <xf numFmtId="0" fontId="17" fillId="2" borderId="13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0" fontId="17" fillId="2" borderId="9" xfId="0" applyFont="1" applyFill="1" applyBorder="1" applyAlignment="1" applyProtection="1">
      <alignment horizontal="center" vertical="center"/>
      <protection locked="0"/>
    </xf>
    <xf numFmtId="0" fontId="4" fillId="2" borderId="35" xfId="0" applyFont="1" applyFill="1" applyBorder="1" applyAlignment="1" applyProtection="1">
      <alignment horizontal="center" vertical="center"/>
      <protection locked="0"/>
    </xf>
    <xf numFmtId="0" fontId="4" fillId="2" borderId="46" xfId="0" applyFont="1" applyFill="1" applyBorder="1" applyAlignment="1" applyProtection="1">
      <alignment horizontal="center" vertical="center"/>
      <protection locked="0"/>
    </xf>
    <xf numFmtId="0" fontId="17" fillId="2" borderId="57" xfId="0" applyFont="1" applyFill="1" applyBorder="1" applyAlignment="1" applyProtection="1">
      <alignment horizontal="center" vertical="center"/>
      <protection locked="0"/>
    </xf>
    <xf numFmtId="0" fontId="17" fillId="2" borderId="31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>
      <alignment horizontal="left" vertical="center" indent="1"/>
    </xf>
    <xf numFmtId="0" fontId="4" fillId="2" borderId="70" xfId="0" applyFont="1" applyFill="1" applyBorder="1" applyAlignment="1">
      <alignment horizontal="left" vertical="center" indent="1"/>
    </xf>
    <xf numFmtId="0" fontId="7" fillId="2" borderId="71" xfId="0" applyFont="1" applyFill="1" applyBorder="1" applyAlignment="1" applyProtection="1">
      <alignment horizontal="left" vertical="center" indent="1"/>
      <protection locked="0"/>
    </xf>
    <xf numFmtId="0" fontId="17" fillId="2" borderId="23" xfId="0" applyFont="1" applyFill="1" applyBorder="1" applyAlignment="1" applyProtection="1">
      <alignment horizontal="center" vertical="center"/>
      <protection locked="0"/>
    </xf>
    <xf numFmtId="0" fontId="6" fillId="2" borderId="70" xfId="0" applyFont="1" applyFill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4" borderId="13" xfId="0" applyFont="1" applyFill="1" applyBorder="1" applyAlignment="1" applyProtection="1">
      <alignment horizontal="center" vertical="center"/>
      <protection locked="0"/>
    </xf>
    <xf numFmtId="0" fontId="17" fillId="17" borderId="57" xfId="0" applyFont="1" applyFill="1" applyBorder="1" applyAlignment="1" applyProtection="1">
      <alignment horizontal="center" vertical="center"/>
      <protection locked="0"/>
    </xf>
    <xf numFmtId="0" fontId="17" fillId="2" borderId="73" xfId="0" applyFont="1" applyFill="1" applyBorder="1" applyAlignment="1" applyProtection="1">
      <alignment horizontal="center" vertical="center"/>
      <protection locked="0"/>
    </xf>
    <xf numFmtId="0" fontId="5" fillId="5" borderId="74" xfId="0" applyFont="1" applyFill="1" applyBorder="1" applyAlignment="1">
      <alignment horizontal="center" vertical="center"/>
    </xf>
    <xf numFmtId="0" fontId="6" fillId="14" borderId="75" xfId="0" applyFont="1" applyFill="1" applyBorder="1" applyAlignment="1" applyProtection="1">
      <alignment horizontal="center" vertical="center"/>
      <protection locked="0"/>
    </xf>
    <xf numFmtId="0" fontId="7" fillId="2" borderId="74" xfId="0" applyFont="1" applyFill="1" applyBorder="1" applyAlignment="1" applyProtection="1">
      <alignment horizontal="center" vertical="center"/>
      <protection locked="0"/>
    </xf>
    <xf numFmtId="0" fontId="17" fillId="2" borderId="75" xfId="0" applyFont="1" applyFill="1" applyBorder="1" applyAlignment="1" applyProtection="1">
      <alignment horizontal="center" vertical="center"/>
      <protection locked="0"/>
    </xf>
    <xf numFmtId="0" fontId="6" fillId="2" borderId="75" xfId="0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 applyProtection="1">
      <alignment horizontal="center" vertical="center"/>
      <protection locked="0"/>
    </xf>
    <xf numFmtId="0" fontId="17" fillId="2" borderId="77" xfId="0" applyFont="1" applyFill="1" applyBorder="1" applyAlignment="1" applyProtection="1">
      <alignment horizontal="center" vertical="center"/>
      <protection locked="0"/>
    </xf>
    <xf numFmtId="0" fontId="4" fillId="18" borderId="13" xfId="0" applyFont="1" applyFill="1" applyBorder="1" applyAlignment="1" applyProtection="1">
      <alignment horizontal="center" vertical="center"/>
      <protection locked="0"/>
    </xf>
    <xf numFmtId="0" fontId="4" fillId="18" borderId="25" xfId="0" applyFont="1" applyFill="1" applyBorder="1" applyAlignment="1" applyProtection="1">
      <alignment horizontal="center" vertical="center"/>
      <protection locked="0"/>
    </xf>
    <xf numFmtId="0" fontId="4" fillId="2" borderId="79" xfId="0" applyFont="1" applyFill="1" applyBorder="1" applyAlignment="1">
      <alignment horizontal="left" vertical="center" indent="1"/>
    </xf>
    <xf numFmtId="0" fontId="4" fillId="2" borderId="62" xfId="0" applyFont="1" applyFill="1" applyBorder="1" applyAlignment="1">
      <alignment horizontal="left" vertical="center" indent="1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 indent="1"/>
      <protection locked="0"/>
    </xf>
    <xf numFmtId="0" fontId="6" fillId="2" borderId="60" xfId="0" applyFont="1" applyFill="1" applyBorder="1" applyAlignment="1" applyProtection="1">
      <alignment horizontal="center" vertical="center"/>
      <protection locked="0"/>
    </xf>
    <xf numFmtId="0" fontId="6" fillId="2" borderId="82" xfId="0" applyFont="1" applyFill="1" applyBorder="1" applyAlignment="1" applyProtection="1">
      <alignment horizontal="center" vertical="center"/>
      <protection locked="0"/>
    </xf>
    <xf numFmtId="0" fontId="4" fillId="0" borderId="5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81" xfId="0" applyFont="1" applyBorder="1" applyAlignment="1">
      <alignment horizontal="center"/>
    </xf>
    <xf numFmtId="0" fontId="4" fillId="2" borderId="56" xfId="0" applyFont="1" applyFill="1" applyBorder="1" applyAlignment="1">
      <alignment horizontal="left" vertical="center" indent="1"/>
    </xf>
    <xf numFmtId="164" fontId="4" fillId="2" borderId="83" xfId="0" applyNumberFormat="1" applyFont="1" applyFill="1" applyBorder="1" applyAlignment="1">
      <alignment horizontal="left" vertical="center" indent="1"/>
    </xf>
    <xf numFmtId="0" fontId="4" fillId="2" borderId="84" xfId="0" applyFont="1" applyFill="1" applyBorder="1" applyAlignment="1">
      <alignment horizontal="left" vertical="center" indent="1"/>
    </xf>
    <xf numFmtId="164" fontId="4" fillId="2" borderId="0" xfId="0" applyNumberFormat="1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164" fontId="4" fillId="2" borderId="37" xfId="0" applyNumberFormat="1" applyFont="1" applyFill="1" applyBorder="1" applyAlignment="1">
      <alignment horizontal="left" vertical="center" indent="1"/>
    </xf>
    <xf numFmtId="164" fontId="4" fillId="2" borderId="44" xfId="0" applyNumberFormat="1" applyFont="1" applyFill="1" applyBorder="1" applyAlignment="1">
      <alignment horizontal="left" vertical="center" indent="1"/>
    </xf>
    <xf numFmtId="164" fontId="4" fillId="2" borderId="43" xfId="0" applyNumberFormat="1" applyFont="1" applyFill="1" applyBorder="1" applyAlignment="1">
      <alignment horizontal="left" vertical="center" indent="1"/>
    </xf>
    <xf numFmtId="0" fontId="4" fillId="0" borderId="9" xfId="0" applyFont="1" applyBorder="1" applyAlignment="1">
      <alignment horizontal="left" vertical="center" indent="1"/>
    </xf>
    <xf numFmtId="0" fontId="4" fillId="2" borderId="44" xfId="0" applyFont="1" applyFill="1" applyBorder="1" applyAlignment="1">
      <alignment horizontal="left" vertical="center" indent="1"/>
    </xf>
    <xf numFmtId="0" fontId="4" fillId="2" borderId="43" xfId="0" applyFont="1" applyFill="1" applyBorder="1" applyAlignment="1">
      <alignment horizontal="left" vertical="center" indent="1"/>
    </xf>
    <xf numFmtId="0" fontId="4" fillId="2" borderId="87" xfId="0" applyFont="1" applyFill="1" applyBorder="1" applyAlignment="1">
      <alignment horizontal="left" vertical="center" indent="1"/>
    </xf>
    <xf numFmtId="0" fontId="4" fillId="2" borderId="54" xfId="0" applyFont="1" applyFill="1" applyBorder="1" applyAlignment="1">
      <alignment horizontal="left" vertical="center" indent="1"/>
    </xf>
    <xf numFmtId="0" fontId="4" fillId="2" borderId="52" xfId="0" applyFont="1" applyFill="1" applyBorder="1" applyAlignment="1">
      <alignment horizontal="left" vertical="center" indent="1"/>
    </xf>
    <xf numFmtId="0" fontId="4" fillId="0" borderId="85" xfId="0" applyFont="1" applyBorder="1" applyAlignment="1">
      <alignment horizontal="center"/>
    </xf>
    <xf numFmtId="0" fontId="4" fillId="2" borderId="57" xfId="0" applyFont="1" applyFill="1" applyBorder="1" applyAlignment="1">
      <alignment horizontal="center"/>
    </xf>
    <xf numFmtId="0" fontId="4" fillId="0" borderId="89" xfId="0" applyFont="1" applyBorder="1" applyAlignment="1">
      <alignment horizontal="center"/>
    </xf>
    <xf numFmtId="0" fontId="17" fillId="2" borderId="11" xfId="0" applyFont="1" applyFill="1" applyBorder="1" applyAlignment="1" applyProtection="1">
      <alignment horizontal="center" vertical="center"/>
      <protection locked="0"/>
    </xf>
    <xf numFmtId="0" fontId="7" fillId="2" borderId="46" xfId="0" applyFont="1" applyFill="1" applyBorder="1" applyAlignment="1" applyProtection="1">
      <alignment horizontal="left" vertical="center" indent="1"/>
      <protection locked="0"/>
    </xf>
    <xf numFmtId="0" fontId="6" fillId="16" borderId="15" xfId="0" applyFont="1" applyFill="1" applyBorder="1" applyAlignment="1" applyProtection="1">
      <alignment vertical="center"/>
      <protection locked="0"/>
    </xf>
    <xf numFmtId="0" fontId="6" fillId="16" borderId="74" xfId="0" applyFont="1" applyFill="1" applyBorder="1" applyAlignment="1" applyProtection="1">
      <alignment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17" fillId="5" borderId="90" xfId="0" applyFont="1" applyFill="1" applyBorder="1" applyAlignment="1" applyProtection="1">
      <alignment horizontal="center" vertical="center"/>
      <protection locked="0"/>
    </xf>
    <xf numFmtId="0" fontId="6" fillId="2" borderId="91" xfId="0" applyFont="1" applyFill="1" applyBorder="1" applyAlignment="1" applyProtection="1">
      <alignment horizontal="center" vertical="center"/>
      <protection locked="0"/>
    </xf>
    <xf numFmtId="0" fontId="7" fillId="2" borderId="48" xfId="0" applyFont="1" applyFill="1" applyBorder="1" applyAlignment="1" applyProtection="1">
      <alignment horizontal="center" vertical="center"/>
      <protection locked="0"/>
    </xf>
    <xf numFmtId="0" fontId="7" fillId="2" borderId="80" xfId="0" applyFont="1" applyFill="1" applyBorder="1" applyAlignment="1" applyProtection="1">
      <alignment horizontal="center" vertical="center"/>
      <protection locked="0"/>
    </xf>
    <xf numFmtId="164" fontId="4" fillId="2" borderId="56" xfId="0" applyNumberFormat="1" applyFont="1" applyFill="1" applyBorder="1" applyAlignment="1">
      <alignment horizontal="left" vertical="center" indent="1"/>
    </xf>
    <xf numFmtId="0" fontId="6" fillId="2" borderId="92" xfId="0" applyFont="1" applyFill="1" applyBorder="1" applyAlignment="1" applyProtection="1">
      <alignment horizontal="center" vertical="center"/>
      <protection locked="0"/>
    </xf>
    <xf numFmtId="0" fontId="17" fillId="2" borderId="93" xfId="0" applyFont="1" applyFill="1" applyBorder="1" applyAlignment="1" applyProtection="1">
      <alignment horizontal="center" vertical="center"/>
      <protection locked="0"/>
    </xf>
    <xf numFmtId="0" fontId="6" fillId="2" borderId="93" xfId="0" applyFont="1" applyFill="1" applyBorder="1" applyAlignment="1" applyProtection="1">
      <alignment horizontal="center" vertical="center"/>
      <protection locked="0"/>
    </xf>
    <xf numFmtId="0" fontId="4" fillId="0" borderId="93" xfId="0" applyFont="1" applyBorder="1" applyAlignment="1">
      <alignment horizontal="center"/>
    </xf>
    <xf numFmtId="0" fontId="4" fillId="2" borderId="93" xfId="0" applyFont="1" applyFill="1" applyBorder="1" applyAlignment="1">
      <alignment horizontal="center"/>
    </xf>
    <xf numFmtId="164" fontId="4" fillId="2" borderId="84" xfId="0" applyNumberFormat="1" applyFont="1" applyFill="1" applyBorder="1" applyAlignment="1">
      <alignment horizontal="left" vertical="center" indent="1"/>
    </xf>
    <xf numFmtId="0" fontId="17" fillId="2" borderId="86" xfId="0" applyFont="1" applyFill="1" applyBorder="1" applyAlignment="1" applyProtection="1">
      <alignment horizontal="center" vertical="center"/>
      <protection locked="0"/>
    </xf>
    <xf numFmtId="0" fontId="17" fillId="2" borderId="84" xfId="0" applyFont="1" applyFill="1" applyBorder="1" applyAlignment="1" applyProtection="1">
      <alignment horizontal="center" vertical="center"/>
      <protection locked="0"/>
    </xf>
    <xf numFmtId="0" fontId="17" fillId="17" borderId="86" xfId="0" applyFont="1" applyFill="1" applyBorder="1" applyAlignment="1" applyProtection="1">
      <alignment horizontal="center" vertical="center"/>
      <protection locked="0"/>
    </xf>
    <xf numFmtId="0" fontId="4" fillId="2" borderId="86" xfId="0" applyFont="1" applyFill="1" applyBorder="1" applyAlignment="1" applyProtection="1">
      <alignment horizontal="center" vertical="center"/>
      <protection locked="0"/>
    </xf>
    <xf numFmtId="0" fontId="4" fillId="2" borderId="9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 applyProtection="1">
      <alignment horizontal="center" vertical="center"/>
      <protection locked="0"/>
    </xf>
    <xf numFmtId="0" fontId="4" fillId="0" borderId="97" xfId="0" applyFont="1" applyBorder="1" applyAlignment="1">
      <alignment horizontal="center"/>
    </xf>
    <xf numFmtId="0" fontId="4" fillId="0" borderId="86" xfId="0" applyFont="1" applyBorder="1" applyAlignment="1">
      <alignment horizontal="center"/>
    </xf>
    <xf numFmtId="0" fontId="4" fillId="0" borderId="84" xfId="0" applyFont="1" applyBorder="1" applyAlignment="1">
      <alignment horizontal="center"/>
    </xf>
    <xf numFmtId="0" fontId="6" fillId="2" borderId="99" xfId="0" applyFont="1" applyFill="1" applyBorder="1" applyAlignment="1" applyProtection="1">
      <alignment horizontal="center" vertical="center"/>
      <protection locked="0"/>
    </xf>
    <xf numFmtId="0" fontId="17" fillId="2" borderId="100" xfId="0" applyFont="1" applyFill="1" applyBorder="1" applyAlignment="1" applyProtection="1">
      <alignment horizontal="center" vertical="center"/>
      <protection locked="0"/>
    </xf>
    <xf numFmtId="0" fontId="4" fillId="0" borderId="65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85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0" borderId="101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102" xfId="0" applyFont="1" applyBorder="1" applyAlignment="1">
      <alignment vertical="center"/>
    </xf>
    <xf numFmtId="0" fontId="17" fillId="17" borderId="84" xfId="0" applyFont="1" applyFill="1" applyBorder="1" applyAlignment="1" applyProtection="1">
      <alignment horizontal="center" vertical="center"/>
      <protection locked="0"/>
    </xf>
    <xf numFmtId="0" fontId="4" fillId="0" borderId="104" xfId="0" applyFont="1" applyBorder="1" applyAlignment="1">
      <alignment horizontal="center"/>
    </xf>
    <xf numFmtId="0" fontId="4" fillId="0" borderId="106" xfId="0" applyFont="1" applyBorder="1" applyAlignment="1">
      <alignment horizontal="center"/>
    </xf>
    <xf numFmtId="0" fontId="4" fillId="2" borderId="60" xfId="0" applyFont="1" applyFill="1" applyBorder="1" applyAlignment="1">
      <alignment horizontal="left" vertical="center" indent="1"/>
    </xf>
    <xf numFmtId="0" fontId="4" fillId="18" borderId="107" xfId="0" applyFont="1" applyFill="1" applyBorder="1" applyAlignment="1" applyProtection="1">
      <alignment horizontal="center" vertical="center"/>
      <protection locked="0"/>
    </xf>
    <xf numFmtId="0" fontId="17" fillId="17" borderId="10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17" fillId="5" borderId="109" xfId="0" applyFont="1" applyFill="1" applyBorder="1" applyAlignment="1" applyProtection="1">
      <alignment horizontal="center" vertical="center"/>
      <protection locked="0"/>
    </xf>
    <xf numFmtId="0" fontId="4" fillId="2" borderId="75" xfId="0" applyFont="1" applyFill="1" applyBorder="1" applyAlignment="1" applyProtection="1">
      <alignment horizontal="center" vertical="center"/>
      <protection locked="0"/>
    </xf>
    <xf numFmtId="0" fontId="8" fillId="2" borderId="75" xfId="0" applyFont="1" applyFill="1" applyBorder="1" applyAlignment="1" applyProtection="1">
      <alignment horizontal="center" vertical="center"/>
      <protection locked="0"/>
    </xf>
    <xf numFmtId="0" fontId="4" fillId="2" borderId="77" xfId="0" applyFont="1" applyFill="1" applyBorder="1" applyAlignment="1" applyProtection="1">
      <alignment horizontal="center" vertical="center"/>
      <protection locked="0"/>
    </xf>
    <xf numFmtId="0" fontId="6" fillId="14" borderId="110" xfId="0" applyFont="1" applyFill="1" applyBorder="1" applyAlignment="1" applyProtection="1">
      <alignment horizontal="center" vertical="center"/>
      <protection locked="0"/>
    </xf>
    <xf numFmtId="0" fontId="6" fillId="2" borderId="111" xfId="0" applyFont="1" applyFill="1" applyBorder="1" applyAlignment="1" applyProtection="1">
      <alignment horizontal="center" vertical="center"/>
      <protection locked="0"/>
    </xf>
    <xf numFmtId="0" fontId="6" fillId="2" borderId="112" xfId="0" applyFont="1" applyFill="1" applyBorder="1" applyAlignment="1" applyProtection="1">
      <alignment horizontal="center" vertical="center"/>
      <protection locked="0"/>
    </xf>
    <xf numFmtId="0" fontId="4" fillId="2" borderId="113" xfId="0" applyFont="1" applyFill="1" applyBorder="1" applyAlignment="1" applyProtection="1">
      <alignment horizontal="left" vertical="center" indent="1"/>
      <protection locked="0"/>
    </xf>
    <xf numFmtId="0" fontId="4" fillId="2" borderId="38" xfId="0" applyFont="1" applyFill="1" applyBorder="1" applyAlignment="1" applyProtection="1">
      <alignment horizontal="left" vertical="center" indent="1"/>
      <protection locked="0"/>
    </xf>
    <xf numFmtId="0" fontId="7" fillId="2" borderId="95" xfId="0" applyFont="1" applyFill="1" applyBorder="1" applyAlignment="1" applyProtection="1">
      <alignment horizontal="left" vertical="center" indent="1"/>
      <protection locked="0"/>
    </xf>
    <xf numFmtId="0" fontId="7" fillId="2" borderId="27" xfId="0" applyFont="1" applyFill="1" applyBorder="1" applyAlignment="1" applyProtection="1">
      <alignment horizontal="left" vertical="center" indent="1"/>
      <protection locked="0"/>
    </xf>
    <xf numFmtId="0" fontId="6" fillId="2" borderId="25" xfId="0" applyFont="1" applyFill="1" applyBorder="1" applyAlignment="1" applyProtection="1">
      <alignment horizontal="center" vertical="center"/>
      <protection locked="0"/>
    </xf>
    <xf numFmtId="0" fontId="17" fillId="2" borderId="108" xfId="0" applyFont="1" applyFill="1" applyBorder="1" applyAlignment="1" applyProtection="1">
      <alignment horizontal="center" vertical="center"/>
      <protection locked="0"/>
    </xf>
    <xf numFmtId="0" fontId="8" fillId="2" borderId="13" xfId="0" applyFont="1" applyFill="1" applyBorder="1" applyAlignment="1" applyProtection="1">
      <alignment horizontal="center" vertical="center"/>
      <protection locked="0"/>
    </xf>
    <xf numFmtId="0" fontId="4" fillId="2" borderId="114" xfId="0" applyFont="1" applyFill="1" applyBorder="1" applyAlignment="1" applyProtection="1">
      <alignment horizontal="center" vertical="center"/>
      <protection locked="0"/>
    </xf>
    <xf numFmtId="0" fontId="6" fillId="2" borderId="115" xfId="0" applyFont="1" applyFill="1" applyBorder="1" applyAlignment="1" applyProtection="1">
      <alignment horizontal="center" vertical="center"/>
      <protection locked="0"/>
    </xf>
    <xf numFmtId="0" fontId="6" fillId="2" borderId="117" xfId="0" applyFont="1" applyFill="1" applyBorder="1" applyAlignment="1" applyProtection="1">
      <alignment horizontal="center" vertical="center"/>
      <protection locked="0"/>
    </xf>
    <xf numFmtId="0" fontId="7" fillId="2" borderId="49" xfId="0" applyFont="1" applyFill="1" applyBorder="1" applyAlignment="1" applyProtection="1">
      <alignment horizontal="center" vertical="center"/>
      <protection locked="0"/>
    </xf>
    <xf numFmtId="0" fontId="7" fillId="2" borderId="82" xfId="0" applyFont="1" applyFill="1" applyBorder="1" applyAlignment="1" applyProtection="1">
      <alignment horizontal="center" vertical="center"/>
      <protection locked="0"/>
    </xf>
    <xf numFmtId="0" fontId="8" fillId="2" borderId="82" xfId="0" applyFont="1" applyFill="1" applyBorder="1" applyAlignment="1" applyProtection="1">
      <alignment horizontal="center" vertical="center"/>
      <protection locked="0"/>
    </xf>
    <xf numFmtId="0" fontId="7" fillId="2" borderId="52" xfId="0" applyFont="1" applyFill="1" applyBorder="1" applyAlignment="1" applyProtection="1">
      <alignment horizontal="center" vertical="center"/>
      <protection locked="0"/>
    </xf>
    <xf numFmtId="0" fontId="7" fillId="2" borderId="119" xfId="0" applyFont="1" applyFill="1" applyBorder="1" applyAlignment="1" applyProtection="1">
      <alignment horizontal="center" vertical="center"/>
      <protection locked="0"/>
    </xf>
    <xf numFmtId="0" fontId="7" fillId="2" borderId="120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121" xfId="0" applyFont="1" applyFill="1" applyBorder="1" applyAlignment="1">
      <alignment horizontal="left" vertical="center" indent="1"/>
    </xf>
    <xf numFmtId="0" fontId="7" fillId="2" borderId="122" xfId="0" applyFont="1" applyFill="1" applyBorder="1" applyAlignment="1" applyProtection="1">
      <alignment horizontal="center" vertical="center"/>
      <protection locked="0"/>
    </xf>
    <xf numFmtId="0" fontId="23" fillId="2" borderId="118" xfId="0" applyFont="1" applyFill="1" applyBorder="1" applyAlignment="1" applyProtection="1">
      <alignment horizontal="center" vertical="center"/>
      <protection locked="0"/>
    </xf>
    <xf numFmtId="0" fontId="25" fillId="2" borderId="10" xfId="0" applyFont="1" applyFill="1" applyBorder="1" applyAlignment="1" applyProtection="1">
      <alignment horizontal="center" vertical="center"/>
      <protection locked="0"/>
    </xf>
    <xf numFmtId="0" fontId="4" fillId="2" borderId="65" xfId="0" applyFont="1" applyFill="1" applyBorder="1" applyAlignment="1" applyProtection="1">
      <alignment horizontal="left" vertical="center" indent="1"/>
      <protection locked="0"/>
    </xf>
    <xf numFmtId="0" fontId="7" fillId="2" borderId="37" xfId="0" applyFont="1" applyFill="1" applyBorder="1" applyAlignment="1" applyProtection="1">
      <alignment horizontal="left" vertical="center" indent="1"/>
      <protection locked="0"/>
    </xf>
    <xf numFmtId="0" fontId="24" fillId="2" borderId="42" xfId="0" applyFont="1" applyFill="1" applyBorder="1" applyAlignment="1">
      <alignment horizontal="left" vertical="center" indent="1"/>
    </xf>
    <xf numFmtId="0" fontId="24" fillId="2" borderId="54" xfId="0" applyFont="1" applyFill="1" applyBorder="1" applyAlignment="1">
      <alignment horizontal="left" vertical="center" indent="1"/>
    </xf>
    <xf numFmtId="0" fontId="24" fillId="2" borderId="123" xfId="0" applyFont="1" applyFill="1" applyBorder="1" applyAlignment="1">
      <alignment horizontal="left" vertical="center" indent="1"/>
    </xf>
    <xf numFmtId="0" fontId="19" fillId="17" borderId="75" xfId="0" applyFont="1" applyFill="1" applyBorder="1" applyAlignment="1" applyProtection="1">
      <alignment horizontal="center" vertical="center"/>
      <protection locked="0"/>
    </xf>
    <xf numFmtId="0" fontId="6" fillId="17" borderId="13" xfId="0" applyFont="1" applyFill="1" applyBorder="1" applyAlignment="1" applyProtection="1">
      <alignment horizontal="center" vertical="center"/>
      <protection locked="0"/>
    </xf>
    <xf numFmtId="0" fontId="17" fillId="17" borderId="93" xfId="0" applyFont="1" applyFill="1" applyBorder="1" applyAlignment="1" applyProtection="1">
      <alignment horizontal="center" vertical="center"/>
      <protection locked="0"/>
    </xf>
    <xf numFmtId="0" fontId="17" fillId="17" borderId="10" xfId="0" applyFont="1" applyFill="1" applyBorder="1" applyAlignment="1" applyProtection="1">
      <alignment horizontal="center" vertical="center"/>
      <protection locked="0"/>
    </xf>
    <xf numFmtId="0" fontId="17" fillId="17" borderId="13" xfId="0" applyFont="1" applyFill="1" applyBorder="1" applyAlignment="1" applyProtection="1">
      <alignment horizontal="center" vertical="center"/>
      <protection locked="0"/>
    </xf>
    <xf numFmtId="0" fontId="26" fillId="8" borderId="13" xfId="0" applyFont="1" applyFill="1" applyBorder="1" applyAlignment="1" applyProtection="1">
      <alignment horizontal="center" vertical="center"/>
      <protection locked="0"/>
    </xf>
    <xf numFmtId="0" fontId="26" fillId="12" borderId="13" xfId="0" applyFont="1" applyFill="1" applyBorder="1" applyAlignment="1" applyProtection="1">
      <alignment horizontal="center" vertical="center"/>
      <protection locked="0"/>
    </xf>
    <xf numFmtId="0" fontId="3" fillId="2" borderId="88" xfId="0" applyFont="1" applyFill="1" applyBorder="1" applyAlignment="1">
      <alignment horizontal="center"/>
    </xf>
    <xf numFmtId="0" fontId="17" fillId="2" borderId="45" xfId="0" applyFont="1" applyFill="1" applyBorder="1" applyAlignment="1" applyProtection="1">
      <alignment horizontal="center" vertical="center"/>
      <protection locked="0"/>
    </xf>
    <xf numFmtId="0" fontId="4" fillId="2" borderId="49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17" fillId="2" borderId="65" xfId="0" applyFont="1" applyFill="1" applyBorder="1" applyAlignment="1" applyProtection="1">
      <alignment horizontal="center" vertical="center"/>
      <protection locked="0"/>
    </xf>
    <xf numFmtId="0" fontId="17" fillId="2" borderId="59" xfId="0" applyFont="1" applyFill="1" applyBorder="1" applyAlignment="1" applyProtection="1">
      <alignment horizontal="center" vertical="center"/>
      <protection locked="0"/>
    </xf>
    <xf numFmtId="0" fontId="6" fillId="2" borderId="46" xfId="0" applyFont="1" applyFill="1" applyBorder="1" applyAlignment="1">
      <alignment horizontal="center"/>
    </xf>
    <xf numFmtId="0" fontId="17" fillId="2" borderId="46" xfId="0" applyFont="1" applyFill="1" applyBorder="1" applyAlignment="1" applyProtection="1">
      <alignment horizontal="center" vertical="center"/>
      <protection locked="0"/>
    </xf>
    <xf numFmtId="0" fontId="6" fillId="2" borderId="88" xfId="0" applyFont="1" applyFill="1" applyBorder="1" applyAlignment="1">
      <alignment horizontal="center"/>
    </xf>
    <xf numFmtId="0" fontId="4" fillId="2" borderId="125" xfId="0" applyFont="1" applyFill="1" applyBorder="1" applyAlignment="1" applyProtection="1">
      <alignment horizontal="center" vertical="center"/>
      <protection locked="0"/>
    </xf>
    <xf numFmtId="0" fontId="4" fillId="2" borderId="56" xfId="0" applyFont="1" applyFill="1" applyBorder="1" applyAlignment="1" applyProtection="1">
      <alignment horizontal="center" vertical="center"/>
      <protection locked="0"/>
    </xf>
    <xf numFmtId="0" fontId="7" fillId="2" borderId="125" xfId="0" applyFont="1" applyFill="1" applyBorder="1" applyAlignment="1" applyProtection="1">
      <alignment horizontal="center" vertical="center"/>
      <protection locked="0"/>
    </xf>
    <xf numFmtId="0" fontId="7" fillId="2" borderId="56" xfId="0" applyFont="1" applyFill="1" applyBorder="1" applyAlignment="1" applyProtection="1">
      <alignment horizontal="center" vertical="center"/>
      <protection locked="0"/>
    </xf>
    <xf numFmtId="0" fontId="7" fillId="2" borderId="126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0" fontId="17" fillId="2" borderId="56" xfId="0" applyFont="1" applyFill="1" applyBorder="1" applyAlignment="1" applyProtection="1">
      <alignment horizontal="center" vertical="center"/>
      <protection locked="0"/>
    </xf>
    <xf numFmtId="0" fontId="7" fillId="2" borderId="124" xfId="0" applyFont="1" applyFill="1" applyBorder="1" applyAlignment="1" applyProtection="1">
      <alignment horizontal="center" vertical="center"/>
      <protection locked="0"/>
    </xf>
    <xf numFmtId="0" fontId="6" fillId="2" borderId="85" xfId="0" applyFont="1" applyFill="1" applyBorder="1" applyAlignment="1" applyProtection="1">
      <alignment horizontal="center" vertical="center"/>
      <protection locked="0"/>
    </xf>
    <xf numFmtId="0" fontId="6" fillId="2" borderId="59" xfId="0" applyFont="1" applyFill="1" applyBorder="1" applyAlignment="1" applyProtection="1">
      <alignment horizontal="center" vertical="center"/>
      <protection locked="0"/>
    </xf>
    <xf numFmtId="0" fontId="4" fillId="2" borderId="85" xfId="0" applyFont="1" applyFill="1" applyBorder="1" applyAlignment="1" applyProtection="1">
      <alignment horizontal="center" vertical="center"/>
      <protection locked="0"/>
    </xf>
    <xf numFmtId="0" fontId="7" fillId="2" borderId="45" xfId="0" applyFont="1" applyFill="1" applyBorder="1" applyAlignment="1" applyProtection="1">
      <alignment horizontal="center" vertical="center"/>
      <protection locked="0"/>
    </xf>
    <xf numFmtId="0" fontId="7" fillId="2" borderId="89" xfId="0" applyFont="1" applyFill="1" applyBorder="1" applyAlignment="1" applyProtection="1">
      <alignment horizontal="center" vertical="center"/>
      <protection locked="0"/>
    </xf>
    <xf numFmtId="0" fontId="4" fillId="2" borderId="37" xfId="0" applyFont="1" applyFill="1" applyBorder="1" applyAlignment="1" applyProtection="1">
      <alignment horizontal="center" vertical="center"/>
      <protection locked="0"/>
    </xf>
    <xf numFmtId="0" fontId="7" fillId="2" borderId="65" xfId="0" applyFont="1" applyFill="1" applyBorder="1" applyAlignment="1" applyProtection="1">
      <alignment horizontal="center" vertical="center"/>
      <protection locked="0"/>
    </xf>
    <xf numFmtId="0" fontId="4" fillId="2" borderId="59" xfId="0" applyFont="1" applyFill="1" applyBorder="1" applyAlignment="1" applyProtection="1">
      <alignment horizontal="center" vertical="center"/>
      <protection locked="0"/>
    </xf>
    <xf numFmtId="0" fontId="4" fillId="2" borderId="124" xfId="0" applyFont="1" applyFill="1" applyBorder="1" applyAlignment="1" applyProtection="1">
      <alignment horizontal="center" vertical="center"/>
      <protection locked="0"/>
    </xf>
    <xf numFmtId="0" fontId="24" fillId="2" borderId="127" xfId="0" applyFont="1" applyFill="1" applyBorder="1" applyAlignment="1" applyProtection="1">
      <alignment horizontal="left" vertical="center" indent="1"/>
      <protection locked="0"/>
    </xf>
    <xf numFmtId="0" fontId="17" fillId="2" borderId="25" xfId="0" applyFont="1" applyFill="1" applyBorder="1" applyAlignment="1" applyProtection="1">
      <alignment horizontal="center" vertical="center"/>
      <protection locked="0"/>
    </xf>
    <xf numFmtId="0" fontId="23" fillId="2" borderId="0" xfId="0" applyFont="1" applyFill="1" applyAlignment="1" applyProtection="1">
      <alignment horizontal="left" vertical="center" indent="1"/>
      <protection locked="0"/>
    </xf>
    <xf numFmtId="0" fontId="23" fillId="2" borderId="54" xfId="0" applyFont="1" applyFill="1" applyBorder="1" applyAlignment="1" applyProtection="1">
      <alignment horizontal="center" vertical="center"/>
      <protection locked="0"/>
    </xf>
    <xf numFmtId="0" fontId="4" fillId="2" borderId="123" xfId="0" applyFont="1" applyFill="1" applyBorder="1" applyAlignment="1">
      <alignment horizontal="left" vertical="center" indent="1"/>
    </xf>
    <xf numFmtId="0" fontId="4" fillId="2" borderId="128" xfId="0" applyFont="1" applyFill="1" applyBorder="1" applyAlignment="1">
      <alignment horizontal="left" vertical="center" indent="1"/>
    </xf>
    <xf numFmtId="0" fontId="4" fillId="2" borderId="114" xfId="0" applyFont="1" applyFill="1" applyBorder="1" applyAlignment="1">
      <alignment horizontal="left" vertical="center" indent="1"/>
    </xf>
    <xf numFmtId="0" fontId="4" fillId="2" borderId="113" xfId="0" applyFont="1" applyFill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/>
    </xf>
    <xf numFmtId="0" fontId="7" fillId="2" borderId="44" xfId="0" applyFont="1" applyFill="1" applyBorder="1" applyAlignment="1" applyProtection="1">
      <alignment horizontal="left" vertical="center" indent="1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2" xfId="0" applyFont="1" applyFill="1" applyBorder="1" applyAlignment="1" applyProtection="1">
      <alignment horizontal="center" vertical="center"/>
      <protection locked="0"/>
    </xf>
    <xf numFmtId="0" fontId="0" fillId="0" borderId="129" xfId="0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7" fillId="0" borderId="15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4" fillId="0" borderId="93" xfId="0" applyFont="1" applyBorder="1" applyAlignment="1">
      <alignment horizontal="center"/>
    </xf>
    <xf numFmtId="0" fontId="27" fillId="0" borderId="95" xfId="0" applyFont="1" applyBorder="1" applyAlignment="1">
      <alignment horizontal="center" vertical="center"/>
    </xf>
    <xf numFmtId="0" fontId="24" fillId="0" borderId="84" xfId="0" applyFont="1" applyBorder="1" applyAlignment="1">
      <alignment horizontal="center"/>
    </xf>
    <xf numFmtId="0" fontId="27" fillId="0" borderId="62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/>
    </xf>
    <xf numFmtId="0" fontId="27" fillId="0" borderId="37" xfId="0" applyFont="1" applyBorder="1" applyAlignment="1">
      <alignment horizontal="center" vertical="center"/>
    </xf>
    <xf numFmtId="0" fontId="27" fillId="0" borderId="63" xfId="0" applyFont="1" applyBorder="1" applyAlignment="1">
      <alignment horizontal="center" vertical="center"/>
    </xf>
    <xf numFmtId="0" fontId="24" fillId="14" borderId="67" xfId="0" applyFont="1" applyFill="1" applyBorder="1" applyAlignment="1">
      <alignment horizontal="center"/>
    </xf>
    <xf numFmtId="0" fontId="24" fillId="0" borderId="67" xfId="0" applyFont="1" applyBorder="1" applyAlignment="1">
      <alignment horizontal="center"/>
    </xf>
    <xf numFmtId="0" fontId="24" fillId="0" borderId="0" xfId="0" applyFont="1" applyAlignment="1">
      <alignment horizontal="center"/>
    </xf>
    <xf numFmtId="2" fontId="24" fillId="0" borderId="67" xfId="0" applyNumberFormat="1" applyFont="1" applyBorder="1" applyAlignment="1">
      <alignment horizontal="center"/>
    </xf>
    <xf numFmtId="0" fontId="24" fillId="0" borderId="0" xfId="0" applyFont="1"/>
    <xf numFmtId="0" fontId="24" fillId="15" borderId="67" xfId="0" applyFont="1" applyFill="1" applyBorder="1" applyAlignment="1">
      <alignment horizontal="center"/>
    </xf>
    <xf numFmtId="0" fontId="0" fillId="0" borderId="66" xfId="0" applyBorder="1" applyAlignment="1">
      <alignment horizontal="center"/>
    </xf>
    <xf numFmtId="0" fontId="24" fillId="0" borderId="66" xfId="0" applyFont="1" applyBorder="1" applyAlignment="1">
      <alignment horizontal="center"/>
    </xf>
    <xf numFmtId="0" fontId="24" fillId="2" borderId="66" xfId="0" applyFont="1" applyFill="1" applyBorder="1" applyAlignment="1">
      <alignment horizontal="center"/>
    </xf>
    <xf numFmtId="0" fontId="17" fillId="4" borderId="13" xfId="0" applyFont="1" applyFill="1" applyBorder="1" applyAlignment="1" applyProtection="1">
      <alignment horizontal="center" vertical="center"/>
      <protection locked="0"/>
    </xf>
    <xf numFmtId="0" fontId="26" fillId="19" borderId="13" xfId="0" applyFont="1" applyFill="1" applyBorder="1" applyAlignment="1" applyProtection="1">
      <alignment horizontal="center" vertical="center"/>
      <protection locked="0"/>
    </xf>
    <xf numFmtId="0" fontId="18" fillId="19" borderId="8" xfId="0" applyFont="1" applyFill="1" applyBorder="1" applyAlignment="1">
      <alignment horizontal="center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88" xfId="0" applyFont="1" applyFill="1" applyBorder="1" applyAlignment="1" applyProtection="1">
      <alignment horizontal="center" vertical="center"/>
      <protection locked="0"/>
    </xf>
    <xf numFmtId="0" fontId="6" fillId="2" borderId="65" xfId="0" applyFont="1" applyFill="1" applyBorder="1" applyAlignment="1" applyProtection="1">
      <alignment horizontal="center" vertical="center"/>
      <protection locked="0"/>
    </xf>
    <xf numFmtId="0" fontId="4" fillId="16" borderId="13" xfId="0" applyFont="1" applyFill="1" applyBorder="1" applyAlignment="1" applyProtection="1">
      <alignment horizontal="center" vertical="center"/>
      <protection locked="0"/>
    </xf>
    <xf numFmtId="0" fontId="17" fillId="16" borderId="10" xfId="0" applyFont="1" applyFill="1" applyBorder="1" applyAlignment="1" applyProtection="1">
      <alignment horizontal="center" vertical="center"/>
      <protection locked="0"/>
    </xf>
    <xf numFmtId="0" fontId="17" fillId="16" borderId="13" xfId="0" applyFont="1" applyFill="1" applyBorder="1" applyAlignment="1" applyProtection="1">
      <alignment horizontal="center" vertical="center"/>
      <protection locked="0"/>
    </xf>
    <xf numFmtId="0" fontId="28" fillId="0" borderId="0" xfId="0" applyFont="1"/>
    <xf numFmtId="0" fontId="7" fillId="2" borderId="130" xfId="0" applyFont="1" applyFill="1" applyBorder="1" applyAlignment="1" applyProtection="1">
      <alignment horizontal="center" vertical="center"/>
      <protection locked="0"/>
    </xf>
    <xf numFmtId="0" fontId="6" fillId="20" borderId="65" xfId="0" applyFont="1" applyFill="1" applyBorder="1" applyAlignment="1">
      <alignment horizontal="center"/>
    </xf>
    <xf numFmtId="0" fontId="17" fillId="20" borderId="59" xfId="0" applyFont="1" applyFill="1" applyBorder="1" applyAlignment="1" applyProtection="1">
      <alignment horizontal="center" vertical="center"/>
      <protection locked="0"/>
    </xf>
    <xf numFmtId="0" fontId="17" fillId="20" borderId="96" xfId="0" applyFont="1" applyFill="1" applyBorder="1" applyAlignment="1" applyProtection="1">
      <alignment horizontal="center" vertical="center"/>
      <protection locked="0"/>
    </xf>
    <xf numFmtId="0" fontId="17" fillId="20" borderId="86" xfId="0" applyFont="1" applyFill="1" applyBorder="1" applyAlignment="1" applyProtection="1">
      <alignment horizontal="center" vertical="center"/>
      <protection locked="0"/>
    </xf>
    <xf numFmtId="0" fontId="6" fillId="20" borderId="95" xfId="0" applyFont="1" applyFill="1" applyBorder="1" applyAlignment="1">
      <alignment horizontal="center"/>
    </xf>
    <xf numFmtId="0" fontId="17" fillId="20" borderId="65" xfId="0" applyFont="1" applyFill="1" applyBorder="1" applyAlignment="1" applyProtection="1">
      <alignment horizontal="center" vertical="center"/>
      <protection locked="0"/>
    </xf>
    <xf numFmtId="0" fontId="29" fillId="0" borderId="0" xfId="0" applyFont="1"/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4" fillId="2" borderId="131" xfId="0" applyFont="1" applyFill="1" applyBorder="1" applyAlignment="1" applyProtection="1">
      <alignment horizontal="center" vertical="center"/>
      <protection locked="0"/>
    </xf>
    <xf numFmtId="0" fontId="4" fillId="2" borderId="63" xfId="0" applyFont="1" applyFill="1" applyBorder="1" applyAlignment="1" applyProtection="1">
      <alignment horizontal="center" vertical="center"/>
      <protection locked="0"/>
    </xf>
    <xf numFmtId="0" fontId="4" fillId="2" borderId="132" xfId="0" applyFont="1" applyFill="1" applyBorder="1" applyAlignment="1" applyProtection="1">
      <alignment horizontal="center" vertical="center"/>
      <protection locked="0"/>
    </xf>
    <xf numFmtId="0" fontId="7" fillId="2" borderId="133" xfId="0" applyFont="1" applyFill="1" applyBorder="1" applyAlignment="1" applyProtection="1">
      <alignment horizontal="center" vertical="center"/>
      <protection locked="0"/>
    </xf>
    <xf numFmtId="0" fontId="7" fillId="2" borderId="134" xfId="0" applyFont="1" applyFill="1" applyBorder="1" applyAlignment="1" applyProtection="1">
      <alignment horizontal="center" vertical="center"/>
      <protection locked="0"/>
    </xf>
    <xf numFmtId="0" fontId="4" fillId="2" borderId="133" xfId="0" applyFont="1" applyFill="1" applyBorder="1" applyAlignment="1" applyProtection="1">
      <alignment horizontal="center" vertical="center"/>
      <protection locked="0"/>
    </xf>
    <xf numFmtId="0" fontId="7" fillId="2" borderId="131" xfId="0" applyFont="1" applyFill="1" applyBorder="1" applyAlignment="1" applyProtection="1">
      <alignment horizontal="center" vertical="center"/>
      <protection locked="0"/>
    </xf>
    <xf numFmtId="0" fontId="7" fillId="2" borderId="135" xfId="0" applyFont="1" applyFill="1" applyBorder="1" applyAlignment="1" applyProtection="1">
      <alignment horizontal="center" vertical="center"/>
      <protection locked="0"/>
    </xf>
    <xf numFmtId="0" fontId="4" fillId="2" borderId="135" xfId="0" applyFont="1" applyFill="1" applyBorder="1" applyAlignment="1" applyProtection="1">
      <alignment horizontal="center" vertical="center"/>
      <protection locked="0"/>
    </xf>
    <xf numFmtId="0" fontId="26" fillId="11" borderId="13" xfId="0" applyFont="1" applyFill="1" applyBorder="1" applyAlignment="1" applyProtection="1">
      <alignment horizontal="center" vertical="center"/>
      <protection locked="0"/>
    </xf>
    <xf numFmtId="0" fontId="26" fillId="11" borderId="10" xfId="0" applyFont="1" applyFill="1" applyBorder="1" applyAlignment="1" applyProtection="1">
      <alignment horizontal="center" vertical="center"/>
      <protection locked="0"/>
    </xf>
    <xf numFmtId="0" fontId="6" fillId="4" borderId="116" xfId="0" applyFont="1" applyFill="1" applyBorder="1" applyAlignment="1" applyProtection="1">
      <alignment horizontal="center" vertical="center"/>
      <protection locked="0"/>
    </xf>
    <xf numFmtId="0" fontId="17" fillId="4" borderId="10" xfId="0" applyFont="1" applyFill="1" applyBorder="1" applyAlignment="1" applyProtection="1">
      <alignment horizontal="center" vertical="center"/>
      <protection locked="0"/>
    </xf>
    <xf numFmtId="0" fontId="4" fillId="4" borderId="13" xfId="0" applyFont="1" applyFill="1" applyBorder="1" applyAlignment="1" applyProtection="1">
      <alignment horizontal="center" vertical="center"/>
      <protection locked="0"/>
    </xf>
    <xf numFmtId="0" fontId="4" fillId="17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6" fillId="11" borderId="8" xfId="0" applyFont="1" applyFill="1" applyBorder="1" applyAlignment="1">
      <alignment horizontal="center"/>
    </xf>
    <xf numFmtId="0" fontId="6" fillId="18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17" borderId="10" xfId="0" applyFont="1" applyFill="1" applyBorder="1" applyAlignment="1" applyProtection="1">
      <alignment horizontal="center" vertical="center"/>
      <protection locked="0"/>
    </xf>
    <xf numFmtId="0" fontId="30" fillId="20" borderId="13" xfId="0" applyFont="1" applyFill="1" applyBorder="1" applyAlignment="1" applyProtection="1">
      <alignment horizontal="center" vertical="center"/>
      <protection locked="0"/>
    </xf>
    <xf numFmtId="0" fontId="26" fillId="20" borderId="10" xfId="0" applyFont="1" applyFill="1" applyBorder="1" applyAlignment="1" applyProtection="1">
      <alignment horizontal="center" vertical="center"/>
      <protection locked="0"/>
    </xf>
    <xf numFmtId="0" fontId="30" fillId="12" borderId="10" xfId="0" applyFont="1" applyFill="1" applyBorder="1" applyAlignment="1" applyProtection="1">
      <alignment horizontal="center" vertical="center"/>
      <protection locked="0"/>
    </xf>
    <xf numFmtId="0" fontId="26" fillId="12" borderId="10" xfId="0" applyFont="1" applyFill="1" applyBorder="1" applyAlignment="1" applyProtection="1">
      <alignment horizontal="center" vertical="center"/>
      <protection locked="0"/>
    </xf>
    <xf numFmtId="0" fontId="17" fillId="18" borderId="13" xfId="0" applyFont="1" applyFill="1" applyBorder="1" applyAlignment="1" applyProtection="1">
      <alignment horizontal="center" vertical="center"/>
      <protection locked="0"/>
    </xf>
    <xf numFmtId="0" fontId="26" fillId="2" borderId="10" xfId="0" applyFont="1" applyFill="1" applyBorder="1" applyAlignment="1" applyProtection="1">
      <alignment horizontal="center" vertical="center"/>
      <protection locked="0"/>
    </xf>
    <xf numFmtId="0" fontId="30" fillId="2" borderId="10" xfId="0" applyFont="1" applyFill="1" applyBorder="1" applyAlignment="1" applyProtection="1">
      <alignment horizontal="center" vertical="center"/>
      <protection locked="0"/>
    </xf>
    <xf numFmtId="0" fontId="17" fillId="21" borderId="65" xfId="0" applyFont="1" applyFill="1" applyBorder="1" applyAlignment="1" applyProtection="1">
      <alignment horizontal="center" vertical="center"/>
      <protection locked="0"/>
    </xf>
    <xf numFmtId="0" fontId="17" fillId="21" borderId="59" xfId="0" applyFont="1" applyFill="1" applyBorder="1" applyAlignment="1" applyProtection="1">
      <alignment horizontal="center" vertical="center"/>
      <protection locked="0"/>
    </xf>
    <xf numFmtId="0" fontId="6" fillId="21" borderId="46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17" fillId="2" borderId="118" xfId="0" applyFont="1" applyFill="1" applyBorder="1" applyAlignment="1" applyProtection="1">
      <alignment horizontal="center" vertical="center"/>
      <protection locked="0"/>
    </xf>
    <xf numFmtId="0" fontId="7" fillId="2" borderId="50" xfId="0" applyFont="1" applyFill="1" applyBorder="1" applyAlignment="1" applyProtection="1">
      <alignment horizontal="left" vertical="center" indent="1"/>
      <protection locked="0"/>
    </xf>
    <xf numFmtId="0" fontId="4" fillId="2" borderId="82" xfId="0" applyFont="1" applyFill="1" applyBorder="1" applyAlignment="1" applyProtection="1">
      <alignment horizontal="left" vertical="center" indent="1"/>
      <protection locked="0"/>
    </xf>
    <xf numFmtId="0" fontId="7" fillId="2" borderId="122" xfId="0" applyFont="1" applyFill="1" applyBorder="1" applyAlignment="1" applyProtection="1">
      <alignment horizontal="left" vertical="center" indent="1"/>
      <protection locked="0"/>
    </xf>
    <xf numFmtId="0" fontId="4" fillId="2" borderId="49" xfId="0" applyFont="1" applyFill="1" applyBorder="1" applyAlignment="1" applyProtection="1">
      <alignment horizontal="left" vertical="center" indent="1"/>
      <protection locked="0"/>
    </xf>
    <xf numFmtId="0" fontId="7" fillId="2" borderId="82" xfId="0" applyFont="1" applyFill="1" applyBorder="1" applyAlignment="1" applyProtection="1">
      <alignment horizontal="left" vertical="center" indent="1"/>
      <protection locked="0"/>
    </xf>
    <xf numFmtId="0" fontId="4" fillId="2" borderId="52" xfId="0" applyFont="1" applyFill="1" applyBorder="1" applyAlignment="1">
      <alignment horizontal="center"/>
    </xf>
    <xf numFmtId="0" fontId="7" fillId="2" borderId="118" xfId="0" applyFont="1" applyFill="1" applyBorder="1" applyAlignment="1" applyProtection="1">
      <alignment horizontal="left" vertical="center" indent="1"/>
      <protection locked="0"/>
    </xf>
    <xf numFmtId="0" fontId="4" fillId="2" borderId="52" xfId="0" applyFont="1" applyFill="1" applyBorder="1" applyAlignment="1" applyProtection="1">
      <alignment horizontal="left" vertical="center" indent="1"/>
      <protection locked="0"/>
    </xf>
    <xf numFmtId="0" fontId="7" fillId="2" borderId="65" xfId="0" applyFont="1" applyFill="1" applyBorder="1" applyAlignment="1" applyProtection="1">
      <alignment horizontal="left" vertical="center" indent="1"/>
      <protection locked="0"/>
    </xf>
    <xf numFmtId="0" fontId="25" fillId="2" borderId="13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left" vertical="center" indent="1"/>
      <protection locked="0"/>
    </xf>
    <xf numFmtId="0" fontId="4" fillId="2" borderId="65" xfId="0" applyFont="1" applyFill="1" applyBorder="1" applyAlignment="1" applyProtection="1">
      <alignment horizontal="center" vertical="center"/>
      <protection locked="0"/>
    </xf>
    <xf numFmtId="0" fontId="6" fillId="2" borderId="89" xfId="0" applyFont="1" applyFill="1" applyBorder="1" applyAlignment="1" applyProtection="1">
      <alignment horizontal="center" vertical="center"/>
      <protection locked="0"/>
    </xf>
    <xf numFmtId="0" fontId="4" fillId="2" borderId="79" xfId="0" applyFont="1" applyFill="1" applyBorder="1" applyAlignment="1" applyProtection="1">
      <alignment horizontal="center" vertical="center"/>
      <protection locked="0"/>
    </xf>
    <xf numFmtId="0" fontId="4" fillId="2" borderId="62" xfId="0" applyFont="1" applyFill="1" applyBorder="1" applyAlignment="1" applyProtection="1">
      <alignment horizontal="center" vertical="center"/>
      <protection locked="0"/>
    </xf>
    <xf numFmtId="0" fontId="6" fillId="2" borderId="45" xfId="0" applyFont="1" applyFill="1" applyBorder="1" applyAlignment="1" applyProtection="1">
      <alignment horizontal="center" vertical="center"/>
      <protection locked="0"/>
    </xf>
    <xf numFmtId="0" fontId="6" fillId="2" borderId="57" xfId="0" applyFont="1" applyFill="1" applyBorder="1" applyAlignment="1" applyProtection="1">
      <alignment horizontal="center" vertical="center"/>
      <protection locked="0"/>
    </xf>
    <xf numFmtId="0" fontId="17" fillId="2" borderId="137" xfId="0" applyFont="1" applyFill="1" applyBorder="1" applyAlignment="1" applyProtection="1">
      <alignment horizontal="center" vertical="center"/>
      <protection locked="0"/>
    </xf>
    <xf numFmtId="0" fontId="17" fillId="2" borderId="124" xfId="0" applyFont="1" applyFill="1" applyBorder="1" applyAlignment="1" applyProtection="1">
      <alignment horizontal="center" vertical="center"/>
      <protection locked="0"/>
    </xf>
    <xf numFmtId="0" fontId="17" fillId="2" borderId="138" xfId="0" applyFont="1" applyFill="1" applyBorder="1" applyAlignment="1" applyProtection="1">
      <alignment horizontal="center" vertical="center"/>
      <protection locked="0"/>
    </xf>
    <xf numFmtId="0" fontId="17" fillId="2" borderId="82" xfId="0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horizontal="center" vertical="center"/>
      <protection locked="0"/>
    </xf>
    <xf numFmtId="164" fontId="4" fillId="2" borderId="87" xfId="0" applyNumberFormat="1" applyFont="1" applyFill="1" applyBorder="1" applyAlignment="1">
      <alignment horizontal="left" vertical="center" indent="1"/>
    </xf>
    <xf numFmtId="0" fontId="31" fillId="2" borderId="0" xfId="0" applyFont="1" applyFill="1" applyAlignment="1">
      <alignment horizontal="center" vertical="center"/>
    </xf>
    <xf numFmtId="0" fontId="25" fillId="2" borderId="54" xfId="0" applyFont="1" applyFill="1" applyBorder="1" applyAlignment="1" applyProtection="1">
      <alignment horizontal="center" vertical="center"/>
      <protection locked="0"/>
    </xf>
    <xf numFmtId="0" fontId="17" fillId="2" borderId="119" xfId="0" applyFont="1" applyFill="1" applyBorder="1" applyAlignment="1" applyProtection="1">
      <alignment horizontal="center" vertical="center"/>
      <protection locked="0"/>
    </xf>
    <xf numFmtId="0" fontId="17" fillId="2" borderId="60" xfId="0" applyFont="1" applyFill="1" applyBorder="1" applyAlignment="1" applyProtection="1">
      <alignment horizontal="center" vertical="center"/>
      <protection locked="0"/>
    </xf>
    <xf numFmtId="0" fontId="17" fillId="2" borderId="54" xfId="0" applyFont="1" applyFill="1" applyBorder="1" applyAlignment="1" applyProtection="1">
      <alignment horizontal="center" vertical="center"/>
      <protection locked="0"/>
    </xf>
    <xf numFmtId="0" fontId="17" fillId="2" borderId="120" xfId="0" applyFont="1" applyFill="1" applyBorder="1" applyAlignment="1" applyProtection="1">
      <alignment horizontal="center" vertical="center"/>
      <protection locked="0"/>
    </xf>
    <xf numFmtId="0" fontId="32" fillId="2" borderId="0" xfId="0" applyFont="1" applyFill="1"/>
    <xf numFmtId="0" fontId="17" fillId="2" borderId="0" xfId="0" applyFont="1" applyFill="1" applyAlignment="1">
      <alignment textRotation="90"/>
    </xf>
    <xf numFmtId="0" fontId="33" fillId="0" borderId="0" xfId="0" applyFont="1"/>
    <xf numFmtId="0" fontId="4" fillId="17" borderId="10" xfId="0" applyFont="1" applyFill="1" applyBorder="1" applyAlignment="1">
      <alignment horizontal="center"/>
    </xf>
    <xf numFmtId="0" fontId="6" fillId="4" borderId="11" xfId="0" applyFont="1" applyFill="1" applyBorder="1" applyAlignment="1" applyProtection="1">
      <alignment horizontal="center" vertical="center"/>
      <protection locked="0"/>
    </xf>
    <xf numFmtId="0" fontId="6" fillId="4" borderId="82" xfId="0" applyFont="1" applyFill="1" applyBorder="1" applyAlignment="1" applyProtection="1">
      <alignment horizontal="center" vertical="center"/>
      <protection locked="0"/>
    </xf>
    <xf numFmtId="0" fontId="4" fillId="4" borderId="13" xfId="0" applyFont="1" applyFill="1" applyBorder="1" applyAlignment="1">
      <alignment horizontal="center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52" xfId="0" applyFont="1" applyFill="1" applyBorder="1" applyAlignment="1" applyProtection="1">
      <alignment horizontal="center" vertical="center"/>
      <protection locked="0"/>
    </xf>
    <xf numFmtId="0" fontId="4" fillId="8" borderId="86" xfId="0" applyFont="1" applyFill="1" applyBorder="1" applyAlignment="1" applyProtection="1">
      <alignment horizontal="center" vertical="center"/>
      <protection locked="0"/>
    </xf>
    <xf numFmtId="0" fontId="4" fillId="8" borderId="84" xfId="0" applyFont="1" applyFill="1" applyBorder="1" applyAlignment="1">
      <alignment horizontal="center"/>
    </xf>
    <xf numFmtId="0" fontId="7" fillId="2" borderId="118" xfId="0" applyFont="1" applyFill="1" applyBorder="1" applyAlignment="1" applyProtection="1">
      <alignment horizontal="center" vertical="center"/>
      <protection locked="0"/>
    </xf>
    <xf numFmtId="0" fontId="7" fillId="2" borderId="35" xfId="0" applyFont="1" applyFill="1" applyBorder="1" applyAlignment="1" applyProtection="1">
      <alignment horizontal="center" vertical="center"/>
      <protection locked="0"/>
    </xf>
    <xf numFmtId="0" fontId="7" fillId="2" borderId="85" xfId="0" applyFont="1" applyFill="1" applyBorder="1" applyAlignment="1" applyProtection="1">
      <alignment horizontal="center" vertical="center"/>
      <protection locked="0"/>
    </xf>
    <xf numFmtId="0" fontId="23" fillId="2" borderId="13" xfId="0" applyFont="1" applyFill="1" applyBorder="1" applyAlignment="1" applyProtection="1">
      <alignment horizontal="center" vertical="center"/>
      <protection locked="0"/>
    </xf>
    <xf numFmtId="0" fontId="4" fillId="2" borderId="87" xfId="0" applyFont="1" applyFill="1" applyBorder="1" applyAlignment="1">
      <alignment horizontal="center" vertical="center" indent="1"/>
    </xf>
    <xf numFmtId="0" fontId="4" fillId="2" borderId="43" xfId="0" applyFont="1" applyFill="1" applyBorder="1" applyAlignment="1">
      <alignment horizontal="center" vertical="center" indent="1"/>
    </xf>
    <xf numFmtId="0" fontId="4" fillId="2" borderId="42" xfId="0" applyFont="1" applyFill="1" applyBorder="1" applyAlignment="1">
      <alignment horizontal="center" vertical="center" indent="1"/>
    </xf>
    <xf numFmtId="0" fontId="4" fillId="2" borderId="69" xfId="0" applyFont="1" applyFill="1" applyBorder="1" applyAlignment="1">
      <alignment horizontal="center" vertical="center" indent="1"/>
    </xf>
    <xf numFmtId="0" fontId="4" fillId="2" borderId="19" xfId="0" applyFont="1" applyFill="1" applyBorder="1" applyAlignment="1">
      <alignment horizontal="center" vertical="center" indent="1"/>
    </xf>
    <xf numFmtId="0" fontId="4" fillId="2" borderId="28" xfId="0" applyFont="1" applyFill="1" applyBorder="1" applyAlignment="1">
      <alignment horizontal="center" vertical="center" indent="1"/>
    </xf>
    <xf numFmtId="0" fontId="4" fillId="15" borderId="66" xfId="0" applyFont="1" applyFill="1" applyBorder="1" applyAlignment="1">
      <alignment horizontal="center"/>
    </xf>
    <xf numFmtId="0" fontId="4" fillId="15" borderId="67" xfId="0" applyFont="1" applyFill="1" applyBorder="1" applyAlignment="1">
      <alignment horizontal="center"/>
    </xf>
    <xf numFmtId="0" fontId="4" fillId="15" borderId="68" xfId="0" applyFont="1" applyFill="1" applyBorder="1" applyAlignment="1">
      <alignment horizontal="center"/>
    </xf>
    <xf numFmtId="2" fontId="4" fillId="0" borderId="66" xfId="0" applyNumberFormat="1" applyFont="1" applyBorder="1" applyAlignment="1">
      <alignment horizontal="center"/>
    </xf>
    <xf numFmtId="2" fontId="4" fillId="0" borderId="67" xfId="0" applyNumberFormat="1" applyFont="1" applyBorder="1" applyAlignment="1">
      <alignment horizontal="center"/>
    </xf>
    <xf numFmtId="2" fontId="4" fillId="0" borderId="68" xfId="0" applyNumberFormat="1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4" fillId="14" borderId="66" xfId="0" applyFont="1" applyFill="1" applyBorder="1" applyAlignment="1">
      <alignment horizontal="center"/>
    </xf>
    <xf numFmtId="0" fontId="4" fillId="14" borderId="67" xfId="0" applyFont="1" applyFill="1" applyBorder="1" applyAlignment="1">
      <alignment horizontal="center"/>
    </xf>
    <xf numFmtId="0" fontId="4" fillId="14" borderId="68" xfId="0" applyFont="1" applyFill="1" applyBorder="1" applyAlignment="1">
      <alignment horizontal="center"/>
    </xf>
    <xf numFmtId="0" fontId="8" fillId="0" borderId="62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indent="1"/>
    </xf>
    <xf numFmtId="0" fontId="4" fillId="2" borderId="10" xfId="0" applyFont="1" applyFill="1" applyBorder="1" applyAlignment="1">
      <alignment horizontal="center" vertical="center" indent="1"/>
    </xf>
    <xf numFmtId="164" fontId="4" fillId="2" borderId="54" xfId="0" applyNumberFormat="1" applyFont="1" applyFill="1" applyBorder="1" applyAlignment="1">
      <alignment horizontal="center" vertical="top" indent="1"/>
    </xf>
    <xf numFmtId="164" fontId="4" fillId="2" borderId="60" xfId="0" applyNumberFormat="1" applyFont="1" applyFill="1" applyBorder="1" applyAlignment="1">
      <alignment horizontal="center" vertical="top" indent="1"/>
    </xf>
    <xf numFmtId="0" fontId="4" fillId="2" borderId="55" xfId="0" applyFont="1" applyFill="1" applyBorder="1" applyAlignment="1">
      <alignment horizontal="left" vertical="top" indent="1"/>
    </xf>
    <xf numFmtId="0" fontId="4" fillId="2" borderId="61" xfId="0" applyFont="1" applyFill="1" applyBorder="1" applyAlignment="1">
      <alignment horizontal="left" vertical="top" indent="1"/>
    </xf>
    <xf numFmtId="0" fontId="4" fillId="2" borderId="56" xfId="0" applyFont="1" applyFill="1" applyBorder="1" applyAlignment="1">
      <alignment horizontal="left" vertical="top" indent="1"/>
    </xf>
    <xf numFmtId="0" fontId="4" fillId="2" borderId="23" xfId="0" applyFont="1" applyFill="1" applyBorder="1" applyAlignment="1">
      <alignment horizontal="left" vertical="top" indent="1"/>
    </xf>
    <xf numFmtId="0" fontId="8" fillId="0" borderId="63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4" fillId="2" borderId="103" xfId="0" applyFont="1" applyFill="1" applyBorder="1" applyAlignment="1">
      <alignment horizontal="center" vertical="center" indent="1"/>
    </xf>
    <xf numFmtId="0" fontId="4" fillId="2" borderId="105" xfId="0" applyFont="1" applyFill="1" applyBorder="1" applyAlignment="1">
      <alignment horizontal="center" vertical="center" indent="1"/>
    </xf>
    <xf numFmtId="0" fontId="4" fillId="2" borderId="29" xfId="0" applyFont="1" applyFill="1" applyBorder="1" applyAlignment="1">
      <alignment horizontal="center" vertical="center" indent="1"/>
    </xf>
    <xf numFmtId="0" fontId="4" fillId="2" borderId="22" xfId="0" applyFont="1" applyFill="1" applyBorder="1" applyAlignment="1">
      <alignment horizontal="center" vertical="center" indent="1"/>
    </xf>
    <xf numFmtId="0" fontId="4" fillId="2" borderId="9" xfId="0" applyFont="1" applyFill="1" applyBorder="1" applyAlignment="1">
      <alignment horizontal="center" vertical="center" indent="1"/>
    </xf>
    <xf numFmtId="164" fontId="4" fillId="2" borderId="12" xfId="0" applyNumberFormat="1" applyFont="1" applyFill="1" applyBorder="1" applyAlignment="1">
      <alignment horizontal="center" vertical="center" indent="1"/>
    </xf>
    <xf numFmtId="164" fontId="4" fillId="2" borderId="9" xfId="0" applyNumberFormat="1" applyFont="1" applyFill="1" applyBorder="1" applyAlignment="1">
      <alignment horizontal="center" vertical="center" indent="1"/>
    </xf>
    <xf numFmtId="0" fontId="4" fillId="2" borderId="12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 wrapText="1" indent="1"/>
    </xf>
    <xf numFmtId="0" fontId="4" fillId="2" borderId="9" xfId="0" applyFont="1" applyFill="1" applyBorder="1" applyAlignment="1">
      <alignment horizontal="center" vertical="center" wrapText="1" indent="1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/>
    </xf>
    <xf numFmtId="1" fontId="8" fillId="0" borderId="33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 indent="1"/>
    </xf>
    <xf numFmtId="0" fontId="4" fillId="2" borderId="49" xfId="0" applyFont="1" applyFill="1" applyBorder="1" applyAlignment="1">
      <alignment horizontal="center" vertical="center" indent="1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" fontId="3" fillId="2" borderId="36" xfId="0" applyNumberFormat="1" applyFont="1" applyFill="1" applyBorder="1" applyAlignment="1">
      <alignment horizontal="center"/>
    </xf>
    <xf numFmtId="17" fontId="3" fillId="2" borderId="37" xfId="0" applyNumberFormat="1" applyFont="1" applyFill="1" applyBorder="1" applyAlignment="1">
      <alignment horizontal="center"/>
    </xf>
    <xf numFmtId="17" fontId="3" fillId="2" borderId="38" xfId="0" applyNumberFormat="1" applyFont="1" applyFill="1" applyBorder="1" applyAlignment="1">
      <alignment horizont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17" fontId="3" fillId="2" borderId="44" xfId="0" applyNumberFormat="1" applyFont="1" applyFill="1" applyBorder="1" applyAlignment="1">
      <alignment horizontal="center"/>
    </xf>
    <xf numFmtId="17" fontId="3" fillId="2" borderId="124" xfId="0" applyNumberFormat="1" applyFont="1" applyFill="1" applyBorder="1" applyAlignment="1">
      <alignment horizontal="center"/>
    </xf>
    <xf numFmtId="0" fontId="4" fillId="2" borderId="55" xfId="0" applyFont="1" applyFill="1" applyBorder="1" applyAlignment="1">
      <alignment horizontal="right" vertical="top" indent="5"/>
    </xf>
    <xf numFmtId="0" fontId="4" fillId="2" borderId="61" xfId="0" applyFont="1" applyFill="1" applyBorder="1" applyAlignment="1">
      <alignment horizontal="right" vertical="top" indent="5"/>
    </xf>
    <xf numFmtId="0" fontId="4" fillId="2" borderId="136" xfId="0" applyFont="1" applyFill="1" applyBorder="1" applyAlignment="1">
      <alignment horizontal="center" vertical="center" indent="1"/>
    </xf>
    <xf numFmtId="0" fontId="4" fillId="2" borderId="82" xfId="0" applyFont="1" applyFill="1" applyBorder="1" applyAlignment="1">
      <alignment horizontal="center" vertical="center" indent="1"/>
    </xf>
    <xf numFmtId="0" fontId="4" fillId="2" borderId="55" xfId="0" applyFont="1" applyFill="1" applyBorder="1" applyAlignment="1">
      <alignment horizontal="center" vertical="center" indent="1"/>
    </xf>
    <xf numFmtId="0" fontId="4" fillId="2" borderId="139" xfId="0" applyFont="1" applyFill="1" applyBorder="1" applyAlignment="1">
      <alignment horizontal="center" vertical="center" indent="1"/>
    </xf>
    <xf numFmtId="0" fontId="4" fillId="2" borderId="12" xfId="0" applyFont="1" applyFill="1" applyBorder="1" applyAlignment="1">
      <alignment horizontal="left" vertical="center" indent="1"/>
    </xf>
    <xf numFmtId="0" fontId="4" fillId="2" borderId="9" xfId="0" applyFont="1" applyFill="1" applyBorder="1" applyAlignment="1">
      <alignment horizontal="left" vertical="center" indent="1"/>
    </xf>
    <xf numFmtId="0" fontId="4" fillId="2" borderId="12" xfId="0" applyFont="1" applyFill="1" applyBorder="1" applyAlignment="1">
      <alignment vertical="center" indent="1"/>
    </xf>
    <xf numFmtId="0" fontId="4" fillId="2" borderId="10" xfId="0" applyFont="1" applyFill="1" applyBorder="1" applyAlignment="1">
      <alignment vertical="center" indent="1"/>
    </xf>
    <xf numFmtId="0" fontId="4" fillId="2" borderId="56" xfId="0" applyFont="1" applyFill="1" applyBorder="1" applyAlignment="1">
      <alignment vertical="center" indent="1"/>
    </xf>
    <xf numFmtId="0" fontId="4" fillId="2" borderId="84" xfId="0" applyFont="1" applyFill="1" applyBorder="1" applyAlignment="1">
      <alignment vertical="center" indent="1"/>
    </xf>
    <xf numFmtId="0" fontId="4" fillId="2" borderId="54" xfId="0" applyFont="1" applyFill="1" applyBorder="1" applyAlignment="1">
      <alignment vertical="center" indent="1"/>
    </xf>
    <xf numFmtId="0" fontId="4" fillId="2" borderId="60" xfId="0" applyFont="1" applyFill="1" applyBorder="1" applyAlignment="1">
      <alignment vertical="center" indent="1"/>
    </xf>
    <xf numFmtId="0" fontId="4" fillId="2" borderId="24" xfId="0" applyFont="1" applyFill="1" applyBorder="1" applyAlignment="1">
      <alignment horizontal="center" vertical="center" indent="1"/>
    </xf>
    <xf numFmtId="0" fontId="4" fillId="2" borderId="23" xfId="0" applyFont="1" applyFill="1" applyBorder="1" applyAlignment="1">
      <alignment horizontal="center" vertical="center" indent="1"/>
    </xf>
    <xf numFmtId="0" fontId="24" fillId="2" borderId="49" xfId="0" applyFont="1" applyFill="1" applyBorder="1" applyAlignment="1">
      <alignment horizontal="center" vertical="center" indent="1"/>
    </xf>
    <xf numFmtId="0" fontId="24" fillId="2" borderId="65" xfId="0" applyFont="1" applyFill="1" applyBorder="1" applyAlignment="1">
      <alignment horizontal="center" vertical="center" indent="1"/>
    </xf>
    <xf numFmtId="0" fontId="4" fillId="2" borderId="10" xfId="0" applyFont="1" applyFill="1" applyBorder="1" applyAlignment="1">
      <alignment horizontal="left" vertical="center" indent="1"/>
    </xf>
    <xf numFmtId="0" fontId="4" fillId="2" borderId="42" xfId="0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left" vertical="center" indent="1"/>
    </xf>
    <xf numFmtId="0" fontId="4" fillId="2" borderId="37" xfId="0" applyFont="1" applyFill="1" applyBorder="1" applyAlignment="1">
      <alignment horizontal="center" vertical="center" indent="1"/>
    </xf>
    <xf numFmtId="0" fontId="4" fillId="2" borderId="62" xfId="0" applyFont="1" applyFill="1" applyBorder="1" applyAlignment="1">
      <alignment horizontal="center" vertical="center" indent="1"/>
    </xf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8686"/>
      <color rgb="FFC392D4"/>
      <color rgb="FF31E8B4"/>
      <color rgb="FFF06916"/>
      <color rgb="FF00CC66"/>
      <color rgb="FF9642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43"/>
  <sheetViews>
    <sheetView topLeftCell="A24" workbookViewId="0">
      <selection activeCell="A39" sqref="A39"/>
    </sheetView>
  </sheetViews>
  <sheetFormatPr defaultRowHeight="15"/>
  <cols>
    <col min="1" max="1" width="6.42578125" customWidth="1"/>
    <col min="2" max="2" width="7.140625" customWidth="1"/>
    <col min="3" max="3" width="15.5703125" customWidth="1"/>
    <col min="4" max="4" width="16.85546875" customWidth="1"/>
    <col min="5" max="5" width="10.28515625" customWidth="1"/>
    <col min="6" max="6" width="4.28515625" customWidth="1"/>
    <col min="7" max="7" width="4.7109375" customWidth="1"/>
    <col min="8" max="8" width="4.5703125" customWidth="1"/>
    <col min="9" max="51" width="5.28515625" customWidth="1"/>
    <col min="54" max="54" width="11.42578125" bestFit="1" customWidth="1"/>
  </cols>
  <sheetData>
    <row r="1" spans="1:57">
      <c r="A1" s="493" t="s">
        <v>0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5"/>
    </row>
    <row r="2" spans="1:57">
      <c r="A2" s="1"/>
      <c r="B2" s="2"/>
      <c r="C2" s="2"/>
      <c r="D2" s="2"/>
      <c r="E2" s="496">
        <v>46023</v>
      </c>
      <c r="F2" s="497"/>
      <c r="G2" s="497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  <c r="T2" s="498"/>
      <c r="U2" s="498"/>
      <c r="V2" s="498"/>
      <c r="W2" s="498"/>
      <c r="X2" s="498"/>
      <c r="Y2" s="498"/>
      <c r="Z2" s="498"/>
      <c r="AA2" s="498"/>
      <c r="AB2" s="498"/>
      <c r="AC2" s="498"/>
      <c r="AD2" s="498"/>
      <c r="AE2" s="498"/>
      <c r="AF2" s="498"/>
      <c r="AG2" s="498"/>
      <c r="AH2" s="498"/>
      <c r="AI2" s="498"/>
      <c r="AJ2" s="498"/>
      <c r="AK2" s="214"/>
      <c r="AL2" s="212"/>
      <c r="AM2" s="215"/>
      <c r="AN2" s="214"/>
      <c r="AO2" s="214"/>
      <c r="AP2" s="212"/>
      <c r="AQ2" s="215"/>
      <c r="AR2" s="212"/>
      <c r="AS2" s="213"/>
      <c r="AT2" s="216"/>
      <c r="AU2" s="216"/>
      <c r="AV2" s="216"/>
      <c r="AW2" s="216"/>
      <c r="AX2" s="216"/>
      <c r="AY2" s="211"/>
    </row>
    <row r="3" spans="1:57">
      <c r="A3" s="3"/>
      <c r="B3" s="4"/>
      <c r="C3" s="4"/>
      <c r="D3" s="4"/>
      <c r="E3" s="48" t="s">
        <v>1</v>
      </c>
      <c r="F3" s="140">
        <v>1</v>
      </c>
      <c r="G3" s="123">
        <v>2</v>
      </c>
      <c r="H3" s="49">
        <v>3</v>
      </c>
      <c r="I3" s="49">
        <v>4</v>
      </c>
      <c r="J3" s="50">
        <v>5</v>
      </c>
      <c r="K3" s="49">
        <v>6</v>
      </c>
      <c r="L3" s="49">
        <v>7</v>
      </c>
      <c r="M3" s="50">
        <v>8</v>
      </c>
      <c r="N3" s="49">
        <v>9</v>
      </c>
      <c r="O3" s="49">
        <v>10</v>
      </c>
      <c r="P3" s="50">
        <v>11</v>
      </c>
      <c r="Q3" s="49">
        <v>12</v>
      </c>
      <c r="R3" s="49">
        <v>13</v>
      </c>
      <c r="S3" s="50">
        <v>14</v>
      </c>
      <c r="T3" s="49">
        <v>15</v>
      </c>
      <c r="U3" s="49">
        <v>16</v>
      </c>
      <c r="V3" s="50">
        <v>17</v>
      </c>
      <c r="W3" s="49">
        <v>18</v>
      </c>
      <c r="X3" s="49">
        <v>19</v>
      </c>
      <c r="Y3" s="50">
        <v>20</v>
      </c>
      <c r="Z3" s="49">
        <v>21</v>
      </c>
      <c r="AA3" s="49">
        <v>22</v>
      </c>
      <c r="AB3" s="50">
        <v>23</v>
      </c>
      <c r="AC3" s="49">
        <v>24</v>
      </c>
      <c r="AD3" s="49">
        <v>25</v>
      </c>
      <c r="AE3" s="50">
        <v>26</v>
      </c>
      <c r="AF3" s="49">
        <v>27</v>
      </c>
      <c r="AG3" s="49">
        <v>28</v>
      </c>
      <c r="AH3" s="50">
        <v>29</v>
      </c>
      <c r="AI3" s="49">
        <v>30</v>
      </c>
      <c r="AJ3" s="49">
        <v>31</v>
      </c>
      <c r="AK3" s="5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</row>
    <row r="4" spans="1:57">
      <c r="A4" s="6" t="s">
        <v>2</v>
      </c>
      <c r="B4" s="6" t="s">
        <v>3</v>
      </c>
      <c r="C4" s="6" t="s">
        <v>4</v>
      </c>
      <c r="D4" s="6" t="s">
        <v>5</v>
      </c>
      <c r="E4" s="52" t="s">
        <v>6</v>
      </c>
      <c r="F4" s="141" t="s">
        <v>7</v>
      </c>
      <c r="G4" s="53" t="s">
        <v>8</v>
      </c>
      <c r="H4" s="53" t="s">
        <v>9</v>
      </c>
      <c r="I4" s="53" t="s">
        <v>10</v>
      </c>
      <c r="J4" s="53" t="s">
        <v>11</v>
      </c>
      <c r="K4" s="53" t="s">
        <v>12</v>
      </c>
      <c r="L4" s="53" t="s">
        <v>13</v>
      </c>
      <c r="M4" s="53" t="s">
        <v>7</v>
      </c>
      <c r="N4" s="53" t="s">
        <v>8</v>
      </c>
      <c r="O4" s="53" t="s">
        <v>9</v>
      </c>
      <c r="P4" s="53" t="s">
        <v>10</v>
      </c>
      <c r="Q4" s="53" t="s">
        <v>11</v>
      </c>
      <c r="R4" s="53" t="s">
        <v>12</v>
      </c>
      <c r="S4" s="53" t="s">
        <v>13</v>
      </c>
      <c r="T4" s="53" t="s">
        <v>7</v>
      </c>
      <c r="U4" s="53" t="s">
        <v>8</v>
      </c>
      <c r="V4" s="53" t="s">
        <v>9</v>
      </c>
      <c r="W4" s="53" t="s">
        <v>10</v>
      </c>
      <c r="X4" s="53" t="s">
        <v>11</v>
      </c>
      <c r="Y4" s="53" t="s">
        <v>12</v>
      </c>
      <c r="Z4" s="53" t="s">
        <v>13</v>
      </c>
      <c r="AA4" s="53" t="s">
        <v>7</v>
      </c>
      <c r="AB4" s="53" t="s">
        <v>8</v>
      </c>
      <c r="AC4" s="53" t="s">
        <v>9</v>
      </c>
      <c r="AD4" s="53" t="s">
        <v>10</v>
      </c>
      <c r="AE4" s="53" t="s">
        <v>11</v>
      </c>
      <c r="AF4" s="53" t="s">
        <v>12</v>
      </c>
      <c r="AG4" s="53" t="s">
        <v>13</v>
      </c>
      <c r="AH4" s="53" t="s">
        <v>7</v>
      </c>
      <c r="AI4" s="53" t="s">
        <v>8</v>
      </c>
      <c r="AJ4" s="209" t="s">
        <v>9</v>
      </c>
      <c r="AK4" s="206" t="s">
        <v>14</v>
      </c>
      <c r="AL4" s="207" t="s">
        <v>15</v>
      </c>
      <c r="AM4" s="207" t="s">
        <v>16</v>
      </c>
      <c r="AN4" s="207" t="s">
        <v>17</v>
      </c>
      <c r="AO4" s="207" t="s">
        <v>18</v>
      </c>
      <c r="AP4" s="207" t="s">
        <v>19</v>
      </c>
      <c r="AQ4" s="207" t="s">
        <v>20</v>
      </c>
      <c r="AR4" s="207" t="s">
        <v>21</v>
      </c>
      <c r="AS4" s="207" t="s">
        <v>22</v>
      </c>
      <c r="AT4" s="207" t="s">
        <v>23</v>
      </c>
      <c r="AU4" s="207" t="s">
        <v>24</v>
      </c>
      <c r="AV4" s="207" t="s">
        <v>25</v>
      </c>
      <c r="AW4" s="207" t="s">
        <v>26</v>
      </c>
      <c r="AX4" s="207" t="s">
        <v>27</v>
      </c>
      <c r="AY4" s="208" t="s">
        <v>28</v>
      </c>
      <c r="AZ4" s="54" t="s">
        <v>29</v>
      </c>
    </row>
    <row r="5" spans="1:57">
      <c r="A5" s="449">
        <v>1</v>
      </c>
      <c r="B5" s="55">
        <v>97</v>
      </c>
      <c r="C5" s="56" t="s">
        <v>30</v>
      </c>
      <c r="D5" s="57" t="s">
        <v>31</v>
      </c>
      <c r="E5" s="58" t="s">
        <v>32</v>
      </c>
      <c r="F5" s="142" t="s">
        <v>24</v>
      </c>
      <c r="G5" s="123" t="s">
        <v>14</v>
      </c>
      <c r="H5" s="123" t="s">
        <v>14</v>
      </c>
      <c r="I5" s="123" t="s">
        <v>14</v>
      </c>
      <c r="J5" s="123" t="s">
        <v>14</v>
      </c>
      <c r="K5" s="123" t="s">
        <v>14</v>
      </c>
      <c r="L5" s="123" t="s">
        <v>14</v>
      </c>
      <c r="M5" s="123" t="s">
        <v>14</v>
      </c>
      <c r="N5" s="123" t="s">
        <v>14</v>
      </c>
      <c r="O5" s="123" t="s">
        <v>14</v>
      </c>
      <c r="P5" s="123" t="s">
        <v>24</v>
      </c>
      <c r="Q5" s="123" t="s">
        <v>14</v>
      </c>
      <c r="R5" s="123" t="s">
        <v>14</v>
      </c>
      <c r="S5" s="123" t="s">
        <v>14</v>
      </c>
      <c r="T5" s="123" t="s">
        <v>14</v>
      </c>
      <c r="U5" s="123" t="s">
        <v>14</v>
      </c>
      <c r="V5" s="123" t="s">
        <v>14</v>
      </c>
      <c r="W5" s="123" t="s">
        <v>23</v>
      </c>
      <c r="X5" s="123" t="s">
        <v>14</v>
      </c>
      <c r="Y5" s="123" t="s">
        <v>14</v>
      </c>
      <c r="Z5" s="123" t="s">
        <v>14</v>
      </c>
      <c r="AA5" s="123" t="s">
        <v>14</v>
      </c>
      <c r="AB5" s="123" t="s">
        <v>14</v>
      </c>
      <c r="AC5" s="123" t="s">
        <v>14</v>
      </c>
      <c r="AD5" s="123" t="s">
        <v>23</v>
      </c>
      <c r="AE5" s="123" t="s">
        <v>14</v>
      </c>
      <c r="AF5" s="123" t="s">
        <v>23</v>
      </c>
      <c r="AG5" s="123" t="s">
        <v>14</v>
      </c>
      <c r="AH5" s="123" t="s">
        <v>14</v>
      </c>
      <c r="AI5" s="123" t="s">
        <v>14</v>
      </c>
      <c r="AJ5" s="123" t="s">
        <v>14</v>
      </c>
      <c r="AK5" s="157">
        <f>COUNTIF($F5:$AJ5,$C$128)</f>
        <v>26</v>
      </c>
      <c r="AL5" s="136">
        <f>COUNTIF($F5:$AJ5,$C$129)</f>
        <v>0</v>
      </c>
      <c r="AM5" s="136">
        <f>COUNTIF($F5:$AJ5,$C$130)</f>
        <v>0</v>
      </c>
      <c r="AN5" s="136">
        <f>COUNTIF($F5:$AJ5,$C$131)</f>
        <v>0</v>
      </c>
      <c r="AO5" s="136">
        <f>COUNTIF($F5:$AJ5,$C$132)</f>
        <v>0</v>
      </c>
      <c r="AP5" s="136">
        <f>COUNTIF($F5:$AJ5,$C$133)</f>
        <v>0</v>
      </c>
      <c r="AQ5" s="136">
        <f>COUNTIF($F5:$AJ5,$C$134)</f>
        <v>0</v>
      </c>
      <c r="AR5" s="136">
        <f>COUNTIF($F5:$AJ5,$C$135)</f>
        <v>0</v>
      </c>
      <c r="AS5" s="210">
        <f>COUNTIF($F5:$AJ5,$C$136)</f>
        <v>0</v>
      </c>
      <c r="AT5" s="136">
        <f>COUNTIF($F5:$AJ5,$C$137)</f>
        <v>3</v>
      </c>
      <c r="AU5" s="136">
        <f>COUNTIF($F5:$AJ5,$C$138)</f>
        <v>2</v>
      </c>
      <c r="AV5" s="136">
        <f>COUNTIF($F5:$AJ5,$C$139)</f>
        <v>0</v>
      </c>
      <c r="AW5" s="136">
        <f>COUNTIF($F5:$AJ5,$C$140)</f>
        <v>0</v>
      </c>
      <c r="AX5" s="136">
        <f>COUNTIF($F5:$AJ5,$C$141)</f>
        <v>0</v>
      </c>
      <c r="AY5" s="136">
        <f>COUNTA(F5:AJ5)</f>
        <v>31</v>
      </c>
      <c r="AZ5" s="54">
        <f>AK5+AU5</f>
        <v>28</v>
      </c>
      <c r="BB5" t="s">
        <v>33</v>
      </c>
      <c r="BC5">
        <f>42*4</f>
        <v>168</v>
      </c>
    </row>
    <row r="6" spans="1:57">
      <c r="A6" s="450"/>
      <c r="B6" s="60"/>
      <c r="C6" s="61"/>
      <c r="D6" s="62"/>
      <c r="E6" s="63" t="s">
        <v>34</v>
      </c>
      <c r="F6" s="143"/>
      <c r="G6" s="123"/>
      <c r="H6" s="26"/>
      <c r="I6" s="26"/>
      <c r="J6" s="123"/>
      <c r="K6" s="26"/>
      <c r="L6" s="44"/>
      <c r="M6" s="44"/>
      <c r="N6" s="123"/>
      <c r="O6" s="44"/>
      <c r="P6" s="26"/>
      <c r="Q6" s="26"/>
      <c r="R6" s="26">
        <v>2</v>
      </c>
      <c r="S6" s="26"/>
      <c r="T6" s="26"/>
      <c r="U6" s="26"/>
      <c r="V6" s="26"/>
      <c r="W6" s="26"/>
      <c r="X6" s="26"/>
      <c r="Y6" s="28"/>
      <c r="Z6" s="29">
        <v>2</v>
      </c>
      <c r="AA6" s="26"/>
      <c r="AB6" s="26"/>
      <c r="AC6" s="26"/>
      <c r="AD6" s="25"/>
      <c r="AE6" s="25"/>
      <c r="AF6" s="24"/>
      <c r="AG6" s="24"/>
      <c r="AH6" s="24">
        <v>1</v>
      </c>
      <c r="AI6" s="25"/>
      <c r="AJ6" s="25"/>
      <c r="AK6" s="492">
        <f>SUM(F6:AJ6)</f>
        <v>5</v>
      </c>
      <c r="AL6" s="445"/>
      <c r="AM6" s="445"/>
      <c r="AN6" s="445"/>
      <c r="AO6" s="445"/>
      <c r="AP6" s="445"/>
      <c r="AQ6" s="445"/>
      <c r="AR6" s="445"/>
      <c r="AS6" s="445"/>
      <c r="AT6" s="445"/>
      <c r="AU6" s="445"/>
      <c r="AV6" s="445"/>
      <c r="AW6" s="445"/>
      <c r="AX6" s="445"/>
      <c r="AY6" s="479"/>
      <c r="AZ6" s="54"/>
      <c r="BB6" t="s">
        <v>35</v>
      </c>
      <c r="BC6">
        <f>SUM(AT5,AT7,AT9,AT11,AT13,AT15,AT17,AT19,AT21,AT23,AT25,AT27,AT29,AT31,AT33,AT35,AT37,AT39,AT41,AT43,AT45,AT47,AT49,AT51,AT53,AT55,AT57,AT59,AT61,AT63,AT65,AT67,AT69,AT71,AT73,AT75,AT77,AT79,AT81,AT83,AT85,AT87)</f>
        <v>131</v>
      </c>
      <c r="BE6" t="s">
        <v>36</v>
      </c>
    </row>
    <row r="7" spans="1:57">
      <c r="A7" s="449">
        <v>2</v>
      </c>
      <c r="B7" s="55">
        <v>76</v>
      </c>
      <c r="C7" s="64" t="s">
        <v>37</v>
      </c>
      <c r="D7" s="65" t="s">
        <v>31</v>
      </c>
      <c r="E7" s="58" t="s">
        <v>32</v>
      </c>
      <c r="F7" s="142" t="s">
        <v>24</v>
      </c>
      <c r="G7" s="123" t="s">
        <v>14</v>
      </c>
      <c r="H7" s="123" t="s">
        <v>14</v>
      </c>
      <c r="I7" s="123" t="s">
        <v>14</v>
      </c>
      <c r="J7" s="123" t="s">
        <v>14</v>
      </c>
      <c r="K7" s="123" t="s">
        <v>14</v>
      </c>
      <c r="L7" s="123" t="s">
        <v>14</v>
      </c>
      <c r="M7" s="123" t="s">
        <v>14</v>
      </c>
      <c r="N7" s="123" t="s">
        <v>14</v>
      </c>
      <c r="O7" s="123" t="s">
        <v>24</v>
      </c>
      <c r="P7" s="123" t="s">
        <v>14</v>
      </c>
      <c r="Q7" s="123" t="s">
        <v>14</v>
      </c>
      <c r="R7" s="123" t="s">
        <v>14</v>
      </c>
      <c r="S7" s="123" t="s">
        <v>14</v>
      </c>
      <c r="T7" s="123" t="s">
        <v>14</v>
      </c>
      <c r="U7" s="123" t="s">
        <v>14</v>
      </c>
      <c r="V7" s="123" t="s">
        <v>14</v>
      </c>
      <c r="W7" s="123" t="s">
        <v>14</v>
      </c>
      <c r="X7" s="123" t="s">
        <v>23</v>
      </c>
      <c r="Y7" s="123" t="s">
        <v>14</v>
      </c>
      <c r="Z7" s="123" t="s">
        <v>14</v>
      </c>
      <c r="AA7" s="123" t="s">
        <v>14</v>
      </c>
      <c r="AB7" s="123" t="s">
        <v>14</v>
      </c>
      <c r="AC7" s="123" t="s">
        <v>14</v>
      </c>
      <c r="AD7" s="123" t="s">
        <v>24</v>
      </c>
      <c r="AE7" s="123" t="s">
        <v>14</v>
      </c>
      <c r="AF7" s="123" t="s">
        <v>14</v>
      </c>
      <c r="AG7" s="123" t="s">
        <v>14</v>
      </c>
      <c r="AH7" s="123" t="s">
        <v>14</v>
      </c>
      <c r="AI7" s="123" t="s">
        <v>14</v>
      </c>
      <c r="AJ7" s="123" t="s">
        <v>23</v>
      </c>
      <c r="AK7" s="59">
        <f>COUNTIF($F7:$AJ7,$C$128)</f>
        <v>26</v>
      </c>
      <c r="AL7" s="30">
        <f>COUNTIF($F7:$AJ7,$C$129)</f>
        <v>0</v>
      </c>
      <c r="AM7" s="30">
        <f>COUNTIF($F7:$AJ7,$C$130)</f>
        <v>0</v>
      </c>
      <c r="AN7" s="30">
        <f>COUNTIF($F7:$AJ7,$C$131)</f>
        <v>0</v>
      </c>
      <c r="AO7" s="30">
        <f>COUNTIF($F7:$AJ7,$C$132)</f>
        <v>0</v>
      </c>
      <c r="AP7" s="30">
        <f>COUNTIF($F7:$AJ7,$C$133)</f>
        <v>0</v>
      </c>
      <c r="AQ7" s="30">
        <f>COUNTIF($F7:$AJ7,$C$134)</f>
        <v>0</v>
      </c>
      <c r="AR7" s="30">
        <f>COUNTIF($F7:$AJ7,$C$135)</f>
        <v>0</v>
      </c>
      <c r="AS7" s="7">
        <f>COUNTIF($F7:$AJ7,$C$136)</f>
        <v>0</v>
      </c>
      <c r="AT7" s="30">
        <v>2</v>
      </c>
      <c r="AU7" s="30">
        <f>COUNTIF($F7:$AJ7,$C$138)</f>
        <v>3</v>
      </c>
      <c r="AV7" s="30">
        <f>COUNTIF($F7:$AJ7,$C$139)</f>
        <v>0</v>
      </c>
      <c r="AW7" s="30">
        <f>COUNTIF($F7:$AJ7,$C$140)</f>
        <v>0</v>
      </c>
      <c r="AX7" s="30">
        <f>COUNTIF($F7:$AJ7,$C$141)</f>
        <v>0</v>
      </c>
      <c r="AY7" s="30">
        <f>COUNTA(F7:AJ7)</f>
        <v>31</v>
      </c>
      <c r="AZ7" s="54">
        <f>AK7+AU7</f>
        <v>29</v>
      </c>
      <c r="BB7" t="s">
        <v>38</v>
      </c>
      <c r="BC7">
        <f>BC5-BC6</f>
        <v>37</v>
      </c>
      <c r="BD7">
        <v>150</v>
      </c>
      <c r="BE7">
        <f>BC7*BD7</f>
        <v>5550</v>
      </c>
    </row>
    <row r="8" spans="1:57">
      <c r="A8" s="450"/>
      <c r="B8" s="60"/>
      <c r="C8" s="61"/>
      <c r="D8" s="62"/>
      <c r="E8" s="66" t="s">
        <v>34</v>
      </c>
      <c r="F8" s="143"/>
      <c r="G8" s="123">
        <v>5</v>
      </c>
      <c r="H8" s="26"/>
      <c r="I8" s="26"/>
      <c r="J8" s="123"/>
      <c r="K8" s="26">
        <v>1</v>
      </c>
      <c r="L8" s="44"/>
      <c r="M8" s="44"/>
      <c r="N8" s="123"/>
      <c r="O8" s="44"/>
      <c r="P8" s="26"/>
      <c r="Q8" s="26"/>
      <c r="R8" s="26"/>
      <c r="S8" s="26"/>
      <c r="T8" s="26"/>
      <c r="U8" s="26"/>
      <c r="V8" s="26"/>
      <c r="W8" s="26"/>
      <c r="X8" s="26"/>
      <c r="Y8" s="28"/>
      <c r="Z8" s="29"/>
      <c r="AA8" s="26"/>
      <c r="AB8" s="26"/>
      <c r="AC8" s="26"/>
      <c r="AD8" s="25"/>
      <c r="AE8" s="25"/>
      <c r="AF8" s="24"/>
      <c r="AG8" s="24"/>
      <c r="AH8" s="25"/>
      <c r="AI8" s="25"/>
      <c r="AJ8" s="25"/>
      <c r="AK8" s="492">
        <f>SUM(F8:AJ8)</f>
        <v>6</v>
      </c>
      <c r="AL8" s="445"/>
      <c r="AM8" s="445"/>
      <c r="AN8" s="445"/>
      <c r="AO8" s="445"/>
      <c r="AP8" s="445"/>
      <c r="AQ8" s="445"/>
      <c r="AR8" s="445"/>
      <c r="AS8" s="445"/>
      <c r="AT8" s="445"/>
      <c r="AU8" s="445"/>
      <c r="AV8" s="445"/>
      <c r="AW8" s="445"/>
      <c r="AX8" s="445"/>
      <c r="AY8" s="479"/>
      <c r="AZ8" s="54"/>
    </row>
    <row r="9" spans="1:57">
      <c r="A9" s="449">
        <v>3</v>
      </c>
      <c r="B9" s="67">
        <v>79</v>
      </c>
      <c r="C9" s="56" t="s">
        <v>39</v>
      </c>
      <c r="D9" s="57" t="s">
        <v>31</v>
      </c>
      <c r="E9" s="58" t="s">
        <v>32</v>
      </c>
      <c r="F9" s="142" t="s">
        <v>24</v>
      </c>
      <c r="G9" s="123" t="s">
        <v>14</v>
      </c>
      <c r="H9" s="123" t="s">
        <v>14</v>
      </c>
      <c r="I9" s="123" t="s">
        <v>23</v>
      </c>
      <c r="J9" s="123" t="s">
        <v>14</v>
      </c>
      <c r="K9" s="123" t="s">
        <v>14</v>
      </c>
      <c r="L9" s="123" t="s">
        <v>14</v>
      </c>
      <c r="M9" s="123" t="s">
        <v>14</v>
      </c>
      <c r="N9" s="123" t="s">
        <v>14</v>
      </c>
      <c r="O9" s="123" t="s">
        <v>14</v>
      </c>
      <c r="P9" s="123" t="s">
        <v>24</v>
      </c>
      <c r="Q9" s="123" t="s">
        <v>14</v>
      </c>
      <c r="R9" s="123" t="s">
        <v>14</v>
      </c>
      <c r="S9" s="123" t="s">
        <v>14</v>
      </c>
      <c r="T9" s="123" t="s">
        <v>14</v>
      </c>
      <c r="U9" s="123" t="s">
        <v>14</v>
      </c>
      <c r="V9" s="123" t="s">
        <v>14</v>
      </c>
      <c r="W9" s="123" t="s">
        <v>23</v>
      </c>
      <c r="X9" s="123" t="s">
        <v>14</v>
      </c>
      <c r="Y9" s="123" t="s">
        <v>14</v>
      </c>
      <c r="Z9" s="123" t="s">
        <v>14</v>
      </c>
      <c r="AA9" s="123" t="s">
        <v>14</v>
      </c>
      <c r="AB9" s="123" t="s">
        <v>14</v>
      </c>
      <c r="AC9" s="123" t="s">
        <v>14</v>
      </c>
      <c r="AD9" s="123" t="s">
        <v>14</v>
      </c>
      <c r="AE9" s="123" t="s">
        <v>23</v>
      </c>
      <c r="AF9" s="123" t="s">
        <v>14</v>
      </c>
      <c r="AG9" s="123" t="s">
        <v>14</v>
      </c>
      <c r="AH9" s="123" t="s">
        <v>14</v>
      </c>
      <c r="AI9" s="123" t="s">
        <v>14</v>
      </c>
      <c r="AJ9" s="123" t="s">
        <v>14</v>
      </c>
      <c r="AK9" s="59">
        <f>COUNTIF($F9:$AJ9,$C$128)</f>
        <v>26</v>
      </c>
      <c r="AL9" s="30">
        <f>COUNTIF($F9:$AJ9,$C$129)</f>
        <v>0</v>
      </c>
      <c r="AM9" s="30">
        <f>COUNTIF($F9:$AJ9,$C$130)</f>
        <v>0</v>
      </c>
      <c r="AN9" s="30">
        <f>COUNTIF($F9:$AJ9,$C$131)</f>
        <v>0</v>
      </c>
      <c r="AO9" s="30">
        <f>COUNTIF($F9:$AJ9,$C$132)</f>
        <v>0</v>
      </c>
      <c r="AP9" s="30">
        <f>COUNTIF($F9:$AJ9,$C$133)</f>
        <v>0</v>
      </c>
      <c r="AQ9" s="30">
        <f>COUNTIF($F9:$AJ9,$C$134)</f>
        <v>0</v>
      </c>
      <c r="AR9" s="30">
        <f>COUNTIF($F9:$AJ9,$C$135)</f>
        <v>0</v>
      </c>
      <c r="AS9" s="30">
        <f>COUNTIF($F9:$AJ9,$C$136)</f>
        <v>0</v>
      </c>
      <c r="AT9" s="30">
        <f>COUNTIF($F9:$AJ9,$C$137)</f>
        <v>3</v>
      </c>
      <c r="AU9" s="30">
        <f>COUNTIF($F9:$AJ9,$C$138)</f>
        <v>2</v>
      </c>
      <c r="AV9" s="30">
        <f>COUNTIF($F9:$AJ9,$C$139)</f>
        <v>0</v>
      </c>
      <c r="AW9" s="30">
        <f>COUNTIF($F9:$AJ9,$C$140)</f>
        <v>0</v>
      </c>
      <c r="AX9" s="30">
        <f>COUNTIF($F9:$AJ9,$C$141)</f>
        <v>0</v>
      </c>
      <c r="AY9" s="30">
        <f>COUNTA(F9:AJ9)</f>
        <v>31</v>
      </c>
      <c r="AZ9" s="54">
        <f>AK9+AU9</f>
        <v>28</v>
      </c>
    </row>
    <row r="10" spans="1:57">
      <c r="A10" s="450"/>
      <c r="B10" s="60"/>
      <c r="C10" s="61"/>
      <c r="D10" s="62"/>
      <c r="E10" s="66" t="s">
        <v>34</v>
      </c>
      <c r="F10" s="143">
        <v>1</v>
      </c>
      <c r="G10" s="123"/>
      <c r="H10" s="26">
        <v>1</v>
      </c>
      <c r="I10" s="26"/>
      <c r="J10" s="123"/>
      <c r="K10" s="26"/>
      <c r="L10" s="44"/>
      <c r="M10" s="26">
        <v>1</v>
      </c>
      <c r="N10" s="123"/>
      <c r="O10" s="44">
        <v>1</v>
      </c>
      <c r="P10" s="26"/>
      <c r="Q10" s="26"/>
      <c r="R10" s="26"/>
      <c r="S10" s="26"/>
      <c r="T10" s="26"/>
      <c r="U10" s="26"/>
      <c r="V10" s="26"/>
      <c r="W10" s="26"/>
      <c r="X10" s="26"/>
      <c r="Y10" s="28"/>
      <c r="Z10" s="29"/>
      <c r="AA10" s="26"/>
      <c r="AB10" s="26"/>
      <c r="AC10" s="26"/>
      <c r="AD10" s="25">
        <v>1</v>
      </c>
      <c r="AE10" s="25"/>
      <c r="AF10" s="24"/>
      <c r="AG10" s="24">
        <v>2</v>
      </c>
      <c r="AH10" s="24"/>
      <c r="AI10" s="25"/>
      <c r="AJ10" s="25"/>
      <c r="AK10" s="492">
        <f>SUM(F10:AJ10)</f>
        <v>7</v>
      </c>
      <c r="AL10" s="445"/>
      <c r="AM10" s="445"/>
      <c r="AN10" s="445"/>
      <c r="AO10" s="445"/>
      <c r="AP10" s="445"/>
      <c r="AQ10" s="445"/>
      <c r="AR10" s="445"/>
      <c r="AS10" s="445"/>
      <c r="AT10" s="445"/>
      <c r="AU10" s="445"/>
      <c r="AV10" s="445"/>
      <c r="AW10" s="445"/>
      <c r="AX10" s="445"/>
      <c r="AY10" s="479"/>
      <c r="AZ10" s="54"/>
    </row>
    <row r="11" spans="1:57">
      <c r="A11" s="449">
        <v>4</v>
      </c>
      <c r="B11" s="67">
        <v>33</v>
      </c>
      <c r="C11" s="56" t="s">
        <v>40</v>
      </c>
      <c r="D11" s="57" t="s">
        <v>31</v>
      </c>
      <c r="E11" s="58" t="s">
        <v>32</v>
      </c>
      <c r="F11" s="142" t="s">
        <v>24</v>
      </c>
      <c r="G11" s="123" t="s">
        <v>14</v>
      </c>
      <c r="H11" s="123" t="s">
        <v>14</v>
      </c>
      <c r="I11" s="123" t="s">
        <v>14</v>
      </c>
      <c r="J11" s="123" t="s">
        <v>14</v>
      </c>
      <c r="K11" s="123" t="s">
        <v>14</v>
      </c>
      <c r="L11" s="123" t="s">
        <v>23</v>
      </c>
      <c r="M11" s="123" t="s">
        <v>14</v>
      </c>
      <c r="N11" s="123" t="s">
        <v>14</v>
      </c>
      <c r="O11" s="123" t="s">
        <v>14</v>
      </c>
      <c r="P11" s="123" t="s">
        <v>14</v>
      </c>
      <c r="Q11" s="123" t="s">
        <v>14</v>
      </c>
      <c r="R11" s="123" t="s">
        <v>14</v>
      </c>
      <c r="S11" s="123" t="s">
        <v>23</v>
      </c>
      <c r="T11" s="123" t="s">
        <v>14</v>
      </c>
      <c r="U11" s="123" t="s">
        <v>14</v>
      </c>
      <c r="V11" s="123" t="s">
        <v>14</v>
      </c>
      <c r="W11" s="123" t="s">
        <v>14</v>
      </c>
      <c r="X11" s="123" t="s">
        <v>14</v>
      </c>
      <c r="Y11" s="123" t="s">
        <v>14</v>
      </c>
      <c r="Z11" s="123" t="s">
        <v>14</v>
      </c>
      <c r="AA11" s="123" t="s">
        <v>23</v>
      </c>
      <c r="AB11" s="123" t="s">
        <v>14</v>
      </c>
      <c r="AC11" s="123" t="s">
        <v>14</v>
      </c>
      <c r="AD11" s="123" t="s">
        <v>14</v>
      </c>
      <c r="AE11" s="123" t="s">
        <v>14</v>
      </c>
      <c r="AF11" s="123" t="s">
        <v>14</v>
      </c>
      <c r="AG11" s="123" t="s">
        <v>14</v>
      </c>
      <c r="AH11" s="123" t="s">
        <v>23</v>
      </c>
      <c r="AI11" s="123" t="s">
        <v>14</v>
      </c>
      <c r="AJ11" s="123" t="s">
        <v>14</v>
      </c>
      <c r="AK11" s="59">
        <f>COUNTIF($F11:$AJ11,$C$128)</f>
        <v>26</v>
      </c>
      <c r="AL11" s="30">
        <f>COUNTIF($F11:$AJ11,$C$129)</f>
        <v>0</v>
      </c>
      <c r="AM11" s="30">
        <f>COUNTIF($F11:$AJ11,$C$130)</f>
        <v>0</v>
      </c>
      <c r="AN11" s="30">
        <f>COUNTIF($F11:$AJ11,$C$131)</f>
        <v>0</v>
      </c>
      <c r="AO11" s="30">
        <f>COUNTIF($F11:$AJ11,$C$132)</f>
        <v>0</v>
      </c>
      <c r="AP11" s="30">
        <f>COUNTIF($F11:$AJ11,$C$133)</f>
        <v>0</v>
      </c>
      <c r="AQ11" s="30">
        <f>COUNTIF($F11:$AJ11,$C$134)</f>
        <v>0</v>
      </c>
      <c r="AR11" s="30">
        <f>COUNTIF($F11:$AJ11,$C$135)</f>
        <v>0</v>
      </c>
      <c r="AS11" s="7">
        <f>COUNTIF($F11:$AJ11,$C$136)</f>
        <v>0</v>
      </c>
      <c r="AT11" s="30">
        <f>COUNTIF($F11:$AJ11,$C$137)</f>
        <v>4</v>
      </c>
      <c r="AU11" s="30">
        <f>COUNTIF($F11:$AJ11,$C$138)</f>
        <v>1</v>
      </c>
      <c r="AV11" s="30">
        <f>COUNTIF($F11:$AJ11,$C$139)</f>
        <v>0</v>
      </c>
      <c r="AW11" s="30">
        <f>COUNTIF($F11:$AJ11,$C$140)</f>
        <v>0</v>
      </c>
      <c r="AX11" s="30">
        <f>COUNTIF($F11:$AJ11,$C$141)</f>
        <v>0</v>
      </c>
      <c r="AY11" s="30">
        <f>COUNTA(F11:AJ11)</f>
        <v>31</v>
      </c>
      <c r="AZ11" s="54">
        <f>AK11+AU11</f>
        <v>27</v>
      </c>
    </row>
    <row r="12" spans="1:57">
      <c r="A12" s="450"/>
      <c r="B12" s="60"/>
      <c r="C12" s="61"/>
      <c r="D12" s="62"/>
      <c r="E12" s="66" t="s">
        <v>34</v>
      </c>
      <c r="F12" s="143"/>
      <c r="G12" s="123"/>
      <c r="H12" s="26"/>
      <c r="I12" s="26">
        <v>7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8"/>
      <c r="Z12" s="29"/>
      <c r="AA12" s="26"/>
      <c r="AB12" s="26"/>
      <c r="AC12" s="26"/>
      <c r="AD12" s="25"/>
      <c r="AE12" s="25"/>
      <c r="AF12" s="25"/>
      <c r="AG12" s="25"/>
      <c r="AH12" s="25"/>
      <c r="AI12" s="25"/>
      <c r="AJ12" s="25"/>
      <c r="AK12" s="492">
        <f>SUM(F12:AJ12)</f>
        <v>7</v>
      </c>
      <c r="AL12" s="445"/>
      <c r="AM12" s="445"/>
      <c r="AN12" s="445"/>
      <c r="AO12" s="445"/>
      <c r="AP12" s="445"/>
      <c r="AQ12" s="445"/>
      <c r="AR12" s="445"/>
      <c r="AS12" s="445"/>
      <c r="AT12" s="445"/>
      <c r="AU12" s="445"/>
      <c r="AV12" s="445"/>
      <c r="AW12" s="445"/>
      <c r="AX12" s="445"/>
      <c r="AY12" s="479"/>
      <c r="AZ12" s="54"/>
    </row>
    <row r="13" spans="1:57">
      <c r="A13" s="449">
        <v>5</v>
      </c>
      <c r="B13" s="67">
        <v>41</v>
      </c>
      <c r="C13" s="56" t="s">
        <v>41</v>
      </c>
      <c r="D13" s="57" t="s">
        <v>31</v>
      </c>
      <c r="E13" s="58" t="s">
        <v>32</v>
      </c>
      <c r="F13" s="142" t="s">
        <v>24</v>
      </c>
      <c r="G13" s="123" t="s">
        <v>14</v>
      </c>
      <c r="H13" s="123" t="s">
        <v>14</v>
      </c>
      <c r="I13" s="123" t="s">
        <v>14</v>
      </c>
      <c r="J13" s="123" t="s">
        <v>14</v>
      </c>
      <c r="K13" s="123" t="s">
        <v>14</v>
      </c>
      <c r="L13" s="123" t="s">
        <v>14</v>
      </c>
      <c r="M13" s="123" t="s">
        <v>24</v>
      </c>
      <c r="N13" s="123" t="s">
        <v>14</v>
      </c>
      <c r="O13" s="123" t="s">
        <v>14</v>
      </c>
      <c r="P13" s="123" t="s">
        <v>14</v>
      </c>
      <c r="Q13" s="123" t="s">
        <v>14</v>
      </c>
      <c r="R13" s="123" t="s">
        <v>14</v>
      </c>
      <c r="S13" s="123" t="s">
        <v>14</v>
      </c>
      <c r="T13" s="123" t="s">
        <v>23</v>
      </c>
      <c r="U13" s="123" t="s">
        <v>14</v>
      </c>
      <c r="V13" s="123" t="s">
        <v>14</v>
      </c>
      <c r="W13" s="123" t="s">
        <v>14</v>
      </c>
      <c r="X13" s="123" t="s">
        <v>14</v>
      </c>
      <c r="Y13" s="123" t="s">
        <v>14</v>
      </c>
      <c r="Z13" s="123" t="s">
        <v>14</v>
      </c>
      <c r="AA13" s="123" t="s">
        <v>14</v>
      </c>
      <c r="AB13" s="123" t="s">
        <v>14</v>
      </c>
      <c r="AC13" s="123" t="s">
        <v>23</v>
      </c>
      <c r="AD13" s="123" t="s">
        <v>14</v>
      </c>
      <c r="AE13" s="123" t="s">
        <v>14</v>
      </c>
      <c r="AF13" s="123" t="s">
        <v>14</v>
      </c>
      <c r="AG13" s="123" t="s">
        <v>14</v>
      </c>
      <c r="AH13" s="123" t="s">
        <v>23</v>
      </c>
      <c r="AI13" s="123" t="s">
        <v>14</v>
      </c>
      <c r="AJ13" s="123" t="s">
        <v>14</v>
      </c>
      <c r="AK13" s="59">
        <f>COUNTIF($F13:$AJ13,$C$128)</f>
        <v>26</v>
      </c>
      <c r="AL13" s="30">
        <f>COUNTIF($F13:$AJ13,$C$129)</f>
        <v>0</v>
      </c>
      <c r="AM13" s="30">
        <f>COUNTIF($F13:$AJ13,$C$130)</f>
        <v>0</v>
      </c>
      <c r="AN13" s="30">
        <f>COUNTIF($F13:$AJ13,$C$131)</f>
        <v>0</v>
      </c>
      <c r="AO13" s="30">
        <f>COUNTIF($F13:$AJ13,$C$132)</f>
        <v>0</v>
      </c>
      <c r="AP13" s="30">
        <f>COUNTIF($F13:$AJ13,$C$133)</f>
        <v>0</v>
      </c>
      <c r="AQ13" s="30">
        <f>COUNTIF($F13:$AJ13,$C$134)</f>
        <v>0</v>
      </c>
      <c r="AR13" s="30">
        <f>COUNTIF($F13:$AJ13,$C$135)</f>
        <v>0</v>
      </c>
      <c r="AS13" s="30">
        <f>COUNTIF($F13:$AJ13,$C$136)</f>
        <v>0</v>
      </c>
      <c r="AT13" s="30">
        <f>COUNTIF($F13:$AJ13,$C$137)</f>
        <v>3</v>
      </c>
      <c r="AU13" s="30">
        <f>COUNTIF($F13:$AJ13,$C$138)</f>
        <v>2</v>
      </c>
      <c r="AV13" s="30">
        <f>COUNTIF($F13:$AJ13,$C$139)</f>
        <v>0</v>
      </c>
      <c r="AW13" s="30">
        <f>COUNTIF($F13:$AJ13,$C$140)</f>
        <v>0</v>
      </c>
      <c r="AX13" s="30">
        <f>COUNTIF($F13:$AJ13,$C$141)</f>
        <v>0</v>
      </c>
      <c r="AY13" s="30">
        <f>COUNTA(F13:AJ13)</f>
        <v>31</v>
      </c>
      <c r="AZ13" s="54">
        <f>AK13+AU13</f>
        <v>28</v>
      </c>
    </row>
    <row r="14" spans="1:57">
      <c r="A14" s="450"/>
      <c r="B14" s="60"/>
      <c r="C14" s="61"/>
      <c r="D14" s="62"/>
      <c r="E14" s="66" t="s">
        <v>34</v>
      </c>
      <c r="F14" s="143"/>
      <c r="G14" s="123"/>
      <c r="H14" s="26"/>
      <c r="I14" s="26"/>
      <c r="J14" s="123"/>
      <c r="K14" s="26"/>
      <c r="L14" s="44"/>
      <c r="M14" s="44"/>
      <c r="N14" s="123"/>
      <c r="O14" s="44"/>
      <c r="P14" s="26"/>
      <c r="Q14" s="26"/>
      <c r="R14" s="26"/>
      <c r="S14" s="26"/>
      <c r="T14" s="26"/>
      <c r="U14" s="26"/>
      <c r="V14" s="26"/>
      <c r="W14" s="26"/>
      <c r="X14" s="26"/>
      <c r="Y14" s="28"/>
      <c r="Z14" s="29"/>
      <c r="AA14" s="26"/>
      <c r="AB14" s="26"/>
      <c r="AC14" s="26"/>
      <c r="AD14" s="25"/>
      <c r="AE14" s="25"/>
      <c r="AF14" s="24"/>
      <c r="AG14" s="25">
        <v>2</v>
      </c>
      <c r="AH14" s="24"/>
      <c r="AI14" s="25"/>
      <c r="AJ14" s="25"/>
      <c r="AK14" s="492">
        <f>SUM(F14:AJ14)</f>
        <v>2</v>
      </c>
      <c r="AL14" s="445"/>
      <c r="AM14" s="445"/>
      <c r="AN14" s="445"/>
      <c r="AO14" s="445"/>
      <c r="AP14" s="445"/>
      <c r="AQ14" s="445"/>
      <c r="AR14" s="445"/>
      <c r="AS14" s="445"/>
      <c r="AT14" s="445"/>
      <c r="AU14" s="445"/>
      <c r="AV14" s="445"/>
      <c r="AW14" s="445"/>
      <c r="AX14" s="445"/>
      <c r="AY14" s="479"/>
      <c r="AZ14" s="54"/>
    </row>
    <row r="15" spans="1:57">
      <c r="A15" s="449">
        <v>6</v>
      </c>
      <c r="B15" s="67">
        <v>85</v>
      </c>
      <c r="C15" s="56" t="s">
        <v>42</v>
      </c>
      <c r="D15" s="57" t="s">
        <v>31</v>
      </c>
      <c r="E15" s="68" t="s">
        <v>32</v>
      </c>
      <c r="F15" s="144" t="s">
        <v>23</v>
      </c>
      <c r="G15" s="123" t="s">
        <v>14</v>
      </c>
      <c r="H15" s="123" t="s">
        <v>14</v>
      </c>
      <c r="I15" s="123" t="s">
        <v>14</v>
      </c>
      <c r="J15" s="123" t="s">
        <v>14</v>
      </c>
      <c r="K15" s="123" t="s">
        <v>14</v>
      </c>
      <c r="L15" s="123" t="s">
        <v>14</v>
      </c>
      <c r="M15" s="123" t="s">
        <v>14</v>
      </c>
      <c r="N15" s="123" t="s">
        <v>14</v>
      </c>
      <c r="O15" s="123" t="s">
        <v>14</v>
      </c>
      <c r="P15" s="123" t="s">
        <v>14</v>
      </c>
      <c r="Q15" s="123" t="s">
        <v>14</v>
      </c>
      <c r="R15" s="123" t="s">
        <v>14</v>
      </c>
      <c r="S15" s="123" t="s">
        <v>14</v>
      </c>
      <c r="T15" s="123" t="s">
        <v>14</v>
      </c>
      <c r="U15" s="123" t="s">
        <v>14</v>
      </c>
      <c r="V15" s="123" t="s">
        <v>14</v>
      </c>
      <c r="W15" s="123" t="s">
        <v>23</v>
      </c>
      <c r="X15" s="123" t="s">
        <v>14</v>
      </c>
      <c r="Y15" s="123" t="s">
        <v>14</v>
      </c>
      <c r="Z15" s="123" t="s">
        <v>14</v>
      </c>
      <c r="AA15" s="123" t="s">
        <v>14</v>
      </c>
      <c r="AB15" s="123" t="s">
        <v>14</v>
      </c>
      <c r="AC15" s="123" t="s">
        <v>14</v>
      </c>
      <c r="AD15" s="123" t="s">
        <v>14</v>
      </c>
      <c r="AE15" s="123" t="s">
        <v>23</v>
      </c>
      <c r="AF15" s="123" t="s">
        <v>14</v>
      </c>
      <c r="AG15" s="123" t="s">
        <v>14</v>
      </c>
      <c r="AH15" s="123" t="s">
        <v>14</v>
      </c>
      <c r="AI15" s="123" t="s">
        <v>14</v>
      </c>
      <c r="AJ15" s="123" t="s">
        <v>23</v>
      </c>
      <c r="AK15" s="59">
        <f>COUNTIF($F15:$AJ15,$C$128)</f>
        <v>27</v>
      </c>
      <c r="AL15" s="30">
        <f>COUNTIF($F15:$AJ15,$C$129)</f>
        <v>0</v>
      </c>
      <c r="AM15" s="30">
        <f>COUNTIF($F15:$AJ15,$C$130)</f>
        <v>0</v>
      </c>
      <c r="AN15" s="30">
        <f>COUNTIF($F15:$AJ15,$C$131)</f>
        <v>0</v>
      </c>
      <c r="AO15" s="30">
        <f>COUNTIF($F15:$AJ15,$C$132)</f>
        <v>0</v>
      </c>
      <c r="AP15" s="30">
        <f>COUNTIF($F15:$AJ15,$C$133)</f>
        <v>0</v>
      </c>
      <c r="AQ15" s="30">
        <f>COUNTIF($F15:$AJ15,$C$134)</f>
        <v>0</v>
      </c>
      <c r="AR15" s="7">
        <f>COUNTIF($F15:$AJ15,$C$135)</f>
        <v>0</v>
      </c>
      <c r="AS15" s="7">
        <f>COUNTIF($F15:$AJ15,$C$136)</f>
        <v>0</v>
      </c>
      <c r="AT15" s="30">
        <f>COUNTIF($F15:$AJ15,$C$137)</f>
        <v>4</v>
      </c>
      <c r="AU15" s="30">
        <f>COUNTIF($F15:$AJ15,$C$138)</f>
        <v>0</v>
      </c>
      <c r="AV15" s="30">
        <f>COUNTIF($F15:$AJ15,$C$139)</f>
        <v>0</v>
      </c>
      <c r="AW15" s="30">
        <f>COUNTIF($F15:$AJ15,$C$140)</f>
        <v>0</v>
      </c>
      <c r="AX15" s="30">
        <f>COUNTIF($F15:$AJ15,$C$141)</f>
        <v>0</v>
      </c>
      <c r="AY15" s="30">
        <f>COUNTA(F15:AJ15)</f>
        <v>31</v>
      </c>
      <c r="AZ15" s="54">
        <f>AK15+AU15</f>
        <v>27</v>
      </c>
    </row>
    <row r="16" spans="1:57">
      <c r="A16" s="450"/>
      <c r="B16" s="60"/>
      <c r="C16" s="61"/>
      <c r="D16" s="61"/>
      <c r="E16" s="69" t="s">
        <v>34</v>
      </c>
      <c r="F16" s="143"/>
      <c r="G16" s="123"/>
      <c r="H16" s="26">
        <v>1</v>
      </c>
      <c r="I16" s="26"/>
      <c r="J16" s="26">
        <v>2</v>
      </c>
      <c r="K16" s="26"/>
      <c r="L16" s="26">
        <v>2</v>
      </c>
      <c r="M16" s="26"/>
      <c r="N16" s="26">
        <v>5</v>
      </c>
      <c r="O16" s="26">
        <v>1</v>
      </c>
      <c r="P16" s="26">
        <v>1</v>
      </c>
      <c r="Q16" s="26"/>
      <c r="R16" s="26">
        <v>3</v>
      </c>
      <c r="S16" s="26"/>
      <c r="T16" s="26"/>
      <c r="U16" s="26"/>
      <c r="V16" s="26"/>
      <c r="W16" s="26"/>
      <c r="X16" s="26"/>
      <c r="Y16" s="28"/>
      <c r="Z16" s="29">
        <v>1</v>
      </c>
      <c r="AA16" s="26"/>
      <c r="AB16" s="26"/>
      <c r="AC16" s="26"/>
      <c r="AD16" s="25"/>
      <c r="AE16" s="25"/>
      <c r="AF16" s="25"/>
      <c r="AG16" s="25">
        <v>1</v>
      </c>
      <c r="AH16" s="25">
        <v>3</v>
      </c>
      <c r="AI16" s="25"/>
      <c r="AJ16" s="25"/>
      <c r="AK16" s="459">
        <f>SUM(F16:AJ16)</f>
        <v>20</v>
      </c>
      <c r="AL16" s="445"/>
      <c r="AM16" s="445"/>
      <c r="AN16" s="445"/>
      <c r="AO16" s="445"/>
      <c r="AP16" s="445"/>
      <c r="AQ16" s="445"/>
      <c r="AR16" s="445"/>
      <c r="AS16" s="445"/>
      <c r="AT16" s="445"/>
      <c r="AU16" s="445"/>
      <c r="AV16" s="445"/>
      <c r="AW16" s="445"/>
      <c r="AX16" s="445"/>
      <c r="AY16" s="479"/>
      <c r="AZ16" s="54"/>
    </row>
    <row r="17" spans="1:52">
      <c r="A17" s="449">
        <v>7</v>
      </c>
      <c r="B17" s="67">
        <v>91</v>
      </c>
      <c r="C17" s="70" t="s">
        <v>43</v>
      </c>
      <c r="D17" s="56" t="s">
        <v>31</v>
      </c>
      <c r="E17" s="71" t="s">
        <v>32</v>
      </c>
      <c r="F17" s="142" t="s">
        <v>24</v>
      </c>
      <c r="G17" s="123" t="s">
        <v>23</v>
      </c>
      <c r="H17" s="123" t="s">
        <v>14</v>
      </c>
      <c r="I17" s="123" t="s">
        <v>14</v>
      </c>
      <c r="J17" s="123" t="s">
        <v>14</v>
      </c>
      <c r="K17" s="123" t="s">
        <v>14</v>
      </c>
      <c r="L17" s="123" t="s">
        <v>14</v>
      </c>
      <c r="M17" s="123" t="s">
        <v>14</v>
      </c>
      <c r="N17" s="123" t="s">
        <v>14</v>
      </c>
      <c r="O17" s="123" t="s">
        <v>14</v>
      </c>
      <c r="P17" s="123" t="s">
        <v>14</v>
      </c>
      <c r="Q17" s="123" t="s">
        <v>14</v>
      </c>
      <c r="R17" s="123" t="s">
        <v>14</v>
      </c>
      <c r="S17" s="123" t="s">
        <v>14</v>
      </c>
      <c r="T17" s="123" t="s">
        <v>14</v>
      </c>
      <c r="U17" s="123" t="s">
        <v>23</v>
      </c>
      <c r="V17" s="123" t="s">
        <v>14</v>
      </c>
      <c r="W17" s="123" t="s">
        <v>14</v>
      </c>
      <c r="X17" s="123" t="s">
        <v>14</v>
      </c>
      <c r="Y17" s="123" t="s">
        <v>14</v>
      </c>
      <c r="Z17" s="123" t="s">
        <v>14</v>
      </c>
      <c r="AA17" s="123" t="s">
        <v>14</v>
      </c>
      <c r="AB17" s="123" t="s">
        <v>14</v>
      </c>
      <c r="AC17" s="123" t="s">
        <v>23</v>
      </c>
      <c r="AD17" s="123" t="s">
        <v>14</v>
      </c>
      <c r="AE17" s="123" t="s">
        <v>14</v>
      </c>
      <c r="AF17" s="123" t="s">
        <v>14</v>
      </c>
      <c r="AG17" s="123" t="s">
        <v>14</v>
      </c>
      <c r="AH17" s="123" t="s">
        <v>14</v>
      </c>
      <c r="AI17" s="123" t="s">
        <v>24</v>
      </c>
      <c r="AJ17" s="123" t="s">
        <v>14</v>
      </c>
      <c r="AK17" s="30">
        <f>COUNTIF($F17:$AJ17,$C$128)</f>
        <v>26</v>
      </c>
      <c r="AL17" s="30">
        <f>COUNTIF($F17:$AJ17,$C$129)</f>
        <v>0</v>
      </c>
      <c r="AM17" s="30">
        <f>COUNTIF($F17:$AJ17,$C$130)</f>
        <v>0</v>
      </c>
      <c r="AN17" s="30">
        <f>COUNTIF($F17:$AJ17,$C$131)</f>
        <v>0</v>
      </c>
      <c r="AO17" s="30">
        <f>COUNTIF($F17:$AJ17,$C$132)</f>
        <v>0</v>
      </c>
      <c r="AP17" s="30">
        <f>COUNTIF($F17:$AJ17,$C$133)</f>
        <v>0</v>
      </c>
      <c r="AQ17" s="30">
        <f>COUNTIF($F17:$AJ17,$C$134)</f>
        <v>0</v>
      </c>
      <c r="AR17" s="30">
        <f>COUNTIF($F17:$AJ17,$C$135)</f>
        <v>0</v>
      </c>
      <c r="AS17" s="30">
        <f>COUNTIF($F17:$AJ17,$C$136)</f>
        <v>0</v>
      </c>
      <c r="AT17" s="30">
        <f>COUNTIF($F17:$AJ17,$C$137)</f>
        <v>3</v>
      </c>
      <c r="AU17" s="30">
        <f>COUNTIF($F17:$AJ17,$C$138)</f>
        <v>2</v>
      </c>
      <c r="AV17" s="30">
        <f>COUNTIF($F17:$AJ17,$C$139)</f>
        <v>0</v>
      </c>
      <c r="AW17" s="30">
        <f>COUNTIF($F17:$AJ17,$C$140)</f>
        <v>0</v>
      </c>
      <c r="AX17" s="30">
        <f>COUNTIF($F17:$AJ17,$C$141)</f>
        <v>0</v>
      </c>
      <c r="AY17" s="30">
        <f>COUNTA(F17:AJ17)</f>
        <v>31</v>
      </c>
      <c r="AZ17" s="54">
        <f>AK17+AU17</f>
        <v>28</v>
      </c>
    </row>
    <row r="18" spans="1:52">
      <c r="A18" s="450"/>
      <c r="B18" s="60"/>
      <c r="C18" s="72"/>
      <c r="D18" s="61"/>
      <c r="E18" s="73" t="s">
        <v>34</v>
      </c>
      <c r="F18" s="143"/>
      <c r="G18" s="123"/>
      <c r="H18" s="26"/>
      <c r="I18" s="26"/>
      <c r="J18" s="123"/>
      <c r="K18" s="26"/>
      <c r="L18" s="44"/>
      <c r="M18" s="44"/>
      <c r="N18" s="123"/>
      <c r="O18" s="26">
        <v>1</v>
      </c>
      <c r="P18" s="26"/>
      <c r="Q18" s="26"/>
      <c r="R18" s="26">
        <v>1</v>
      </c>
      <c r="S18" s="26"/>
      <c r="T18" s="26"/>
      <c r="U18" s="26"/>
      <c r="V18" s="26"/>
      <c r="W18" s="26"/>
      <c r="X18" s="26"/>
      <c r="Y18" s="28"/>
      <c r="Z18" s="29"/>
      <c r="AA18" s="26"/>
      <c r="AB18" s="26"/>
      <c r="AC18" s="26"/>
      <c r="AD18" s="25"/>
      <c r="AE18" s="25"/>
      <c r="AF18" s="24"/>
      <c r="AG18" s="24"/>
      <c r="AH18" s="24"/>
      <c r="AI18" s="25"/>
      <c r="AJ18" s="25">
        <v>2</v>
      </c>
      <c r="AK18" s="459">
        <f>SUM(F18:AJ18)</f>
        <v>4</v>
      </c>
      <c r="AL18" s="445"/>
      <c r="AM18" s="445"/>
      <c r="AN18" s="445"/>
      <c r="AO18" s="445"/>
      <c r="AP18" s="445"/>
      <c r="AQ18" s="445"/>
      <c r="AR18" s="445"/>
      <c r="AS18" s="445"/>
      <c r="AT18" s="445"/>
      <c r="AU18" s="445"/>
      <c r="AV18" s="445"/>
      <c r="AW18" s="445"/>
      <c r="AX18" s="445"/>
      <c r="AY18" s="479"/>
      <c r="AZ18" s="54"/>
    </row>
    <row r="19" spans="1:52">
      <c r="A19" s="449">
        <v>8</v>
      </c>
      <c r="B19" s="67">
        <v>36</v>
      </c>
      <c r="C19" s="56" t="s">
        <v>44</v>
      </c>
      <c r="D19" s="56" t="s">
        <v>31</v>
      </c>
      <c r="E19" s="71" t="s">
        <v>32</v>
      </c>
      <c r="F19" s="142" t="s">
        <v>24</v>
      </c>
      <c r="G19" s="123" t="s">
        <v>14</v>
      </c>
      <c r="H19" s="123" t="s">
        <v>14</v>
      </c>
      <c r="I19" s="123" t="s">
        <v>14</v>
      </c>
      <c r="J19" s="123" t="s">
        <v>14</v>
      </c>
      <c r="K19" s="123" t="s">
        <v>24</v>
      </c>
      <c r="L19" s="123" t="s">
        <v>14</v>
      </c>
      <c r="M19" s="123" t="s">
        <v>14</v>
      </c>
      <c r="N19" s="123" t="s">
        <v>14</v>
      </c>
      <c r="O19" s="123" t="s">
        <v>14</v>
      </c>
      <c r="P19" s="123" t="s">
        <v>14</v>
      </c>
      <c r="Q19" s="123" t="s">
        <v>14</v>
      </c>
      <c r="R19" s="123" t="s">
        <v>24</v>
      </c>
      <c r="S19" s="123" t="s">
        <v>14</v>
      </c>
      <c r="T19" s="123" t="s">
        <v>14</v>
      </c>
      <c r="U19" s="123" t="s">
        <v>14</v>
      </c>
      <c r="V19" s="123" t="s">
        <v>14</v>
      </c>
      <c r="W19" s="123" t="s">
        <v>14</v>
      </c>
      <c r="X19" s="123" t="s">
        <v>23</v>
      </c>
      <c r="Y19" s="123" t="s">
        <v>14</v>
      </c>
      <c r="Z19" s="123" t="s">
        <v>14</v>
      </c>
      <c r="AA19" s="123" t="s">
        <v>14</v>
      </c>
      <c r="AB19" s="123" t="s">
        <v>14</v>
      </c>
      <c r="AC19" s="123" t="s">
        <v>14</v>
      </c>
      <c r="AD19" s="123" t="s">
        <v>14</v>
      </c>
      <c r="AE19" s="123" t="s">
        <v>14</v>
      </c>
      <c r="AF19" s="123" t="s">
        <v>23</v>
      </c>
      <c r="AG19" s="123" t="s">
        <v>14</v>
      </c>
      <c r="AH19" s="123" t="s">
        <v>14</v>
      </c>
      <c r="AI19" s="123" t="s">
        <v>14</v>
      </c>
      <c r="AJ19" s="123" t="s">
        <v>14</v>
      </c>
      <c r="AK19" s="30">
        <f>COUNTIF($F19:$AJ19,$C$128)</f>
        <v>26</v>
      </c>
      <c r="AL19" s="30">
        <f>COUNTIF($F19:$AJ19,$C$129)</f>
        <v>0</v>
      </c>
      <c r="AM19" s="30">
        <f>COUNTIF($F19:$AJ19,$C$130)</f>
        <v>0</v>
      </c>
      <c r="AN19" s="30">
        <f>COUNTIF($F19:$AJ19,$C$131)</f>
        <v>0</v>
      </c>
      <c r="AO19" s="30">
        <f>COUNTIF($F19:$AJ19,$C$132)</f>
        <v>0</v>
      </c>
      <c r="AP19" s="30">
        <f>COUNTIF($F19:$AJ19,$C$133)</f>
        <v>0</v>
      </c>
      <c r="AQ19" s="30">
        <f>COUNTIF($F19:$AJ19,$C$134)</f>
        <v>0</v>
      </c>
      <c r="AR19" s="30">
        <f>COUNTIF($F19:$AJ19,$C$135)</f>
        <v>0</v>
      </c>
      <c r="AS19" s="30">
        <f>COUNTIF($F19:$AJ19,$C$136)</f>
        <v>0</v>
      </c>
      <c r="AT19" s="30">
        <f>COUNTIF($F19:$AJ19,$C$137)</f>
        <v>2</v>
      </c>
      <c r="AU19" s="30">
        <f>COUNTIF($F19:$AJ19,$C$138)</f>
        <v>3</v>
      </c>
      <c r="AV19" s="30">
        <f>COUNTIF($F19:$AJ19,$C$139)</f>
        <v>0</v>
      </c>
      <c r="AW19" s="30">
        <f>COUNTIF($F19:$AJ19,$C$140)</f>
        <v>0</v>
      </c>
      <c r="AX19" s="30">
        <f>COUNTIF($F19:$AJ19,$C$141)</f>
        <v>0</v>
      </c>
      <c r="AY19" s="30">
        <f>COUNTA(F19:AJ19)</f>
        <v>31</v>
      </c>
      <c r="AZ19" s="54">
        <f>AK19+AU19</f>
        <v>29</v>
      </c>
    </row>
    <row r="20" spans="1:52">
      <c r="A20" s="450"/>
      <c r="B20" s="60"/>
      <c r="C20" s="61"/>
      <c r="D20" s="61"/>
      <c r="E20" s="73" t="s">
        <v>34</v>
      </c>
      <c r="F20" s="143"/>
      <c r="G20" s="123">
        <v>5</v>
      </c>
      <c r="H20" s="26"/>
      <c r="I20" s="26"/>
      <c r="J20" s="123"/>
      <c r="K20" s="26"/>
      <c r="L20" s="44"/>
      <c r="M20" s="44"/>
      <c r="N20" s="123"/>
      <c r="O20" s="44"/>
      <c r="P20" s="26"/>
      <c r="Q20" s="26"/>
      <c r="R20" s="26"/>
      <c r="S20" s="26"/>
      <c r="T20" s="26"/>
      <c r="U20" s="26"/>
      <c r="V20" s="26"/>
      <c r="W20" s="26"/>
      <c r="X20" s="26"/>
      <c r="Y20" s="28"/>
      <c r="Z20" s="29"/>
      <c r="AA20" s="26"/>
      <c r="AB20" s="26"/>
      <c r="AC20" s="26"/>
      <c r="AD20" s="25"/>
      <c r="AE20" s="25"/>
      <c r="AF20" s="24"/>
      <c r="AG20" s="24"/>
      <c r="AH20" s="24"/>
      <c r="AI20" s="25"/>
      <c r="AJ20" s="25"/>
      <c r="AK20" s="459">
        <f>SUM(F20:AJ20)</f>
        <v>5</v>
      </c>
      <c r="AL20" s="445"/>
      <c r="AM20" s="445"/>
      <c r="AN20" s="445"/>
      <c r="AO20" s="445"/>
      <c r="AP20" s="445"/>
      <c r="AQ20" s="445"/>
      <c r="AR20" s="445"/>
      <c r="AS20" s="445"/>
      <c r="AT20" s="445"/>
      <c r="AU20" s="445"/>
      <c r="AV20" s="445"/>
      <c r="AW20" s="445"/>
      <c r="AX20" s="445"/>
      <c r="AY20" s="479"/>
      <c r="AZ20" s="54"/>
    </row>
    <row r="21" spans="1:52">
      <c r="A21" s="449">
        <v>9</v>
      </c>
      <c r="B21" s="67">
        <v>57</v>
      </c>
      <c r="C21" s="56" t="s">
        <v>45</v>
      </c>
      <c r="D21" s="56" t="s">
        <v>31</v>
      </c>
      <c r="E21" s="71" t="s">
        <v>32</v>
      </c>
      <c r="F21" s="142" t="s">
        <v>24</v>
      </c>
      <c r="G21" s="123" t="s">
        <v>14</v>
      </c>
      <c r="H21" s="123" t="s">
        <v>23</v>
      </c>
      <c r="I21" s="123" t="s">
        <v>14</v>
      </c>
      <c r="J21" s="123" t="s">
        <v>14</v>
      </c>
      <c r="K21" s="123" t="s">
        <v>14</v>
      </c>
      <c r="L21" s="123" t="s">
        <v>14</v>
      </c>
      <c r="M21" s="123" t="s">
        <v>14</v>
      </c>
      <c r="N21" s="123" t="s">
        <v>14</v>
      </c>
      <c r="O21" s="123" t="s">
        <v>14</v>
      </c>
      <c r="P21" s="123" t="s">
        <v>14</v>
      </c>
      <c r="Q21" s="123" t="s">
        <v>14</v>
      </c>
      <c r="R21" s="123" t="s">
        <v>14</v>
      </c>
      <c r="S21" s="123" t="s">
        <v>14</v>
      </c>
      <c r="T21" s="123" t="s">
        <v>14</v>
      </c>
      <c r="U21" s="123" t="s">
        <v>14</v>
      </c>
      <c r="V21" s="123" t="s">
        <v>23</v>
      </c>
      <c r="W21" s="123" t="s">
        <v>14</v>
      </c>
      <c r="X21" s="123" t="s">
        <v>14</v>
      </c>
      <c r="Y21" s="123" t="s">
        <v>14</v>
      </c>
      <c r="Z21" s="123" t="s">
        <v>14</v>
      </c>
      <c r="AA21" s="123" t="s">
        <v>14</v>
      </c>
      <c r="AB21" s="123" t="s">
        <v>14</v>
      </c>
      <c r="AC21" s="123" t="s">
        <v>14</v>
      </c>
      <c r="AD21" s="123" t="s">
        <v>14</v>
      </c>
      <c r="AE21" s="123" t="s">
        <v>14</v>
      </c>
      <c r="AF21" s="123" t="s">
        <v>14</v>
      </c>
      <c r="AG21" s="123" t="s">
        <v>14</v>
      </c>
      <c r="AH21" s="123" t="s">
        <v>14</v>
      </c>
      <c r="AI21" s="123" t="s">
        <v>14</v>
      </c>
      <c r="AJ21" s="123" t="s">
        <v>23</v>
      </c>
      <c r="AK21" s="30">
        <f>COUNTIF($F21:$AJ21,$C$128)</f>
        <v>27</v>
      </c>
      <c r="AL21" s="30">
        <f>COUNTIF($F21:$AJ21,$C$129)</f>
        <v>0</v>
      </c>
      <c r="AM21" s="30">
        <f>COUNTIF($F21:$AJ21,$C$130)</f>
        <v>0</v>
      </c>
      <c r="AN21" s="30">
        <f>COUNTIF($F21:$AJ21,$C$131)</f>
        <v>0</v>
      </c>
      <c r="AO21" s="30">
        <f>COUNTIF($F21:$AJ21,$C$132)</f>
        <v>0</v>
      </c>
      <c r="AP21" s="30">
        <f>COUNTIF($F21:$AJ21,$C$133)</f>
        <v>0</v>
      </c>
      <c r="AQ21" s="30">
        <f>COUNTIF($F21:$AJ21,$C$134)</f>
        <v>0</v>
      </c>
      <c r="AR21" s="30">
        <f>COUNTIF($F21:$AJ21,$C$135)</f>
        <v>0</v>
      </c>
      <c r="AS21" s="30">
        <f>COUNTIF($F21:$AJ21,$C$136)</f>
        <v>0</v>
      </c>
      <c r="AT21" s="30">
        <f>COUNTIF($F21:$AJ21,$C$137)</f>
        <v>3</v>
      </c>
      <c r="AU21" s="30">
        <f>COUNTIF($F21:$AJ21,$C$138)</f>
        <v>1</v>
      </c>
      <c r="AV21" s="30">
        <f>COUNTIF($F21:$AJ21,$C$139)</f>
        <v>0</v>
      </c>
      <c r="AW21" s="30">
        <f>COUNTIF($F21:$AJ21,$C$140)</f>
        <v>0</v>
      </c>
      <c r="AX21" s="30">
        <f>COUNTIF($F21:$AJ21,$C$141)</f>
        <v>0</v>
      </c>
      <c r="AY21" s="30">
        <f>COUNTA(F21:AJ21)</f>
        <v>31</v>
      </c>
      <c r="AZ21" s="54">
        <f>AK21+AU21</f>
        <v>28</v>
      </c>
    </row>
    <row r="22" spans="1:52">
      <c r="A22" s="450"/>
      <c r="B22" s="60"/>
      <c r="C22" s="61"/>
      <c r="D22" s="61"/>
      <c r="E22" s="73" t="s">
        <v>34</v>
      </c>
      <c r="F22" s="143">
        <v>2</v>
      </c>
      <c r="G22" s="123"/>
      <c r="H22" s="26"/>
      <c r="I22" s="26"/>
      <c r="J22" s="123"/>
      <c r="K22" s="26"/>
      <c r="L22" s="44"/>
      <c r="M22" s="26">
        <v>1</v>
      </c>
      <c r="N22" s="123"/>
      <c r="O22" s="44"/>
      <c r="P22" s="26"/>
      <c r="Q22" s="26"/>
      <c r="R22" s="26">
        <v>1</v>
      </c>
      <c r="S22" s="26"/>
      <c r="T22" s="26"/>
      <c r="U22" s="26"/>
      <c r="V22" s="26"/>
      <c r="W22" s="26"/>
      <c r="X22" s="26"/>
      <c r="Y22" s="28">
        <v>1</v>
      </c>
      <c r="Z22" s="29"/>
      <c r="AA22" s="26"/>
      <c r="AB22" s="26"/>
      <c r="AC22" s="26"/>
      <c r="AD22" s="25"/>
      <c r="AE22" s="25"/>
      <c r="AF22" s="24"/>
      <c r="AG22" s="24"/>
      <c r="AH22" s="24"/>
      <c r="AI22" s="25">
        <v>2</v>
      </c>
      <c r="AJ22" s="25"/>
      <c r="AK22" s="459">
        <f>SUM(F22:AJ22)</f>
        <v>7</v>
      </c>
      <c r="AL22" s="445"/>
      <c r="AM22" s="445"/>
      <c r="AN22" s="445"/>
      <c r="AO22" s="445"/>
      <c r="AP22" s="445"/>
      <c r="AQ22" s="445"/>
      <c r="AR22" s="445"/>
      <c r="AS22" s="445"/>
      <c r="AT22" s="445"/>
      <c r="AU22" s="445"/>
      <c r="AV22" s="445"/>
      <c r="AW22" s="445"/>
      <c r="AX22" s="445"/>
      <c r="AY22" s="479"/>
      <c r="AZ22" s="54"/>
    </row>
    <row r="23" spans="1:52">
      <c r="A23" s="449">
        <v>10</v>
      </c>
      <c r="B23" s="67">
        <v>90</v>
      </c>
      <c r="C23" s="56" t="s">
        <v>46</v>
      </c>
      <c r="D23" s="56" t="s">
        <v>31</v>
      </c>
      <c r="E23" s="71" t="s">
        <v>32</v>
      </c>
      <c r="F23" s="142" t="s">
        <v>24</v>
      </c>
      <c r="G23" s="123" t="s">
        <v>14</v>
      </c>
      <c r="H23" s="123" t="s">
        <v>14</v>
      </c>
      <c r="I23" s="123" t="s">
        <v>23</v>
      </c>
      <c r="J23" s="123" t="s">
        <v>14</v>
      </c>
      <c r="K23" s="123" t="s">
        <v>14</v>
      </c>
      <c r="L23" s="123" t="s">
        <v>14</v>
      </c>
      <c r="M23" s="123" t="s">
        <v>14</v>
      </c>
      <c r="N23" s="123" t="s">
        <v>14</v>
      </c>
      <c r="O23" s="123" t="s">
        <v>14</v>
      </c>
      <c r="P23" s="123" t="s">
        <v>14</v>
      </c>
      <c r="Q23" s="123" t="s">
        <v>23</v>
      </c>
      <c r="R23" s="123" t="s">
        <v>14</v>
      </c>
      <c r="S23" s="123" t="s">
        <v>14</v>
      </c>
      <c r="T23" s="123" t="s">
        <v>14</v>
      </c>
      <c r="U23" s="123" t="s">
        <v>14</v>
      </c>
      <c r="V23" s="123" t="s">
        <v>14</v>
      </c>
      <c r="W23" s="123" t="s">
        <v>14</v>
      </c>
      <c r="X23" s="123" t="s">
        <v>23</v>
      </c>
      <c r="Y23" s="123" t="s">
        <v>14</v>
      </c>
      <c r="Z23" s="123" t="s">
        <v>14</v>
      </c>
      <c r="AA23" s="123" t="s">
        <v>14</v>
      </c>
      <c r="AB23" s="123" t="s">
        <v>14</v>
      </c>
      <c r="AC23" s="123" t="s">
        <v>14</v>
      </c>
      <c r="AD23" s="123" t="s">
        <v>23</v>
      </c>
      <c r="AE23" s="123" t="s">
        <v>14</v>
      </c>
      <c r="AF23" s="123" t="s">
        <v>14</v>
      </c>
      <c r="AG23" s="123" t="s">
        <v>14</v>
      </c>
      <c r="AH23" s="123" t="s">
        <v>14</v>
      </c>
      <c r="AI23" s="123" t="s">
        <v>19</v>
      </c>
      <c r="AJ23" s="123" t="s">
        <v>19</v>
      </c>
      <c r="AK23" s="30">
        <f>COUNTIF($F23:$AJ23,$C$128)</f>
        <v>24</v>
      </c>
      <c r="AL23" s="30">
        <f>COUNTIF($F23:$AJ23,$C$129)</f>
        <v>0</v>
      </c>
      <c r="AM23" s="30">
        <f>COUNTIF($F23:$AJ23,$C$130)</f>
        <v>0</v>
      </c>
      <c r="AN23" s="30">
        <f>COUNTIF($F23:$AJ23,$C$131)</f>
        <v>0</v>
      </c>
      <c r="AO23" s="30">
        <f>COUNTIF($F23:$AJ23,$C$132)</f>
        <v>0</v>
      </c>
      <c r="AP23" s="331">
        <f>COUNTIF($F23:$AJ23,$C$133)</f>
        <v>2</v>
      </c>
      <c r="AQ23" s="30">
        <f>COUNTIF($F23:$AJ23,$C$134)</f>
        <v>0</v>
      </c>
      <c r="AR23" s="7">
        <f>COUNTIF($F23:$AJ23,$C$135)</f>
        <v>0</v>
      </c>
      <c r="AS23" s="7">
        <f>COUNTIF($F23:$AJ23,$C$136)</f>
        <v>0</v>
      </c>
      <c r="AT23" s="30">
        <f>COUNTIF($F23:$AJ23,$C$137)</f>
        <v>4</v>
      </c>
      <c r="AU23" s="30">
        <f>COUNTIF($F23:$AJ23,$C$138)</f>
        <v>1</v>
      </c>
      <c r="AV23" s="30">
        <f>COUNTIF($F23:$AJ23,$C$139)</f>
        <v>0</v>
      </c>
      <c r="AW23" s="30">
        <f>COUNTIF($F23:$AJ23,$C$140)</f>
        <v>0</v>
      </c>
      <c r="AX23" s="30">
        <f>COUNTIF($F23:$AJ23,$C$141)</f>
        <v>0</v>
      </c>
      <c r="AY23" s="30">
        <f>COUNTA(F23:AJ23)</f>
        <v>31</v>
      </c>
      <c r="AZ23" s="54">
        <f>AK23+AU23</f>
        <v>25</v>
      </c>
    </row>
    <row r="24" spans="1:52">
      <c r="A24" s="450"/>
      <c r="B24" s="60"/>
      <c r="C24" s="61"/>
      <c r="D24" s="61"/>
      <c r="E24" s="73" t="s">
        <v>34</v>
      </c>
      <c r="F24" s="143"/>
      <c r="G24" s="123">
        <v>9</v>
      </c>
      <c r="H24" s="26"/>
      <c r="I24" s="26"/>
      <c r="J24" s="123"/>
      <c r="K24" s="26"/>
      <c r="L24" s="44"/>
      <c r="M24" s="44"/>
      <c r="N24" s="123"/>
      <c r="O24" s="44"/>
      <c r="P24" s="26"/>
      <c r="Q24" s="26"/>
      <c r="R24" s="26"/>
      <c r="S24" s="26"/>
      <c r="T24" s="26"/>
      <c r="U24" s="26"/>
      <c r="V24" s="26"/>
      <c r="W24" s="26"/>
      <c r="X24" s="26"/>
      <c r="Y24" s="28"/>
      <c r="Z24" s="29"/>
      <c r="AA24" s="26"/>
      <c r="AB24" s="26"/>
      <c r="AC24" s="26"/>
      <c r="AD24" s="25"/>
      <c r="AE24" s="25"/>
      <c r="AF24" s="24"/>
      <c r="AG24" s="24"/>
      <c r="AH24" s="24"/>
      <c r="AI24" s="25"/>
      <c r="AJ24" s="25"/>
      <c r="AK24" s="459">
        <f>SUM(F24:AJ24)</f>
        <v>9</v>
      </c>
      <c r="AL24" s="445"/>
      <c r="AM24" s="445"/>
      <c r="AN24" s="445"/>
      <c r="AO24" s="445"/>
      <c r="AP24" s="445"/>
      <c r="AQ24" s="445"/>
      <c r="AR24" s="445"/>
      <c r="AS24" s="445"/>
      <c r="AT24" s="445"/>
      <c r="AU24" s="445"/>
      <c r="AV24" s="445"/>
      <c r="AW24" s="445"/>
      <c r="AX24" s="445"/>
      <c r="AY24" s="479"/>
      <c r="AZ24" s="54"/>
    </row>
    <row r="25" spans="1:52">
      <c r="A25" s="449">
        <v>11</v>
      </c>
      <c r="B25" s="67">
        <v>125</v>
      </c>
      <c r="C25" s="56" t="s">
        <v>47</v>
      </c>
      <c r="D25" s="56" t="s">
        <v>31</v>
      </c>
      <c r="E25" s="71" t="s">
        <v>32</v>
      </c>
      <c r="F25" s="142" t="s">
        <v>24</v>
      </c>
      <c r="G25" s="123" t="s">
        <v>14</v>
      </c>
      <c r="H25" s="123" t="s">
        <v>14</v>
      </c>
      <c r="I25" s="123" t="s">
        <v>14</v>
      </c>
      <c r="J25" s="123" t="s">
        <v>14</v>
      </c>
      <c r="K25" s="123" t="s">
        <v>14</v>
      </c>
      <c r="L25" s="123" t="s">
        <v>24</v>
      </c>
      <c r="M25" s="123" t="s">
        <v>14</v>
      </c>
      <c r="N25" s="123" t="s">
        <v>14</v>
      </c>
      <c r="O25" s="123" t="s">
        <v>14</v>
      </c>
      <c r="P25" s="123" t="s">
        <v>14</v>
      </c>
      <c r="Q25" s="123" t="s">
        <v>14</v>
      </c>
      <c r="R25" s="123" t="s">
        <v>14</v>
      </c>
      <c r="S25" s="123" t="s">
        <v>14</v>
      </c>
      <c r="T25" s="123" t="s">
        <v>23</v>
      </c>
      <c r="U25" s="123" t="s">
        <v>14</v>
      </c>
      <c r="V25" s="123" t="s">
        <v>14</v>
      </c>
      <c r="W25" s="123" t="s">
        <v>14</v>
      </c>
      <c r="X25" s="123" t="s">
        <v>14</v>
      </c>
      <c r="Y25" s="123" t="s">
        <v>14</v>
      </c>
      <c r="Z25" s="123" t="s">
        <v>14</v>
      </c>
      <c r="AA25" s="123" t="s">
        <v>14</v>
      </c>
      <c r="AB25" s="123" t="s">
        <v>23</v>
      </c>
      <c r="AC25" s="123" t="s">
        <v>14</v>
      </c>
      <c r="AD25" s="123" t="s">
        <v>14</v>
      </c>
      <c r="AE25" s="123" t="s">
        <v>23</v>
      </c>
      <c r="AF25" s="123" t="s">
        <v>14</v>
      </c>
      <c r="AG25" s="123" t="s">
        <v>14</v>
      </c>
      <c r="AH25" s="123" t="s">
        <v>14</v>
      </c>
      <c r="AI25" s="123" t="s">
        <v>14</v>
      </c>
      <c r="AJ25" s="123" t="s">
        <v>14</v>
      </c>
      <c r="AK25" s="30">
        <f>COUNTIF($F25:$AJ25,$C$128)</f>
        <v>26</v>
      </c>
      <c r="AL25" s="30">
        <f>COUNTIF($F25:$AJ25,$C$129)</f>
        <v>0</v>
      </c>
      <c r="AM25" s="30">
        <f>COUNTIF($F25:$AJ25,$C$130)</f>
        <v>0</v>
      </c>
      <c r="AN25" s="30">
        <f>COUNTIF($F25:$AJ25,$C$131)</f>
        <v>0</v>
      </c>
      <c r="AO25" s="30">
        <f>COUNTIF($F25:$AJ25,$C$132)</f>
        <v>0</v>
      </c>
      <c r="AP25" s="30">
        <f>COUNTIF($F25:$AJ25,$C$133)</f>
        <v>0</v>
      </c>
      <c r="AQ25" s="30">
        <f>COUNTIF($F25:$AJ25,$C$134)</f>
        <v>0</v>
      </c>
      <c r="AR25" s="30">
        <f>COUNTIF($F25:$AJ25,$C$135)</f>
        <v>0</v>
      </c>
      <c r="AS25" s="30">
        <f>COUNTIF($F25:$AJ25,$C$136)</f>
        <v>0</v>
      </c>
      <c r="AT25" s="30">
        <f>COUNTIF($F25:$AJ25,$C$137)</f>
        <v>3</v>
      </c>
      <c r="AU25" s="30">
        <f>COUNTIF($F25:$AJ25,$C$138)</f>
        <v>2</v>
      </c>
      <c r="AV25" s="30">
        <f>COUNTIF($F25:$AJ25,$C$139)</f>
        <v>0</v>
      </c>
      <c r="AW25" s="30">
        <f>COUNTIF($F25:$AJ25,$C$140)</f>
        <v>0</v>
      </c>
      <c r="AX25" s="30">
        <f>COUNTIF($F25:$AJ25,$C$141)</f>
        <v>0</v>
      </c>
      <c r="AY25" s="30">
        <f>COUNTA(F25:AJ25)</f>
        <v>31</v>
      </c>
      <c r="AZ25" s="54">
        <f>AK25+AU25</f>
        <v>28</v>
      </c>
    </row>
    <row r="26" spans="1:52">
      <c r="A26" s="450"/>
      <c r="B26" s="60"/>
      <c r="C26" s="61"/>
      <c r="D26" s="61"/>
      <c r="E26" s="73" t="s">
        <v>34</v>
      </c>
      <c r="F26" s="143"/>
      <c r="G26" s="123">
        <v>2</v>
      </c>
      <c r="H26" s="26"/>
      <c r="I26" s="26"/>
      <c r="J26" s="26"/>
      <c r="K26" s="26"/>
      <c r="L26" s="26"/>
      <c r="M26" s="44"/>
      <c r="N26" s="123"/>
      <c r="O26" s="44"/>
      <c r="P26" s="26"/>
      <c r="Q26" s="26">
        <v>2</v>
      </c>
      <c r="R26" s="26"/>
      <c r="S26" s="26"/>
      <c r="T26" s="26"/>
      <c r="U26" s="26"/>
      <c r="V26" s="26"/>
      <c r="W26" s="26"/>
      <c r="X26" s="26"/>
      <c r="Y26" s="28"/>
      <c r="Z26" s="29">
        <v>2</v>
      </c>
      <c r="AA26" s="26"/>
      <c r="AB26" s="26"/>
      <c r="AC26" s="26"/>
      <c r="AD26" s="25"/>
      <c r="AE26" s="25"/>
      <c r="AF26" s="24"/>
      <c r="AG26" s="24"/>
      <c r="AH26" s="24"/>
      <c r="AI26" s="25"/>
      <c r="AJ26" s="25"/>
      <c r="AK26" s="459">
        <f>SUM(F26:AJ26)</f>
        <v>6</v>
      </c>
      <c r="AL26" s="445"/>
      <c r="AM26" s="445"/>
      <c r="AN26" s="445"/>
      <c r="AO26" s="445"/>
      <c r="AP26" s="445"/>
      <c r="AQ26" s="445"/>
      <c r="AR26" s="445"/>
      <c r="AS26" s="445"/>
      <c r="AT26" s="445"/>
      <c r="AU26" s="445"/>
      <c r="AV26" s="445"/>
      <c r="AW26" s="445"/>
      <c r="AX26" s="445"/>
      <c r="AY26" s="479"/>
      <c r="AZ26" s="54"/>
    </row>
    <row r="27" spans="1:52">
      <c r="A27" s="449">
        <v>12</v>
      </c>
      <c r="B27" s="67">
        <v>68</v>
      </c>
      <c r="C27" s="56" t="s">
        <v>48</v>
      </c>
      <c r="D27" s="56" t="s">
        <v>31</v>
      </c>
      <c r="E27" s="71" t="s">
        <v>32</v>
      </c>
      <c r="F27" s="144" t="s">
        <v>23</v>
      </c>
      <c r="G27" s="123" t="s">
        <v>14</v>
      </c>
      <c r="H27" s="123" t="s">
        <v>14</v>
      </c>
      <c r="I27" s="123" t="s">
        <v>14</v>
      </c>
      <c r="J27" s="123" t="s">
        <v>14</v>
      </c>
      <c r="K27" s="123" t="s">
        <v>14</v>
      </c>
      <c r="L27" s="123" t="s">
        <v>14</v>
      </c>
      <c r="M27" s="123" t="s">
        <v>14</v>
      </c>
      <c r="N27" s="123" t="s">
        <v>14</v>
      </c>
      <c r="O27" s="123" t="s">
        <v>14</v>
      </c>
      <c r="P27" s="123" t="s">
        <v>14</v>
      </c>
      <c r="Q27" s="123" t="s">
        <v>14</v>
      </c>
      <c r="R27" s="123" t="s">
        <v>14</v>
      </c>
      <c r="S27" s="123" t="s">
        <v>14</v>
      </c>
      <c r="T27" s="123" t="s">
        <v>14</v>
      </c>
      <c r="U27" s="123" t="s">
        <v>14</v>
      </c>
      <c r="V27" s="123" t="s">
        <v>14</v>
      </c>
      <c r="W27" s="123" t="s">
        <v>14</v>
      </c>
      <c r="X27" s="123" t="s">
        <v>23</v>
      </c>
      <c r="Y27" s="123" t="s">
        <v>14</v>
      </c>
      <c r="Z27" s="123" t="s">
        <v>14</v>
      </c>
      <c r="AA27" s="123" t="s">
        <v>14</v>
      </c>
      <c r="AB27" s="123" t="s">
        <v>14</v>
      </c>
      <c r="AC27" s="123" t="s">
        <v>23</v>
      </c>
      <c r="AD27" s="123" t="s">
        <v>14</v>
      </c>
      <c r="AE27" s="123" t="s">
        <v>14</v>
      </c>
      <c r="AF27" s="123" t="s">
        <v>14</v>
      </c>
      <c r="AG27" s="123" t="s">
        <v>14</v>
      </c>
      <c r="AH27" s="123" t="s">
        <v>14</v>
      </c>
      <c r="AI27" s="123" t="s">
        <v>23</v>
      </c>
      <c r="AJ27" s="123" t="s">
        <v>14</v>
      </c>
      <c r="AK27" s="30">
        <f>COUNTIF($F27:$AJ27,$C$128)</f>
        <v>27</v>
      </c>
      <c r="AL27" s="30">
        <f>COUNTIF($F27:$AJ27,$C$129)</f>
        <v>0</v>
      </c>
      <c r="AM27" s="30">
        <f>COUNTIF($F27:$AJ27,$C$130)</f>
        <v>0</v>
      </c>
      <c r="AN27" s="30">
        <f>COUNTIF($F27:$AJ27,$C$131)</f>
        <v>0</v>
      </c>
      <c r="AO27" s="30">
        <f>COUNTIF($F27:$AJ27,$C$132)</f>
        <v>0</v>
      </c>
      <c r="AP27" s="30">
        <f>COUNTIF($F27:$AJ27,$C$133)</f>
        <v>0</v>
      </c>
      <c r="AQ27" s="30">
        <f>COUNTIF($F27:$AJ27,$C$134)</f>
        <v>0</v>
      </c>
      <c r="AR27" s="30">
        <f>COUNTIF($F27:$AJ27,$C$135)</f>
        <v>0</v>
      </c>
      <c r="AS27" s="30">
        <f>COUNTIF($F27:$AJ27,$C$136)</f>
        <v>0</v>
      </c>
      <c r="AT27" s="30">
        <f>COUNTIF($F27:$AJ27,$C$137)</f>
        <v>4</v>
      </c>
      <c r="AU27" s="30">
        <f>COUNTIF($F27:$AJ27,$C$138)</f>
        <v>0</v>
      </c>
      <c r="AV27" s="30">
        <f>COUNTIF($F27:$AJ27,$C$139)</f>
        <v>0</v>
      </c>
      <c r="AW27" s="30">
        <f>COUNTIF($F27:$AJ27,$C$140)</f>
        <v>0</v>
      </c>
      <c r="AX27" s="30">
        <f>COUNTIF($F27:$AJ27,$C$141)</f>
        <v>0</v>
      </c>
      <c r="AY27" s="30">
        <f>COUNTA(F27:AJ27)</f>
        <v>31</v>
      </c>
      <c r="AZ27" s="54">
        <f>AK27+AU27</f>
        <v>27</v>
      </c>
    </row>
    <row r="28" spans="1:52">
      <c r="A28" s="450"/>
      <c r="B28" s="60"/>
      <c r="C28" s="61"/>
      <c r="D28" s="61"/>
      <c r="E28" s="73" t="s">
        <v>34</v>
      </c>
      <c r="F28" s="143"/>
      <c r="G28" s="26">
        <v>2</v>
      </c>
      <c r="H28" s="26"/>
      <c r="I28" s="26"/>
      <c r="J28" s="26">
        <v>2</v>
      </c>
      <c r="K28" s="26"/>
      <c r="L28" s="26"/>
      <c r="M28" s="26"/>
      <c r="N28" s="26"/>
      <c r="O28" s="26"/>
      <c r="P28" s="26"/>
      <c r="Q28" s="26">
        <v>3</v>
      </c>
      <c r="R28" s="26"/>
      <c r="S28" s="26"/>
      <c r="T28" s="26"/>
      <c r="U28" s="26">
        <v>3</v>
      </c>
      <c r="V28" s="26"/>
      <c r="W28" s="26"/>
      <c r="X28" s="26"/>
      <c r="Y28" s="28"/>
      <c r="Z28" s="29"/>
      <c r="AA28" s="26"/>
      <c r="AB28" s="26"/>
      <c r="AC28" s="26"/>
      <c r="AD28" s="25"/>
      <c r="AE28" s="25">
        <v>1</v>
      </c>
      <c r="AF28" s="25"/>
      <c r="AG28" s="25"/>
      <c r="AH28" s="25"/>
      <c r="AI28" s="25"/>
      <c r="AJ28" s="25">
        <v>1</v>
      </c>
      <c r="AK28" s="459">
        <f>SUM(F28:AJ28)</f>
        <v>12</v>
      </c>
      <c r="AL28" s="445"/>
      <c r="AM28" s="445"/>
      <c r="AN28" s="445"/>
      <c r="AO28" s="445"/>
      <c r="AP28" s="445"/>
      <c r="AQ28" s="445"/>
      <c r="AR28" s="445"/>
      <c r="AS28" s="445"/>
      <c r="AT28" s="445"/>
      <c r="AU28" s="445"/>
      <c r="AV28" s="445"/>
      <c r="AW28" s="445"/>
      <c r="AX28" s="445"/>
      <c r="AY28" s="479"/>
      <c r="AZ28" s="54"/>
    </row>
    <row r="29" spans="1:52">
      <c r="A29" s="449">
        <v>13</v>
      </c>
      <c r="B29" s="67">
        <v>102</v>
      </c>
      <c r="C29" s="56" t="s">
        <v>49</v>
      </c>
      <c r="D29" s="56" t="s">
        <v>31</v>
      </c>
      <c r="E29" s="71" t="s">
        <v>32</v>
      </c>
      <c r="F29" s="144" t="s">
        <v>23</v>
      </c>
      <c r="G29" s="123" t="s">
        <v>14</v>
      </c>
      <c r="H29" s="123" t="s">
        <v>14</v>
      </c>
      <c r="I29" s="123" t="s">
        <v>14</v>
      </c>
      <c r="J29" s="123" t="s">
        <v>14</v>
      </c>
      <c r="K29" s="123" t="s">
        <v>14</v>
      </c>
      <c r="L29" s="123" t="s">
        <v>14</v>
      </c>
      <c r="M29" s="123" t="s">
        <v>24</v>
      </c>
      <c r="N29" s="123" t="s">
        <v>14</v>
      </c>
      <c r="O29" s="123" t="s">
        <v>14</v>
      </c>
      <c r="P29" s="123" t="s">
        <v>14</v>
      </c>
      <c r="Q29" s="123" t="s">
        <v>14</v>
      </c>
      <c r="R29" s="123" t="s">
        <v>14</v>
      </c>
      <c r="S29" s="123" t="s">
        <v>14</v>
      </c>
      <c r="T29" s="123" t="s">
        <v>14</v>
      </c>
      <c r="U29" s="123" t="s">
        <v>23</v>
      </c>
      <c r="V29" s="123" t="s">
        <v>14</v>
      </c>
      <c r="W29" s="123" t="s">
        <v>14</v>
      </c>
      <c r="X29" s="123" t="s">
        <v>14</v>
      </c>
      <c r="Y29" s="123" t="s">
        <v>14</v>
      </c>
      <c r="Z29" s="123" t="s">
        <v>14</v>
      </c>
      <c r="AA29" s="123" t="s">
        <v>14</v>
      </c>
      <c r="AB29" s="123" t="s">
        <v>14</v>
      </c>
      <c r="AC29" s="123" t="s">
        <v>14</v>
      </c>
      <c r="AD29" s="123" t="s">
        <v>14</v>
      </c>
      <c r="AE29" s="123" t="s">
        <v>23</v>
      </c>
      <c r="AF29" s="123" t="s">
        <v>14</v>
      </c>
      <c r="AG29" s="123" t="s">
        <v>14</v>
      </c>
      <c r="AH29" s="123" t="s">
        <v>14</v>
      </c>
      <c r="AI29" s="123" t="s">
        <v>14</v>
      </c>
      <c r="AJ29" s="123" t="s">
        <v>14</v>
      </c>
      <c r="AK29" s="30">
        <f>COUNTIF($F29:$AJ29,$C$128)</f>
        <v>27</v>
      </c>
      <c r="AL29" s="30">
        <f>COUNTIF($F29:$AJ29,$C$129)</f>
        <v>0</v>
      </c>
      <c r="AM29" s="30">
        <f>COUNTIF($F29:$AJ29,$C$130)</f>
        <v>0</v>
      </c>
      <c r="AN29" s="30">
        <f>COUNTIF($F29:$AJ29,$C$131)</f>
        <v>0</v>
      </c>
      <c r="AO29" s="30">
        <f>COUNTIF($F29:$AJ29,$C$132)</f>
        <v>0</v>
      </c>
      <c r="AP29" s="30">
        <f>COUNTIF($F29:$AJ29,$C$133)</f>
        <v>0</v>
      </c>
      <c r="AQ29" s="30">
        <f>COUNTIF($F29:$AJ29,$C$134)</f>
        <v>0</v>
      </c>
      <c r="AR29" s="30">
        <f>COUNTIF($F29:$AJ29,$C$135)</f>
        <v>0</v>
      </c>
      <c r="AS29" s="30">
        <f>COUNTIF($F29:$AJ29,$C$136)</f>
        <v>0</v>
      </c>
      <c r="AT29" s="30">
        <f>COUNTIF($F29:$AJ29,$C$137)</f>
        <v>3</v>
      </c>
      <c r="AU29" s="30">
        <f>COUNTIF($F29:$AJ29,$C$138)</f>
        <v>1</v>
      </c>
      <c r="AV29" s="30">
        <f>COUNTIF($F29:$AJ29,$C$139)</f>
        <v>0</v>
      </c>
      <c r="AW29" s="30">
        <f>COUNTIF($F29:$AJ29,$C$140)</f>
        <v>0</v>
      </c>
      <c r="AX29" s="30">
        <f>COUNTIF($F29:$AJ29,$C$141)</f>
        <v>0</v>
      </c>
      <c r="AY29" s="30">
        <f>COUNTA(F29:AJ29)</f>
        <v>31</v>
      </c>
      <c r="AZ29" s="54">
        <f>AK29+AU29</f>
        <v>28</v>
      </c>
    </row>
    <row r="30" spans="1:52">
      <c r="A30" s="450"/>
      <c r="B30" s="60"/>
      <c r="C30" s="61"/>
      <c r="D30" s="61"/>
      <c r="E30" s="73" t="s">
        <v>34</v>
      </c>
      <c r="F30" s="143"/>
      <c r="G30" s="123"/>
      <c r="H30" s="26">
        <v>1</v>
      </c>
      <c r="I30" s="26"/>
      <c r="J30" s="26">
        <v>1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>
        <v>2</v>
      </c>
      <c r="X30" s="26"/>
      <c r="Y30" s="28">
        <v>3</v>
      </c>
      <c r="Z30" s="29"/>
      <c r="AA30" s="26">
        <v>1</v>
      </c>
      <c r="AB30" s="26"/>
      <c r="AC30" s="26"/>
      <c r="AD30" s="25"/>
      <c r="AE30" s="25"/>
      <c r="AF30" s="25">
        <v>2</v>
      </c>
      <c r="AG30" s="25"/>
      <c r="AH30" s="25"/>
      <c r="AI30" s="25">
        <v>1</v>
      </c>
      <c r="AJ30" s="25">
        <v>2</v>
      </c>
      <c r="AK30" s="459">
        <f>SUM(F30:AJ30)</f>
        <v>13</v>
      </c>
      <c r="AL30" s="445"/>
      <c r="AM30" s="445"/>
      <c r="AN30" s="445"/>
      <c r="AO30" s="445"/>
      <c r="AP30" s="445"/>
      <c r="AQ30" s="445"/>
      <c r="AR30" s="445"/>
      <c r="AS30" s="445"/>
      <c r="AT30" s="445"/>
      <c r="AU30" s="445"/>
      <c r="AV30" s="445"/>
      <c r="AW30" s="445"/>
      <c r="AX30" s="445"/>
      <c r="AY30" s="479"/>
      <c r="AZ30" s="54"/>
    </row>
    <row r="31" spans="1:52">
      <c r="A31" s="449">
        <v>14</v>
      </c>
      <c r="B31" s="55">
        <v>135</v>
      </c>
      <c r="C31" s="64" t="s">
        <v>50</v>
      </c>
      <c r="D31" s="56" t="s">
        <v>31</v>
      </c>
      <c r="E31" s="71" t="s">
        <v>32</v>
      </c>
      <c r="F31" s="179"/>
      <c r="G31" s="178"/>
      <c r="H31" s="178"/>
      <c r="I31" s="178"/>
      <c r="J31" s="178"/>
      <c r="K31" s="178"/>
      <c r="L31" s="178"/>
      <c r="M31" s="329" t="s">
        <v>14</v>
      </c>
      <c r="N31" s="329" t="s">
        <v>14</v>
      </c>
      <c r="O31" s="329" t="s">
        <v>14</v>
      </c>
      <c r="P31" s="329" t="s">
        <v>14</v>
      </c>
      <c r="Q31" s="329" t="s">
        <v>14</v>
      </c>
      <c r="R31" s="329" t="s">
        <v>14</v>
      </c>
      <c r="S31" s="329" t="s">
        <v>14</v>
      </c>
      <c r="T31" s="329" t="s">
        <v>14</v>
      </c>
      <c r="U31" s="261" t="s">
        <v>23</v>
      </c>
      <c r="V31" s="329" t="s">
        <v>14</v>
      </c>
      <c r="W31" s="329" t="s">
        <v>14</v>
      </c>
      <c r="X31" s="329" t="s">
        <v>14</v>
      </c>
      <c r="Y31" s="329" t="s">
        <v>14</v>
      </c>
      <c r="Z31" s="329" t="s">
        <v>14</v>
      </c>
      <c r="AA31" s="329" t="s">
        <v>14</v>
      </c>
      <c r="AB31" s="329" t="s">
        <v>14</v>
      </c>
      <c r="AC31" s="261" t="s">
        <v>23</v>
      </c>
      <c r="AD31" s="329" t="s">
        <v>14</v>
      </c>
      <c r="AE31" s="329" t="s">
        <v>14</v>
      </c>
      <c r="AF31" s="329" t="s">
        <v>14</v>
      </c>
      <c r="AG31" s="329" t="s">
        <v>14</v>
      </c>
      <c r="AH31" s="329" t="s">
        <v>14</v>
      </c>
      <c r="AI31" s="329" t="s">
        <v>14</v>
      </c>
      <c r="AJ31" s="261" t="s">
        <v>23</v>
      </c>
      <c r="AK31" s="30">
        <f>COUNTIF($F31:$AJ31,$C$128)</f>
        <v>21</v>
      </c>
      <c r="AL31" s="30">
        <f>COUNTIF($F31:$AJ31,$C$129)</f>
        <v>0</v>
      </c>
      <c r="AM31" s="30">
        <f>COUNTIF($F31:$AJ31,$C$130)</f>
        <v>0</v>
      </c>
      <c r="AN31" s="30">
        <f>COUNTIF($F31:$AJ31,$C$131)</f>
        <v>0</v>
      </c>
      <c r="AO31" s="30">
        <f>COUNTIF($F31:$AJ31,$C$132)</f>
        <v>0</v>
      </c>
      <c r="AP31" s="30">
        <f>COUNTIF($F31:$AJ31,$C$133)</f>
        <v>0</v>
      </c>
      <c r="AQ31" s="30">
        <f>COUNTIF($F31:$AJ31,$C$134)</f>
        <v>0</v>
      </c>
      <c r="AR31" s="30">
        <f>COUNTIF($F31:$AJ31,$C$135)</f>
        <v>0</v>
      </c>
      <c r="AS31" s="30">
        <f>COUNTIF($F31:$AJ31,$C$136)</f>
        <v>0</v>
      </c>
      <c r="AT31" s="30">
        <f>COUNTIF($F31:$AJ31,$C$137)</f>
        <v>3</v>
      </c>
      <c r="AU31" s="30">
        <f>COUNTIF($F31:$AJ31,$C$138)</f>
        <v>0</v>
      </c>
      <c r="AV31" s="30">
        <f>COUNTIF($F31:$AJ31,$C$139)</f>
        <v>0</v>
      </c>
      <c r="AW31" s="30">
        <f>COUNTIF($F31:$AJ31,$C$140)</f>
        <v>0</v>
      </c>
      <c r="AX31" s="30">
        <f>COUNTIF($F31:$AJ31,$C$141)</f>
        <v>0</v>
      </c>
      <c r="AY31" s="30">
        <f>COUNTA(F31:AJ31)</f>
        <v>24</v>
      </c>
      <c r="AZ31" s="54">
        <f t="shared" ref="AZ30:AZ34" si="0">AK31+AU31</f>
        <v>21</v>
      </c>
    </row>
    <row r="32" spans="1:52">
      <c r="A32" s="450"/>
      <c r="B32" s="55"/>
      <c r="C32" s="64"/>
      <c r="D32" s="64"/>
      <c r="E32" s="73" t="s">
        <v>34</v>
      </c>
      <c r="F32" s="143"/>
      <c r="G32" s="123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>
        <v>2</v>
      </c>
      <c r="S32" s="26"/>
      <c r="T32" s="26"/>
      <c r="U32" s="26"/>
      <c r="V32" s="26"/>
      <c r="W32" s="26"/>
      <c r="X32" s="26"/>
      <c r="Y32" s="28"/>
      <c r="Z32" s="29"/>
      <c r="AA32" s="26"/>
      <c r="AB32" s="26"/>
      <c r="AC32" s="26"/>
      <c r="AD32" s="25"/>
      <c r="AE32" s="25"/>
      <c r="AF32" s="25"/>
      <c r="AG32" s="25"/>
      <c r="AH32" s="25"/>
      <c r="AI32" s="25"/>
      <c r="AJ32" s="25"/>
      <c r="AK32" s="459">
        <f>SUM(F32:AJ32)</f>
        <v>2</v>
      </c>
      <c r="AL32" s="445"/>
      <c r="AM32" s="445"/>
      <c r="AN32" s="445"/>
      <c r="AO32" s="445"/>
      <c r="AP32" s="445"/>
      <c r="AQ32" s="445"/>
      <c r="AR32" s="445"/>
      <c r="AS32" s="445"/>
      <c r="AT32" s="445"/>
      <c r="AU32" s="445"/>
      <c r="AV32" s="445"/>
      <c r="AW32" s="445"/>
      <c r="AX32" s="445"/>
      <c r="AY32" s="479"/>
      <c r="AZ32" s="54"/>
    </row>
    <row r="33" spans="1:52">
      <c r="A33" s="449">
        <v>15</v>
      </c>
      <c r="B33" s="67">
        <v>65</v>
      </c>
      <c r="C33" s="56" t="s">
        <v>51</v>
      </c>
      <c r="D33" s="56" t="s">
        <v>31</v>
      </c>
      <c r="E33" s="71" t="s">
        <v>32</v>
      </c>
      <c r="F33" s="142" t="s">
        <v>24</v>
      </c>
      <c r="G33" s="180" t="s">
        <v>14</v>
      </c>
      <c r="H33" s="329" t="s">
        <v>14</v>
      </c>
      <c r="I33" s="329" t="s">
        <v>14</v>
      </c>
      <c r="J33" s="329" t="s">
        <v>14</v>
      </c>
      <c r="K33" s="329" t="s">
        <v>14</v>
      </c>
      <c r="L33" s="261" t="s">
        <v>23</v>
      </c>
      <c r="M33" s="262" t="s">
        <v>21</v>
      </c>
      <c r="N33" s="262" t="s">
        <v>21</v>
      </c>
      <c r="O33" s="262" t="s">
        <v>21</v>
      </c>
      <c r="P33" s="262" t="s">
        <v>21</v>
      </c>
      <c r="Q33" s="262" t="s">
        <v>21</v>
      </c>
      <c r="R33" s="262" t="s">
        <v>21</v>
      </c>
      <c r="S33" s="262" t="s">
        <v>21</v>
      </c>
      <c r="T33" s="262" t="s">
        <v>21</v>
      </c>
      <c r="U33" s="262" t="s">
        <v>21</v>
      </c>
      <c r="V33" s="262" t="s">
        <v>21</v>
      </c>
      <c r="W33" s="262" t="s">
        <v>21</v>
      </c>
      <c r="X33" s="262" t="s">
        <v>21</v>
      </c>
      <c r="Y33" s="262" t="s">
        <v>21</v>
      </c>
      <c r="Z33" s="262" t="s">
        <v>21</v>
      </c>
      <c r="AA33" s="262" t="s">
        <v>21</v>
      </c>
      <c r="AB33" s="329" t="s">
        <v>14</v>
      </c>
      <c r="AC33" s="329" t="s">
        <v>14</v>
      </c>
      <c r="AD33" s="329" t="s">
        <v>14</v>
      </c>
      <c r="AE33" s="329" t="s">
        <v>14</v>
      </c>
      <c r="AF33" s="329" t="s">
        <v>14</v>
      </c>
      <c r="AG33" s="261" t="s">
        <v>23</v>
      </c>
      <c r="AH33" s="329" t="s">
        <v>14</v>
      </c>
      <c r="AI33" s="329" t="s">
        <v>14</v>
      </c>
      <c r="AJ33" s="329" t="s">
        <v>14</v>
      </c>
      <c r="AK33" s="30">
        <f>COUNTIF($F33:$AJ33,$C$128)</f>
        <v>13</v>
      </c>
      <c r="AL33" s="30">
        <f>COUNTIF($F33:$AJ33,$C$129)</f>
        <v>0</v>
      </c>
      <c r="AM33" s="30">
        <f>COUNTIF($F33:$AJ33,$C$130)</f>
        <v>0</v>
      </c>
      <c r="AN33" s="30">
        <f>COUNTIF($F33:$AJ33,$C$131)</f>
        <v>0</v>
      </c>
      <c r="AO33" s="30">
        <f>COUNTIF($F33:$AJ33,$C$132)</f>
        <v>0</v>
      </c>
      <c r="AP33" s="74">
        <f>COUNTIF($F33:$AJ33,$C$133)</f>
        <v>0</v>
      </c>
      <c r="AQ33" s="30">
        <f>COUNTIF($F33:$AJ33,$C$134)</f>
        <v>0</v>
      </c>
      <c r="AR33" s="30">
        <f>COUNTIF($F33:$AJ33,$C$135)</f>
        <v>15</v>
      </c>
      <c r="AS33" s="7">
        <f>COUNTIF($F33:$AJ33,$C$136)</f>
        <v>0</v>
      </c>
      <c r="AT33" s="30">
        <f>COUNTIF($F33:$AJ33,$C$137)</f>
        <v>2</v>
      </c>
      <c r="AU33" s="30">
        <f>COUNTIF($F33:$AJ33,$C$138)</f>
        <v>1</v>
      </c>
      <c r="AV33" s="30">
        <f>COUNTIF($F33:$AJ33,$C$139)</f>
        <v>0</v>
      </c>
      <c r="AW33" s="30">
        <f>COUNTIF($F33:$AJ33,$C$140)</f>
        <v>0</v>
      </c>
      <c r="AX33" s="30">
        <f>COUNTIF($F33:$AJ33,$C$141)</f>
        <v>0</v>
      </c>
      <c r="AY33" s="30">
        <f>COUNTA(F33:AJ33)</f>
        <v>31</v>
      </c>
      <c r="AZ33" s="54">
        <f t="shared" si="0"/>
        <v>14</v>
      </c>
    </row>
    <row r="34" spans="1:52">
      <c r="A34" s="450"/>
      <c r="B34" s="60"/>
      <c r="C34" s="61"/>
      <c r="D34" s="61"/>
      <c r="E34" s="73" t="s">
        <v>34</v>
      </c>
      <c r="F34" s="143"/>
      <c r="G34" s="123"/>
      <c r="H34" s="26"/>
      <c r="I34" s="26"/>
      <c r="J34" s="123"/>
      <c r="K34" s="26"/>
      <c r="L34" s="44"/>
      <c r="M34" s="44"/>
      <c r="N34" s="123"/>
      <c r="O34" s="44"/>
      <c r="P34" s="26"/>
      <c r="Q34" s="26"/>
      <c r="R34" s="26"/>
      <c r="S34" s="26"/>
      <c r="T34" s="26"/>
      <c r="U34" s="26"/>
      <c r="V34" s="26"/>
      <c r="W34" s="26"/>
      <c r="X34" s="26"/>
      <c r="Y34" s="28"/>
      <c r="Z34" s="29"/>
      <c r="AA34" s="26"/>
      <c r="AB34" s="26"/>
      <c r="AC34" s="26"/>
      <c r="AD34" s="25"/>
      <c r="AE34" s="25">
        <v>1</v>
      </c>
      <c r="AF34" s="24"/>
      <c r="AG34" s="24"/>
      <c r="AH34" s="24">
        <v>3</v>
      </c>
      <c r="AI34" s="25"/>
      <c r="AJ34" s="25"/>
      <c r="AK34" s="459">
        <f>SUM(F34:AJ34)</f>
        <v>4</v>
      </c>
      <c r="AL34" s="445"/>
      <c r="AM34" s="445"/>
      <c r="AN34" s="445"/>
      <c r="AO34" s="445"/>
      <c r="AP34" s="445"/>
      <c r="AQ34" s="445"/>
      <c r="AR34" s="445"/>
      <c r="AS34" s="445"/>
      <c r="AT34" s="445"/>
      <c r="AU34" s="445"/>
      <c r="AV34" s="445"/>
      <c r="AW34" s="445"/>
      <c r="AX34" s="445"/>
      <c r="AY34" s="479"/>
      <c r="AZ34" s="54"/>
    </row>
    <row r="35" spans="1:52">
      <c r="A35" s="449">
        <v>16</v>
      </c>
      <c r="B35" s="67">
        <v>43</v>
      </c>
      <c r="C35" s="56" t="s">
        <v>52</v>
      </c>
      <c r="D35" s="56" t="s">
        <v>31</v>
      </c>
      <c r="E35" s="71" t="s">
        <v>32</v>
      </c>
      <c r="F35" s="142" t="s">
        <v>24</v>
      </c>
      <c r="G35" s="123" t="s">
        <v>14</v>
      </c>
      <c r="H35" s="123" t="s">
        <v>14</v>
      </c>
      <c r="I35" s="123" t="s">
        <v>14</v>
      </c>
      <c r="J35" s="123" t="s">
        <v>14</v>
      </c>
      <c r="K35" s="123" t="s">
        <v>14</v>
      </c>
      <c r="L35" s="123" t="s">
        <v>14</v>
      </c>
      <c r="M35" s="123" t="s">
        <v>23</v>
      </c>
      <c r="N35" s="123" t="s">
        <v>14</v>
      </c>
      <c r="O35" s="123" t="s">
        <v>14</v>
      </c>
      <c r="P35" s="123" t="s">
        <v>14</v>
      </c>
      <c r="Q35" s="123" t="s">
        <v>14</v>
      </c>
      <c r="R35" s="123" t="s">
        <v>14</v>
      </c>
      <c r="S35" s="123" t="s">
        <v>14</v>
      </c>
      <c r="T35" s="123" t="s">
        <v>24</v>
      </c>
      <c r="U35" s="123" t="s">
        <v>14</v>
      </c>
      <c r="V35" s="123" t="s">
        <v>14</v>
      </c>
      <c r="W35" s="123" t="s">
        <v>14</v>
      </c>
      <c r="X35" s="123" t="s">
        <v>14</v>
      </c>
      <c r="Y35" s="123" t="s">
        <v>14</v>
      </c>
      <c r="Z35" s="123" t="s">
        <v>23</v>
      </c>
      <c r="AA35" s="123" t="s">
        <v>14</v>
      </c>
      <c r="AB35" s="123" t="s">
        <v>14</v>
      </c>
      <c r="AC35" s="123" t="s">
        <v>14</v>
      </c>
      <c r="AD35" s="123" t="s">
        <v>14</v>
      </c>
      <c r="AE35" s="123" t="s">
        <v>14</v>
      </c>
      <c r="AF35" s="123" t="s">
        <v>23</v>
      </c>
      <c r="AG35" s="123" t="s">
        <v>14</v>
      </c>
      <c r="AH35" s="123" t="s">
        <v>14</v>
      </c>
      <c r="AI35" s="123" t="s">
        <v>14</v>
      </c>
      <c r="AJ35" s="123" t="s">
        <v>14</v>
      </c>
      <c r="AK35" s="30">
        <f>COUNTIF($F35:$AJ35,$C$128)</f>
        <v>26</v>
      </c>
      <c r="AL35" s="30">
        <f>COUNTIF($F35:$AJ35,$C$129)</f>
        <v>0</v>
      </c>
      <c r="AM35" s="30">
        <f>COUNTIF($F35:$AJ35,$C$130)</f>
        <v>0</v>
      </c>
      <c r="AN35" s="30">
        <f>COUNTIF($F35:$AJ35,$C$131)</f>
        <v>0</v>
      </c>
      <c r="AO35" s="30">
        <f>COUNTIF($F35:$AJ35,$C$132)</f>
        <v>0</v>
      </c>
      <c r="AP35" s="30">
        <f>COUNTIF($F35:$AJ35,$C$133)</f>
        <v>0</v>
      </c>
      <c r="AQ35" s="30">
        <f>COUNTIF($F35:$AJ35,$C$134)</f>
        <v>0</v>
      </c>
      <c r="AR35" s="30">
        <f>COUNTIF($F35:$AJ35,$C$135)</f>
        <v>0</v>
      </c>
      <c r="AS35" s="30">
        <f>COUNTIF($F35:$AJ35,$C$136)</f>
        <v>0</v>
      </c>
      <c r="AT35" s="30">
        <f>COUNTIF($F35:$AJ35,$C$137)</f>
        <v>3</v>
      </c>
      <c r="AU35" s="30">
        <f>COUNTIF($F35:$AJ35,$C$138)</f>
        <v>2</v>
      </c>
      <c r="AV35" s="30">
        <f>COUNTIF($F35:$AJ35,$C$139)</f>
        <v>0</v>
      </c>
      <c r="AW35" s="30">
        <f>COUNTIF($F35:$AJ35,$C$140)</f>
        <v>0</v>
      </c>
      <c r="AX35" s="30">
        <f>COUNTIF($F35:$AJ35,$C$141)</f>
        <v>0</v>
      </c>
      <c r="AY35" s="30">
        <f>COUNTA(F35:AJ35)</f>
        <v>31</v>
      </c>
      <c r="AZ35" s="54">
        <f>AK35+AU35</f>
        <v>28</v>
      </c>
    </row>
    <row r="36" spans="1:52">
      <c r="A36" s="450"/>
      <c r="B36" s="60"/>
      <c r="C36" s="61"/>
      <c r="D36" s="61"/>
      <c r="E36" s="73" t="s">
        <v>34</v>
      </c>
      <c r="F36" s="143"/>
      <c r="G36" s="123"/>
      <c r="H36" s="26"/>
      <c r="I36" s="26"/>
      <c r="J36" s="123"/>
      <c r="K36" s="26"/>
      <c r="L36" s="44"/>
      <c r="M36" s="44"/>
      <c r="N36" s="123"/>
      <c r="O36" s="26">
        <v>1</v>
      </c>
      <c r="P36" s="26"/>
      <c r="Q36" s="26"/>
      <c r="R36" s="26"/>
      <c r="S36" s="26"/>
      <c r="T36" s="26"/>
      <c r="U36" s="26"/>
      <c r="V36" s="26"/>
      <c r="W36" s="26"/>
      <c r="X36" s="26"/>
      <c r="Y36" s="28"/>
      <c r="Z36" s="29"/>
      <c r="AA36" s="26"/>
      <c r="AB36" s="26"/>
      <c r="AC36" s="26"/>
      <c r="AD36" s="25"/>
      <c r="AE36" s="25"/>
      <c r="AF36" s="24"/>
      <c r="AG36" s="24"/>
      <c r="AH36" s="24"/>
      <c r="AI36" s="25"/>
      <c r="AJ36" s="25"/>
      <c r="AK36" s="459">
        <f>SUM(F36:AJ36)</f>
        <v>1</v>
      </c>
      <c r="AL36" s="445"/>
      <c r="AM36" s="445"/>
      <c r="AN36" s="445"/>
      <c r="AO36" s="445"/>
      <c r="AP36" s="445"/>
      <c r="AQ36" s="445"/>
      <c r="AR36" s="445"/>
      <c r="AS36" s="445"/>
      <c r="AT36" s="445"/>
      <c r="AU36" s="445"/>
      <c r="AV36" s="445"/>
      <c r="AW36" s="445"/>
      <c r="AX36" s="445"/>
      <c r="AY36" s="479"/>
      <c r="AZ36" s="54"/>
    </row>
    <row r="37" spans="1:52">
      <c r="A37" s="449">
        <v>17</v>
      </c>
      <c r="B37" s="67">
        <v>98</v>
      </c>
      <c r="C37" s="56" t="s">
        <v>53</v>
      </c>
      <c r="D37" s="56" t="s">
        <v>31</v>
      </c>
      <c r="E37" s="71" t="s">
        <v>32</v>
      </c>
      <c r="F37" s="142" t="s">
        <v>24</v>
      </c>
      <c r="G37" s="123" t="s">
        <v>14</v>
      </c>
      <c r="H37" s="123" t="s">
        <v>14</v>
      </c>
      <c r="I37" s="123" t="s">
        <v>14</v>
      </c>
      <c r="J37" s="123" t="s">
        <v>14</v>
      </c>
      <c r="K37" s="123" t="s">
        <v>23</v>
      </c>
      <c r="L37" s="123" t="s">
        <v>14</v>
      </c>
      <c r="M37" s="123" t="s">
        <v>14</v>
      </c>
      <c r="N37" s="123" t="s">
        <v>14</v>
      </c>
      <c r="O37" s="123" t="s">
        <v>14</v>
      </c>
      <c r="P37" s="123" t="s">
        <v>24</v>
      </c>
      <c r="Q37" s="123" t="s">
        <v>14</v>
      </c>
      <c r="R37" s="123" t="s">
        <v>14</v>
      </c>
      <c r="S37" s="123" t="s">
        <v>14</v>
      </c>
      <c r="T37" s="123" t="s">
        <v>14</v>
      </c>
      <c r="U37" s="123" t="s">
        <v>14</v>
      </c>
      <c r="V37" s="123" t="s">
        <v>14</v>
      </c>
      <c r="W37" s="123" t="s">
        <v>14</v>
      </c>
      <c r="X37" s="123" t="s">
        <v>23</v>
      </c>
      <c r="Y37" s="123" t="s">
        <v>14</v>
      </c>
      <c r="Z37" s="123" t="s">
        <v>14</v>
      </c>
      <c r="AA37" s="123" t="s">
        <v>14</v>
      </c>
      <c r="AB37" s="123" t="s">
        <v>14</v>
      </c>
      <c r="AC37" s="123" t="s">
        <v>14</v>
      </c>
      <c r="AD37" s="123" t="s">
        <v>14</v>
      </c>
      <c r="AE37" s="123" t="s">
        <v>14</v>
      </c>
      <c r="AF37" s="123" t="s">
        <v>23</v>
      </c>
      <c r="AG37" s="123" t="s">
        <v>14</v>
      </c>
      <c r="AH37" s="123" t="s">
        <v>14</v>
      </c>
      <c r="AI37" s="123" t="s">
        <v>14</v>
      </c>
      <c r="AJ37" s="123" t="s">
        <v>14</v>
      </c>
      <c r="AK37" s="30">
        <f>COUNTIF($F37:$AJ37,$C$128)</f>
        <v>26</v>
      </c>
      <c r="AL37" s="30">
        <f>COUNTIF($F37:$AJ37,$C$129)</f>
        <v>0</v>
      </c>
      <c r="AM37" s="30">
        <f>COUNTIF($F37:$AJ37,$C$130)</f>
        <v>0</v>
      </c>
      <c r="AN37" s="30">
        <f>COUNTIF($F37:$AJ37,$C$131)</f>
        <v>0</v>
      </c>
      <c r="AO37" s="30">
        <f>COUNTIF($F37:$AJ37,$C$132)</f>
        <v>0</v>
      </c>
      <c r="AP37" s="30">
        <f>COUNTIF($F37:$AJ37,$C$133)</f>
        <v>0</v>
      </c>
      <c r="AQ37" s="30">
        <f>COUNTIF($F37:$AJ37,$C$134)</f>
        <v>0</v>
      </c>
      <c r="AR37" s="30">
        <f>COUNTIF($F37:$AJ37,$C$135)</f>
        <v>0</v>
      </c>
      <c r="AS37" s="7">
        <f>COUNTIF($F37:$AJ37,$C$136)</f>
        <v>0</v>
      </c>
      <c r="AT37" s="30">
        <f>COUNTIF($F37:$AJ37,$C$137)</f>
        <v>3</v>
      </c>
      <c r="AU37" s="30">
        <f>COUNTIF($F37:$AJ37,$C$138)</f>
        <v>2</v>
      </c>
      <c r="AV37" s="30">
        <f>COUNTIF($F37:$AJ37,$C$139)</f>
        <v>0</v>
      </c>
      <c r="AW37" s="30">
        <f>COUNTIF($F37:$AJ37,$C$140)</f>
        <v>0</v>
      </c>
      <c r="AX37" s="30">
        <f>COUNTIF($F37:$AJ37,$C$141)</f>
        <v>0</v>
      </c>
      <c r="AY37" s="30">
        <f>COUNTA(F37:AJ37)</f>
        <v>31</v>
      </c>
      <c r="AZ37" s="54">
        <f>AK37+AU37</f>
        <v>28</v>
      </c>
    </row>
    <row r="38" spans="1:52">
      <c r="A38" s="450"/>
      <c r="B38" s="60"/>
      <c r="C38" s="61"/>
      <c r="D38" s="61"/>
      <c r="E38" s="73" t="s">
        <v>34</v>
      </c>
      <c r="F38" s="143"/>
      <c r="G38" s="26">
        <v>1</v>
      </c>
      <c r="H38" s="26">
        <v>2</v>
      </c>
      <c r="I38" s="26"/>
      <c r="J38" s="26">
        <v>3</v>
      </c>
      <c r="K38" s="26"/>
      <c r="L38" s="26"/>
      <c r="M38" s="26"/>
      <c r="N38" s="26"/>
      <c r="O38" s="26">
        <v>3</v>
      </c>
      <c r="P38" s="26"/>
      <c r="Q38" s="26"/>
      <c r="R38" s="26">
        <v>2</v>
      </c>
      <c r="S38" s="26">
        <v>1</v>
      </c>
      <c r="T38" s="26"/>
      <c r="U38" s="26">
        <v>4</v>
      </c>
      <c r="V38" s="26">
        <v>5</v>
      </c>
      <c r="W38" s="26"/>
      <c r="X38" s="26"/>
      <c r="Y38" s="28">
        <v>4</v>
      </c>
      <c r="Z38" s="29">
        <v>2</v>
      </c>
      <c r="AA38" s="26"/>
      <c r="AB38" s="26"/>
      <c r="AC38" s="26"/>
      <c r="AD38" s="25"/>
      <c r="AE38" s="25"/>
      <c r="AF38" s="25"/>
      <c r="AG38" s="25">
        <v>1</v>
      </c>
      <c r="AH38" s="25"/>
      <c r="AI38" s="25">
        <v>1</v>
      </c>
      <c r="AJ38" s="25"/>
      <c r="AK38" s="459">
        <f>SUM(F38:AJ38)</f>
        <v>29</v>
      </c>
      <c r="AL38" s="445"/>
      <c r="AM38" s="445"/>
      <c r="AN38" s="445"/>
      <c r="AO38" s="445"/>
      <c r="AP38" s="445"/>
      <c r="AQ38" s="445"/>
      <c r="AR38" s="445"/>
      <c r="AS38" s="445"/>
      <c r="AT38" s="445"/>
      <c r="AU38" s="445"/>
      <c r="AV38" s="445"/>
      <c r="AW38" s="445"/>
      <c r="AX38" s="445"/>
      <c r="AY38" s="479"/>
      <c r="AZ38" s="54"/>
    </row>
    <row r="39" spans="1:52">
      <c r="A39" s="449">
        <v>18</v>
      </c>
      <c r="B39" s="67">
        <v>120</v>
      </c>
      <c r="C39" s="56" t="s">
        <v>54</v>
      </c>
      <c r="D39" s="56" t="s">
        <v>31</v>
      </c>
      <c r="E39" s="71" t="s">
        <v>32</v>
      </c>
      <c r="F39" s="142" t="s">
        <v>24</v>
      </c>
      <c r="G39" s="123" t="s">
        <v>14</v>
      </c>
      <c r="H39" s="123" t="s">
        <v>14</v>
      </c>
      <c r="I39" s="123" t="s">
        <v>14</v>
      </c>
      <c r="J39" s="123" t="s">
        <v>14</v>
      </c>
      <c r="K39" s="123" t="s">
        <v>14</v>
      </c>
      <c r="L39" s="123" t="s">
        <v>14</v>
      </c>
      <c r="M39" s="123" t="s">
        <v>23</v>
      </c>
      <c r="N39" s="123" t="s">
        <v>14</v>
      </c>
      <c r="O39" s="123" t="s">
        <v>14</v>
      </c>
      <c r="P39" s="123" t="s">
        <v>14</v>
      </c>
      <c r="Q39" s="123" t="s">
        <v>14</v>
      </c>
      <c r="R39" s="123" t="s">
        <v>14</v>
      </c>
      <c r="S39" s="123" t="s">
        <v>14</v>
      </c>
      <c r="T39" s="123" t="s">
        <v>14</v>
      </c>
      <c r="U39" s="123" t="s">
        <v>14</v>
      </c>
      <c r="V39" s="123" t="s">
        <v>14</v>
      </c>
      <c r="W39" s="123" t="s">
        <v>23</v>
      </c>
      <c r="X39" s="123" t="s">
        <v>14</v>
      </c>
      <c r="Y39" s="123" t="s">
        <v>14</v>
      </c>
      <c r="Z39" s="123" t="s">
        <v>14</v>
      </c>
      <c r="AA39" s="123" t="s">
        <v>14</v>
      </c>
      <c r="AB39" s="123" t="s">
        <v>14</v>
      </c>
      <c r="AC39" s="123" t="s">
        <v>14</v>
      </c>
      <c r="AD39" s="123" t="s">
        <v>24</v>
      </c>
      <c r="AE39" s="123" t="s">
        <v>14</v>
      </c>
      <c r="AF39" s="123" t="s">
        <v>14</v>
      </c>
      <c r="AG39" s="123" t="s">
        <v>14</v>
      </c>
      <c r="AH39" s="123" t="s">
        <v>14</v>
      </c>
      <c r="AI39" s="123" t="s">
        <v>23</v>
      </c>
      <c r="AJ39" s="123" t="s">
        <v>14</v>
      </c>
      <c r="AK39" s="30">
        <f>COUNTIF($F39:$AJ39,$C$128)</f>
        <v>26</v>
      </c>
      <c r="AL39" s="30">
        <f>COUNTIF($F39:$AJ39,$C$129)</f>
        <v>0</v>
      </c>
      <c r="AM39" s="30">
        <f>COUNTIF($F39:$AJ39,$C$130)</f>
        <v>0</v>
      </c>
      <c r="AN39" s="30">
        <f>COUNTIF($F39:$AJ39,$C$131)</f>
        <v>0</v>
      </c>
      <c r="AO39" s="30">
        <f>COUNTIF($F39:$AJ39,$C$132)</f>
        <v>0</v>
      </c>
      <c r="AP39" s="30">
        <f>COUNTIF($F39:$AJ39,$C$133)</f>
        <v>0</v>
      </c>
      <c r="AQ39" s="30">
        <f>COUNTIF($F39:$AJ39,$C$134)</f>
        <v>0</v>
      </c>
      <c r="AR39" s="30">
        <f>COUNTIF($F39:$AJ39,$C$135)</f>
        <v>0</v>
      </c>
      <c r="AS39" s="30">
        <f>COUNTIF($F39:$AJ39,$C$136)</f>
        <v>0</v>
      </c>
      <c r="AT39" s="30">
        <f>COUNTIF($F39:$AJ39,$C$137)</f>
        <v>3</v>
      </c>
      <c r="AU39" s="30">
        <f>COUNTIF($F39:$AJ39,$C$138)</f>
        <v>2</v>
      </c>
      <c r="AV39" s="30">
        <f>COUNTIF($F39:$AJ39,$C$139)</f>
        <v>0</v>
      </c>
      <c r="AW39" s="30">
        <f>COUNTIF($F39:$AJ39,$C$140)</f>
        <v>0</v>
      </c>
      <c r="AX39" s="30">
        <f>COUNTIF($F39:$AJ39,$C$141)</f>
        <v>0</v>
      </c>
      <c r="AY39" s="30">
        <f>COUNTA(F39:AJ39)</f>
        <v>31</v>
      </c>
      <c r="AZ39" s="54">
        <f>AK39+AU39</f>
        <v>28</v>
      </c>
    </row>
    <row r="40" spans="1:52">
      <c r="A40" s="450"/>
      <c r="B40" s="60"/>
      <c r="C40" s="61"/>
      <c r="D40" s="61"/>
      <c r="E40" s="73" t="s">
        <v>34</v>
      </c>
      <c r="F40" s="143"/>
      <c r="G40" s="123"/>
      <c r="H40" s="26">
        <v>3</v>
      </c>
      <c r="I40" s="26"/>
      <c r="J40" s="26"/>
      <c r="K40" s="26"/>
      <c r="L40" s="44"/>
      <c r="M40" s="44"/>
      <c r="N40" s="123"/>
      <c r="O40" s="26"/>
      <c r="P40" s="26"/>
      <c r="Q40" s="26"/>
      <c r="R40" s="26">
        <v>5</v>
      </c>
      <c r="S40" s="26"/>
      <c r="T40" s="26">
        <v>3</v>
      </c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>
        <v>3</v>
      </c>
      <c r="AF40" s="26"/>
      <c r="AG40" s="26"/>
      <c r="AH40" s="26">
        <v>2</v>
      </c>
      <c r="AI40" s="26"/>
      <c r="AJ40" s="26">
        <v>2</v>
      </c>
      <c r="AK40" s="459">
        <f>SUM(F40:AJ40)</f>
        <v>18</v>
      </c>
      <c r="AL40" s="445"/>
      <c r="AM40" s="445"/>
      <c r="AN40" s="445"/>
      <c r="AO40" s="445"/>
      <c r="AP40" s="445"/>
      <c r="AQ40" s="445"/>
      <c r="AR40" s="445"/>
      <c r="AS40" s="445"/>
      <c r="AT40" s="445"/>
      <c r="AU40" s="445"/>
      <c r="AV40" s="445"/>
      <c r="AW40" s="445"/>
      <c r="AX40" s="445"/>
      <c r="AY40" s="479"/>
      <c r="AZ40" s="54"/>
    </row>
    <row r="41" spans="1:52">
      <c r="A41" s="449">
        <v>19</v>
      </c>
      <c r="B41" s="67">
        <v>47</v>
      </c>
      <c r="C41" s="56" t="s">
        <v>55</v>
      </c>
      <c r="D41" s="56" t="s">
        <v>31</v>
      </c>
      <c r="E41" s="71" t="s">
        <v>32</v>
      </c>
      <c r="F41" s="142" t="s">
        <v>24</v>
      </c>
      <c r="G41" s="123" t="s">
        <v>14</v>
      </c>
      <c r="H41" s="123" t="s">
        <v>14</v>
      </c>
      <c r="I41" s="123" t="s">
        <v>14</v>
      </c>
      <c r="J41" s="123" t="s">
        <v>14</v>
      </c>
      <c r="K41" s="123" t="s">
        <v>14</v>
      </c>
      <c r="L41" s="123" t="s">
        <v>24</v>
      </c>
      <c r="M41" s="123" t="s">
        <v>14</v>
      </c>
      <c r="N41" s="123" t="s">
        <v>14</v>
      </c>
      <c r="O41" s="123" t="s">
        <v>14</v>
      </c>
      <c r="P41" s="123" t="s">
        <v>14</v>
      </c>
      <c r="Q41" s="123" t="s">
        <v>14</v>
      </c>
      <c r="R41" s="123" t="s">
        <v>23</v>
      </c>
      <c r="S41" s="123" t="s">
        <v>14</v>
      </c>
      <c r="T41" s="123" t="s">
        <v>14</v>
      </c>
      <c r="U41" s="123" t="s">
        <v>14</v>
      </c>
      <c r="V41" s="123" t="s">
        <v>14</v>
      </c>
      <c r="W41" s="123" t="s">
        <v>14</v>
      </c>
      <c r="X41" s="123" t="s">
        <v>14</v>
      </c>
      <c r="Y41" s="123" t="s">
        <v>14</v>
      </c>
      <c r="Z41" s="123" t="s">
        <v>23</v>
      </c>
      <c r="AA41" s="123" t="s">
        <v>14</v>
      </c>
      <c r="AB41" s="263" t="s">
        <v>17</v>
      </c>
      <c r="AC41" s="263" t="s">
        <v>17</v>
      </c>
      <c r="AD41" s="263" t="s">
        <v>17</v>
      </c>
      <c r="AE41" s="263" t="s">
        <v>17</v>
      </c>
      <c r="AF41" s="263" t="s">
        <v>17</v>
      </c>
      <c r="AG41" s="263" t="s">
        <v>17</v>
      </c>
      <c r="AH41" s="263" t="s">
        <v>17</v>
      </c>
      <c r="AI41" s="263" t="s">
        <v>17</v>
      </c>
      <c r="AJ41" s="263" t="s">
        <v>17</v>
      </c>
      <c r="AK41" s="30">
        <f>COUNTIF($F41:$AJ41,$C$128)</f>
        <v>18</v>
      </c>
      <c r="AL41" s="30">
        <f>COUNTIF($F41:$AJ41,$C$129)</f>
        <v>0</v>
      </c>
      <c r="AM41" s="30">
        <f>COUNTIF($F41:$AJ41,$C$130)</f>
        <v>0</v>
      </c>
      <c r="AN41" s="30">
        <f>COUNTIF($F41:$AJ41,$C$131)</f>
        <v>9</v>
      </c>
      <c r="AO41" s="30">
        <f>COUNTIF($F41:$AJ41,$C$132)</f>
        <v>0</v>
      </c>
      <c r="AP41" s="30">
        <f>COUNTIF($F41:$AJ41,$C$133)</f>
        <v>0</v>
      </c>
      <c r="AQ41" s="30">
        <f>COUNTIF($F41:$AJ41,$C$134)</f>
        <v>0</v>
      </c>
      <c r="AR41" s="7">
        <f>COUNTIF($F41:$AJ41,$C$135)</f>
        <v>0</v>
      </c>
      <c r="AS41" s="30">
        <f>COUNTIF($F41:$AJ41,$C$136)</f>
        <v>0</v>
      </c>
      <c r="AT41" s="30">
        <f>COUNTIF($F41:$AJ41,$C$137)</f>
        <v>2</v>
      </c>
      <c r="AU41" s="30">
        <f>COUNTIF($F41:$AJ41,$C$138)</f>
        <v>2</v>
      </c>
      <c r="AV41" s="30">
        <f>COUNTIF($F41:$AJ41,$C$139)</f>
        <v>0</v>
      </c>
      <c r="AW41" s="30">
        <f>COUNTIF($F41:$AJ41,$C$140)</f>
        <v>0</v>
      </c>
      <c r="AX41" s="30">
        <f>COUNTIF($F41:$AJ41,$C$141)</f>
        <v>0</v>
      </c>
      <c r="AY41" s="30">
        <f>COUNTA(F41:AJ41)</f>
        <v>31</v>
      </c>
      <c r="AZ41" s="54">
        <f>AK41+AU41</f>
        <v>20</v>
      </c>
    </row>
    <row r="42" spans="1:52">
      <c r="A42" s="450"/>
      <c r="B42" s="60"/>
      <c r="C42" s="61"/>
      <c r="D42" s="61"/>
      <c r="E42" s="73" t="s">
        <v>34</v>
      </c>
      <c r="F42" s="143"/>
      <c r="G42" s="123">
        <v>7</v>
      </c>
      <c r="H42" s="26"/>
      <c r="I42" s="26"/>
      <c r="J42" s="123"/>
      <c r="K42" s="26"/>
      <c r="L42" s="44"/>
      <c r="M42" s="44"/>
      <c r="N42" s="123"/>
      <c r="O42" s="44">
        <v>2</v>
      </c>
      <c r="P42" s="26"/>
      <c r="Q42" s="26"/>
      <c r="R42" s="26"/>
      <c r="S42" s="26"/>
      <c r="T42" s="26"/>
      <c r="U42" s="26"/>
      <c r="V42" s="26"/>
      <c r="W42" s="26"/>
      <c r="X42" s="26"/>
      <c r="Y42" s="28"/>
      <c r="Z42" s="29"/>
      <c r="AA42" s="26"/>
      <c r="AB42" s="26"/>
      <c r="AC42" s="26"/>
      <c r="AD42" s="25"/>
      <c r="AE42" s="25"/>
      <c r="AF42" s="24"/>
      <c r="AG42" s="24"/>
      <c r="AH42" s="24"/>
      <c r="AI42" s="25"/>
      <c r="AJ42" s="25"/>
      <c r="AK42" s="459">
        <f>SUM(F42:AJ42)</f>
        <v>9</v>
      </c>
      <c r="AL42" s="445"/>
      <c r="AM42" s="445"/>
      <c r="AN42" s="445"/>
      <c r="AO42" s="445"/>
      <c r="AP42" s="445"/>
      <c r="AQ42" s="445"/>
      <c r="AR42" s="445"/>
      <c r="AS42" s="445"/>
      <c r="AT42" s="445"/>
      <c r="AU42" s="445"/>
      <c r="AV42" s="445"/>
      <c r="AW42" s="445"/>
      <c r="AX42" s="445"/>
      <c r="AY42" s="479"/>
      <c r="AZ42" s="54"/>
    </row>
    <row r="43" spans="1:52">
      <c r="A43" s="449">
        <v>20</v>
      </c>
      <c r="B43" s="67">
        <v>102</v>
      </c>
      <c r="C43" s="56" t="s">
        <v>56</v>
      </c>
      <c r="D43" s="56" t="s">
        <v>31</v>
      </c>
      <c r="E43" s="71" t="s">
        <v>32</v>
      </c>
      <c r="F43" s="142" t="s">
        <v>24</v>
      </c>
      <c r="G43" s="263" t="s">
        <v>17</v>
      </c>
      <c r="H43" s="263" t="s">
        <v>17</v>
      </c>
      <c r="I43" s="263" t="s">
        <v>17</v>
      </c>
      <c r="J43" s="263" t="s">
        <v>17</v>
      </c>
      <c r="K43" s="263" t="s">
        <v>17</v>
      </c>
      <c r="L43" s="263" t="s">
        <v>17</v>
      </c>
      <c r="M43" s="263" t="s">
        <v>17</v>
      </c>
      <c r="N43" s="263" t="s">
        <v>17</v>
      </c>
      <c r="O43" s="263" t="s">
        <v>17</v>
      </c>
      <c r="P43" s="263" t="s">
        <v>17</v>
      </c>
      <c r="Q43" s="263" t="s">
        <v>17</v>
      </c>
      <c r="R43" s="263" t="s">
        <v>17</v>
      </c>
      <c r="S43" s="263" t="s">
        <v>17</v>
      </c>
      <c r="T43" s="263" t="s">
        <v>17</v>
      </c>
      <c r="U43" s="123" t="s">
        <v>14</v>
      </c>
      <c r="V43" s="123" t="s">
        <v>14</v>
      </c>
      <c r="W43" s="123" t="s">
        <v>14</v>
      </c>
      <c r="X43" s="123" t="s">
        <v>14</v>
      </c>
      <c r="Y43" s="123" t="s">
        <v>14</v>
      </c>
      <c r="Z43" s="123" t="s">
        <v>14</v>
      </c>
      <c r="AA43" s="123" t="s">
        <v>14</v>
      </c>
      <c r="AB43" s="123" t="s">
        <v>23</v>
      </c>
      <c r="AC43" s="123" t="s">
        <v>14</v>
      </c>
      <c r="AD43" s="123" t="s">
        <v>14</v>
      </c>
      <c r="AE43" s="123" t="s">
        <v>14</v>
      </c>
      <c r="AF43" s="123" t="s">
        <v>14</v>
      </c>
      <c r="AG43" s="123" t="s">
        <v>14</v>
      </c>
      <c r="AH43" s="24" t="s">
        <v>24</v>
      </c>
      <c r="AI43" s="24" t="s">
        <v>14</v>
      </c>
      <c r="AJ43" s="24" t="s">
        <v>14</v>
      </c>
      <c r="AK43" s="30">
        <f>COUNTIF($F43:$AJ43,$C$128)</f>
        <v>14</v>
      </c>
      <c r="AL43" s="30">
        <f>COUNTIF($F43:$AJ43,$C$129)</f>
        <v>0</v>
      </c>
      <c r="AM43" s="30">
        <f>COUNTIF($F43:$AJ43,$C$130)</f>
        <v>0</v>
      </c>
      <c r="AN43" s="30">
        <f>COUNTIF($F43:$AJ43,$C$131)</f>
        <v>14</v>
      </c>
      <c r="AO43" s="30">
        <f>COUNTIF($F43:$AJ43,$C$132)</f>
        <v>0</v>
      </c>
      <c r="AP43" s="30">
        <f>COUNTIF($F43:$AJ43,$C$133)</f>
        <v>0</v>
      </c>
      <c r="AQ43" s="30">
        <f>COUNTIF($F43:$AJ43,$C$134)</f>
        <v>0</v>
      </c>
      <c r="AR43" s="7">
        <f>COUNTIF($F43:$AJ43,$C$135)</f>
        <v>0</v>
      </c>
      <c r="AS43" s="30">
        <f>COUNTIF($F43:$AJ43,$C$136)</f>
        <v>0</v>
      </c>
      <c r="AT43" s="30">
        <f>COUNTIF($F43:$AJ43,$C$137)</f>
        <v>1</v>
      </c>
      <c r="AU43" s="30">
        <f>COUNTIF($F43:$AJ43,$C$138)</f>
        <v>2</v>
      </c>
      <c r="AV43" s="30">
        <f>COUNTIF($F43:$AJ43,$C$139)</f>
        <v>0</v>
      </c>
      <c r="AW43" s="30">
        <f>COUNTIF($F43:$AJ43,$C$140)</f>
        <v>0</v>
      </c>
      <c r="AX43" s="30">
        <f>COUNTIF($F43:$AJ43,$C$141)</f>
        <v>0</v>
      </c>
      <c r="AY43" s="30">
        <f>COUNTA(F43:AJ43)</f>
        <v>31</v>
      </c>
      <c r="AZ43" s="54">
        <f>AK43+AU43</f>
        <v>16</v>
      </c>
    </row>
    <row r="44" spans="1:52">
      <c r="A44" s="450"/>
      <c r="B44" s="60"/>
      <c r="C44" s="61"/>
      <c r="D44" s="61"/>
      <c r="E44" s="73" t="s">
        <v>34</v>
      </c>
      <c r="F44" s="143"/>
      <c r="G44" s="123"/>
      <c r="H44" s="26"/>
      <c r="I44" s="26"/>
      <c r="J44" s="123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>
        <v>2</v>
      </c>
      <c r="W44" s="26"/>
      <c r="X44" s="26"/>
      <c r="Y44" s="28">
        <v>4</v>
      </c>
      <c r="Z44" s="29"/>
      <c r="AA44" s="26">
        <v>9</v>
      </c>
      <c r="AB44" s="26"/>
      <c r="AC44" s="26"/>
      <c r="AD44" s="25"/>
      <c r="AE44" s="25">
        <v>4</v>
      </c>
      <c r="AF44" s="25"/>
      <c r="AG44" s="25"/>
      <c r="AH44" s="25"/>
      <c r="AI44" s="25"/>
      <c r="AJ44" s="25"/>
      <c r="AK44" s="459">
        <f>SUM(F44:AJ44)</f>
        <v>19</v>
      </c>
      <c r="AL44" s="445"/>
      <c r="AM44" s="445"/>
      <c r="AN44" s="445"/>
      <c r="AO44" s="445"/>
      <c r="AP44" s="445"/>
      <c r="AQ44" s="445"/>
      <c r="AR44" s="445"/>
      <c r="AS44" s="445"/>
      <c r="AT44" s="445"/>
      <c r="AU44" s="445"/>
      <c r="AV44" s="445"/>
      <c r="AW44" s="445"/>
      <c r="AX44" s="445"/>
      <c r="AY44" s="479"/>
      <c r="AZ44" s="54"/>
    </row>
    <row r="45" spans="1:52">
      <c r="A45" s="449">
        <v>21</v>
      </c>
      <c r="B45" s="67">
        <v>119</v>
      </c>
      <c r="C45" s="56" t="s">
        <v>57</v>
      </c>
      <c r="D45" s="56" t="s">
        <v>31</v>
      </c>
      <c r="E45" s="71" t="s">
        <v>32</v>
      </c>
      <c r="F45" s="142" t="s">
        <v>24</v>
      </c>
      <c r="G45" s="123" t="s">
        <v>14</v>
      </c>
      <c r="H45" s="123" t="s">
        <v>14</v>
      </c>
      <c r="I45" s="123" t="s">
        <v>14</v>
      </c>
      <c r="J45" s="123" t="s">
        <v>14</v>
      </c>
      <c r="K45" s="123" t="s">
        <v>23</v>
      </c>
      <c r="L45" s="123" t="s">
        <v>14</v>
      </c>
      <c r="M45" s="123" t="s">
        <v>14</v>
      </c>
      <c r="N45" s="123" t="s">
        <v>14</v>
      </c>
      <c r="O45" s="123" t="s">
        <v>14</v>
      </c>
      <c r="P45" s="123" t="s">
        <v>14</v>
      </c>
      <c r="Q45" s="123" t="s">
        <v>14</v>
      </c>
      <c r="R45" s="123" t="s">
        <v>14</v>
      </c>
      <c r="S45" s="123" t="s">
        <v>14</v>
      </c>
      <c r="T45" s="123" t="s">
        <v>23</v>
      </c>
      <c r="U45" s="123" t="s">
        <v>14</v>
      </c>
      <c r="V45" s="123" t="s">
        <v>14</v>
      </c>
      <c r="W45" s="123" t="s">
        <v>14</v>
      </c>
      <c r="X45" s="123" t="s">
        <v>14</v>
      </c>
      <c r="Y45" s="123" t="s">
        <v>14</v>
      </c>
      <c r="Z45" s="123" t="s">
        <v>14</v>
      </c>
      <c r="AA45" s="123" t="s">
        <v>14</v>
      </c>
      <c r="AB45" s="123" t="s">
        <v>14</v>
      </c>
      <c r="AC45" s="123" t="s">
        <v>14</v>
      </c>
      <c r="AD45" s="123" t="s">
        <v>23</v>
      </c>
      <c r="AE45" s="123" t="s">
        <v>14</v>
      </c>
      <c r="AF45" s="123" t="s">
        <v>14</v>
      </c>
      <c r="AG45" s="123" t="s">
        <v>14</v>
      </c>
      <c r="AH45" s="123" t="s">
        <v>14</v>
      </c>
      <c r="AI45" s="123" t="s">
        <v>14</v>
      </c>
      <c r="AJ45" s="123" t="s">
        <v>23</v>
      </c>
      <c r="AK45" s="30">
        <f>COUNTIF($F45:$AJ45,$C$128)</f>
        <v>26</v>
      </c>
      <c r="AL45" s="30">
        <f>COUNTIF($F45:$AJ45,$C$129)</f>
        <v>0</v>
      </c>
      <c r="AM45" s="30">
        <f>COUNTIF($F45:$AJ45,$C$130)</f>
        <v>0</v>
      </c>
      <c r="AN45" s="30">
        <f>COUNTIF($F45:$AJ45,$C$131)</f>
        <v>0</v>
      </c>
      <c r="AO45" s="30">
        <f>COUNTIF($F45:$AJ45,$C$132)</f>
        <v>0</v>
      </c>
      <c r="AP45" s="30">
        <f>COUNTIF($F45:$AJ45,$C$133)</f>
        <v>0</v>
      </c>
      <c r="AQ45" s="30">
        <f>COUNTIF($F45:$AJ45,$C$134)</f>
        <v>0</v>
      </c>
      <c r="AR45" s="30">
        <f>COUNTIF($F45:$AJ45,$C$135)</f>
        <v>0</v>
      </c>
      <c r="AS45" s="30">
        <f>COUNTIF($F45:$AJ45,$C$136)</f>
        <v>0</v>
      </c>
      <c r="AT45" s="30">
        <f>COUNTIF($F45:$AJ45,$C$137)</f>
        <v>4</v>
      </c>
      <c r="AU45" s="30">
        <f>COUNTIF($F45:$AJ45,$C$138)</f>
        <v>1</v>
      </c>
      <c r="AV45" s="30">
        <f>COUNTIF($F45:$AJ45,$C$139)</f>
        <v>0</v>
      </c>
      <c r="AW45" s="30">
        <f>COUNTIF($F45:$AJ45,$C$140)</f>
        <v>0</v>
      </c>
      <c r="AX45" s="30">
        <f>COUNTIF($F45:$AJ45,$C$141)</f>
        <v>0</v>
      </c>
      <c r="AY45" s="30">
        <f>COUNTA(F45:AJ45)</f>
        <v>31</v>
      </c>
      <c r="AZ45" s="54">
        <f>AK45+AU45</f>
        <v>27</v>
      </c>
    </row>
    <row r="46" spans="1:52">
      <c r="A46" s="450"/>
      <c r="B46" s="60"/>
      <c r="C46" s="61"/>
      <c r="D46" s="61"/>
      <c r="E46" s="73" t="s">
        <v>34</v>
      </c>
      <c r="F46" s="143"/>
      <c r="G46" s="26">
        <v>2</v>
      </c>
      <c r="H46" s="26"/>
      <c r="I46" s="26">
        <v>4</v>
      </c>
      <c r="J46" s="26"/>
      <c r="K46" s="26"/>
      <c r="L46" s="26"/>
      <c r="M46" s="26"/>
      <c r="N46" s="26">
        <v>1</v>
      </c>
      <c r="O46" s="26">
        <v>1</v>
      </c>
      <c r="P46" s="26"/>
      <c r="Q46" s="26"/>
      <c r="R46" s="26"/>
      <c r="S46" s="26">
        <v>3</v>
      </c>
      <c r="T46" s="26"/>
      <c r="U46" s="26"/>
      <c r="V46" s="26">
        <v>1</v>
      </c>
      <c r="W46" s="26"/>
      <c r="X46" s="26"/>
      <c r="Y46" s="28"/>
      <c r="Z46" s="29">
        <v>2</v>
      </c>
      <c r="AA46" s="26">
        <v>2</v>
      </c>
      <c r="AB46" s="26"/>
      <c r="AC46" s="26"/>
      <c r="AD46" s="25"/>
      <c r="AE46" s="25"/>
      <c r="AF46" s="25"/>
      <c r="AG46" s="25">
        <v>2</v>
      </c>
      <c r="AH46" s="25">
        <v>2</v>
      </c>
      <c r="AI46" s="25"/>
      <c r="AJ46" s="25"/>
      <c r="AK46" s="459">
        <f>SUM(F46:AJ46)</f>
        <v>20</v>
      </c>
      <c r="AL46" s="445"/>
      <c r="AM46" s="445"/>
      <c r="AN46" s="445"/>
      <c r="AO46" s="445"/>
      <c r="AP46" s="445"/>
      <c r="AQ46" s="445"/>
      <c r="AR46" s="445"/>
      <c r="AS46" s="445"/>
      <c r="AT46" s="445"/>
      <c r="AU46" s="445"/>
      <c r="AV46" s="445"/>
      <c r="AW46" s="445"/>
      <c r="AX46" s="445"/>
      <c r="AY46" s="479"/>
      <c r="AZ46" s="54"/>
    </row>
    <row r="47" spans="1:52">
      <c r="A47" s="449">
        <v>22</v>
      </c>
      <c r="B47" s="67">
        <v>6</v>
      </c>
      <c r="C47" s="56" t="s">
        <v>58</v>
      </c>
      <c r="D47" s="56" t="s">
        <v>31</v>
      </c>
      <c r="E47" s="71" t="s">
        <v>32</v>
      </c>
      <c r="F47" s="142" t="s">
        <v>24</v>
      </c>
      <c r="G47" s="123" t="s">
        <v>14</v>
      </c>
      <c r="H47" s="123" t="s">
        <v>14</v>
      </c>
      <c r="I47" s="123" t="s">
        <v>14</v>
      </c>
      <c r="J47" s="123" t="s">
        <v>23</v>
      </c>
      <c r="K47" s="123" t="s">
        <v>14</v>
      </c>
      <c r="L47" s="123" t="s">
        <v>14</v>
      </c>
      <c r="M47" s="123" t="s">
        <v>14</v>
      </c>
      <c r="N47" s="123" t="s">
        <v>14</v>
      </c>
      <c r="O47" s="123" t="s">
        <v>14</v>
      </c>
      <c r="P47" s="123" t="s">
        <v>14</v>
      </c>
      <c r="Q47" s="123" t="s">
        <v>14</v>
      </c>
      <c r="R47" s="123" t="s">
        <v>14</v>
      </c>
      <c r="S47" s="123" t="s">
        <v>14</v>
      </c>
      <c r="T47" s="123" t="s">
        <v>14</v>
      </c>
      <c r="U47" s="123" t="s">
        <v>23</v>
      </c>
      <c r="V47" s="123" t="s">
        <v>14</v>
      </c>
      <c r="W47" s="123" t="s">
        <v>14</v>
      </c>
      <c r="X47" s="123" t="s">
        <v>14</v>
      </c>
      <c r="Y47" s="123" t="s">
        <v>14</v>
      </c>
      <c r="Z47" s="123" t="s">
        <v>14</v>
      </c>
      <c r="AA47" s="123" t="s">
        <v>14</v>
      </c>
      <c r="AB47" s="123" t="s">
        <v>14</v>
      </c>
      <c r="AC47" s="123" t="s">
        <v>23</v>
      </c>
      <c r="AD47" s="123" t="s">
        <v>14</v>
      </c>
      <c r="AE47" s="123" t="s">
        <v>23</v>
      </c>
      <c r="AF47" s="123" t="s">
        <v>14</v>
      </c>
      <c r="AG47" s="123" t="s">
        <v>14</v>
      </c>
      <c r="AH47" s="123" t="s">
        <v>14</v>
      </c>
      <c r="AI47" s="123" t="s">
        <v>14</v>
      </c>
      <c r="AJ47" s="123" t="s">
        <v>14</v>
      </c>
      <c r="AK47" s="30">
        <f>COUNTIF($F47:$AJ47,$C$128)</f>
        <v>26</v>
      </c>
      <c r="AL47" s="30">
        <f>COUNTIF($F47:$AJ47,$C$129)</f>
        <v>0</v>
      </c>
      <c r="AM47" s="30">
        <f>COUNTIF($F47:$AJ47,$C$130)</f>
        <v>0</v>
      </c>
      <c r="AN47" s="30">
        <f>COUNTIF($F47:$AJ47,$C$131)</f>
        <v>0</v>
      </c>
      <c r="AO47" s="30">
        <f>COUNTIF($F47:$AJ47,$C$132)</f>
        <v>0</v>
      </c>
      <c r="AP47" s="30">
        <f>COUNTIF($F47:$AJ47,$C$133)</f>
        <v>0</v>
      </c>
      <c r="AQ47" s="30">
        <f>COUNTIF($F47:$AJ47,$C$134)</f>
        <v>0</v>
      </c>
      <c r="AR47" s="7">
        <f>COUNTIF($F47:$AJ47,$C$135)</f>
        <v>0</v>
      </c>
      <c r="AS47" s="7">
        <f>COUNTIF($F47:$AJ47,$C$136)</f>
        <v>0</v>
      </c>
      <c r="AT47" s="30">
        <f>COUNTIF($F47:$AJ47,$C$137)</f>
        <v>4</v>
      </c>
      <c r="AU47" s="30">
        <f>COUNTIF($F47:$AJ47,$C$138)</f>
        <v>1</v>
      </c>
      <c r="AV47" s="30">
        <f>COUNTIF($F47:$AJ47,$C$139)</f>
        <v>0</v>
      </c>
      <c r="AW47" s="30">
        <f>COUNTIF($F47:$AJ47,$C$140)</f>
        <v>0</v>
      </c>
      <c r="AX47" s="30">
        <f>COUNTIF($F47:$AJ47,$C$141)</f>
        <v>0</v>
      </c>
      <c r="AY47" s="30">
        <f>COUNTA(F47:AJ47)</f>
        <v>31</v>
      </c>
      <c r="AZ47" s="54">
        <f>AK47+AU47</f>
        <v>27</v>
      </c>
    </row>
    <row r="48" spans="1:52">
      <c r="A48" s="450"/>
      <c r="B48" s="60"/>
      <c r="C48" s="61"/>
      <c r="D48" s="61"/>
      <c r="E48" s="73" t="s">
        <v>34</v>
      </c>
      <c r="F48" s="143"/>
      <c r="G48" s="123"/>
      <c r="H48" s="26">
        <v>2</v>
      </c>
      <c r="I48" s="26"/>
      <c r="J48" s="26"/>
      <c r="K48" s="26"/>
      <c r="L48" s="26">
        <v>3</v>
      </c>
      <c r="M48" s="44"/>
      <c r="N48" s="123"/>
      <c r="O48" s="44"/>
      <c r="P48" s="26"/>
      <c r="Q48" s="26"/>
      <c r="R48" s="26"/>
      <c r="S48" s="26"/>
      <c r="T48" s="26"/>
      <c r="U48" s="26"/>
      <c r="V48" s="26"/>
      <c r="W48" s="26"/>
      <c r="X48" s="26"/>
      <c r="Y48" s="28"/>
      <c r="Z48" s="29"/>
      <c r="AA48" s="26"/>
      <c r="AB48" s="26"/>
      <c r="AC48" s="26"/>
      <c r="AD48" s="25">
        <v>7</v>
      </c>
      <c r="AE48" s="25"/>
      <c r="AF48" s="24"/>
      <c r="AG48" s="25">
        <v>4</v>
      </c>
      <c r="AH48" s="24"/>
      <c r="AI48" s="25">
        <v>1</v>
      </c>
      <c r="AJ48" s="25">
        <v>1</v>
      </c>
      <c r="AK48" s="459">
        <f>SUM(F48:AJ48)</f>
        <v>18</v>
      </c>
      <c r="AL48" s="445"/>
      <c r="AM48" s="445"/>
      <c r="AN48" s="445"/>
      <c r="AO48" s="445"/>
      <c r="AP48" s="445"/>
      <c r="AQ48" s="445"/>
      <c r="AR48" s="445"/>
      <c r="AS48" s="445"/>
      <c r="AT48" s="445"/>
      <c r="AU48" s="445"/>
      <c r="AV48" s="445"/>
      <c r="AW48" s="445"/>
      <c r="AX48" s="445"/>
      <c r="AY48" s="479"/>
      <c r="AZ48" s="54"/>
    </row>
    <row r="49" spans="1:52">
      <c r="A49" s="449">
        <v>23</v>
      </c>
      <c r="B49" s="67">
        <v>115</v>
      </c>
      <c r="C49" s="56" t="s">
        <v>59</v>
      </c>
      <c r="D49" s="56" t="s">
        <v>31</v>
      </c>
      <c r="E49" s="71" t="s">
        <v>32</v>
      </c>
      <c r="F49" s="142" t="s">
        <v>24</v>
      </c>
      <c r="G49" s="123" t="s">
        <v>14</v>
      </c>
      <c r="H49" s="123" t="s">
        <v>14</v>
      </c>
      <c r="I49" s="123" t="s">
        <v>14</v>
      </c>
      <c r="J49" s="123" t="s">
        <v>14</v>
      </c>
      <c r="K49" s="123" t="s">
        <v>14</v>
      </c>
      <c r="L49" s="123" t="s">
        <v>14</v>
      </c>
      <c r="M49" s="123" t="s">
        <v>14</v>
      </c>
      <c r="N49" s="123" t="s">
        <v>14</v>
      </c>
      <c r="O49" s="123" t="s">
        <v>14</v>
      </c>
      <c r="P49" s="123" t="s">
        <v>24</v>
      </c>
      <c r="Q49" s="123" t="s">
        <v>14</v>
      </c>
      <c r="R49" s="123" t="s">
        <v>14</v>
      </c>
      <c r="S49" s="123" t="s">
        <v>14</v>
      </c>
      <c r="T49" s="123" t="s">
        <v>14</v>
      </c>
      <c r="U49" s="123" t="s">
        <v>14</v>
      </c>
      <c r="V49" s="123" t="s">
        <v>14</v>
      </c>
      <c r="W49" s="123" t="s">
        <v>14</v>
      </c>
      <c r="X49" s="123" t="s">
        <v>23</v>
      </c>
      <c r="Y49" s="123" t="s">
        <v>14</v>
      </c>
      <c r="Z49" s="123" t="s">
        <v>14</v>
      </c>
      <c r="AA49" s="123" t="s">
        <v>14</v>
      </c>
      <c r="AB49" s="123" t="s">
        <v>14</v>
      </c>
      <c r="AC49" s="123" t="s">
        <v>14</v>
      </c>
      <c r="AD49" s="123" t="s">
        <v>14</v>
      </c>
      <c r="AE49" s="123" t="s">
        <v>14</v>
      </c>
      <c r="AF49" s="123" t="s">
        <v>23</v>
      </c>
      <c r="AG49" s="123" t="s">
        <v>14</v>
      </c>
      <c r="AH49" s="123" t="s">
        <v>23</v>
      </c>
      <c r="AI49" s="123" t="s">
        <v>14</v>
      </c>
      <c r="AJ49" s="123" t="s">
        <v>14</v>
      </c>
      <c r="AK49" s="30">
        <f>COUNTIF($F49:$AJ49,$C$128)</f>
        <v>26</v>
      </c>
      <c r="AL49" s="30">
        <f>COUNTIF($F49:$AJ49,$C$129)</f>
        <v>0</v>
      </c>
      <c r="AM49" s="30">
        <f>COUNTIF($F49:$AJ49,$C$130)</f>
        <v>0</v>
      </c>
      <c r="AN49" s="30">
        <f>COUNTIF($F49:$AJ49,$C$131)</f>
        <v>0</v>
      </c>
      <c r="AO49" s="30">
        <f>COUNTIF($F49:$AJ49,$C$132)</f>
        <v>0</v>
      </c>
      <c r="AP49" s="30">
        <f>COUNTIF($F49:$AJ49,$C$133)</f>
        <v>0</v>
      </c>
      <c r="AQ49" s="30">
        <f>COUNTIF($F49:$AJ49,$C$134)</f>
        <v>0</v>
      </c>
      <c r="AR49" s="30">
        <f>COUNTIF($F49:$AJ49,$C$135)</f>
        <v>0</v>
      </c>
      <c r="AS49" s="30">
        <f>COUNTIF($F49:$AJ49,$C$136)</f>
        <v>0</v>
      </c>
      <c r="AT49" s="30">
        <f>COUNTIF($F49:$AJ49,$C$137)</f>
        <v>3</v>
      </c>
      <c r="AU49" s="30">
        <f>COUNTIF($F49:$AJ49,$C$138)</f>
        <v>2</v>
      </c>
      <c r="AV49" s="30">
        <f>COUNTIF($F49:$AJ49,$C$139)</f>
        <v>0</v>
      </c>
      <c r="AW49" s="30">
        <f>COUNTIF($F49:$AJ49,$C$140)</f>
        <v>0</v>
      </c>
      <c r="AX49" s="30">
        <f>COUNTIF($F49:$AJ49,$C$141)</f>
        <v>0</v>
      </c>
      <c r="AY49" s="30">
        <f>COUNTA(F49:AJ49)</f>
        <v>31</v>
      </c>
      <c r="AZ49" s="54">
        <f>AK49+AU49</f>
        <v>28</v>
      </c>
    </row>
    <row r="50" spans="1:52">
      <c r="A50" s="450"/>
      <c r="B50" s="60"/>
      <c r="C50" s="61"/>
      <c r="D50" s="61"/>
      <c r="E50" s="73" t="s">
        <v>34</v>
      </c>
      <c r="F50" s="143"/>
      <c r="G50" s="123">
        <v>3</v>
      </c>
      <c r="H50" s="26">
        <v>1</v>
      </c>
      <c r="I50" s="26"/>
      <c r="J50" s="26">
        <v>1</v>
      </c>
      <c r="K50" s="26">
        <v>1</v>
      </c>
      <c r="L50" s="26"/>
      <c r="M50" s="26"/>
      <c r="N50" s="26"/>
      <c r="O50" s="26"/>
      <c r="P50" s="26"/>
      <c r="Q50" s="26">
        <v>1</v>
      </c>
      <c r="R50" s="26"/>
      <c r="S50" s="26"/>
      <c r="T50" s="26"/>
      <c r="U50" s="26"/>
      <c r="V50" s="26"/>
      <c r="W50" s="26"/>
      <c r="X50" s="26"/>
      <c r="Y50" s="28"/>
      <c r="Z50" s="29"/>
      <c r="AA50" s="26"/>
      <c r="AB50" s="26"/>
      <c r="AC50" s="26"/>
      <c r="AD50" s="25"/>
      <c r="AE50" s="25"/>
      <c r="AF50" s="24"/>
      <c r="AG50" s="24"/>
      <c r="AH50" s="24"/>
      <c r="AI50" s="25">
        <v>2</v>
      </c>
      <c r="AJ50" s="25"/>
      <c r="AK50" s="459">
        <f>SUM(F50:AJ50)</f>
        <v>9</v>
      </c>
      <c r="AL50" s="445"/>
      <c r="AM50" s="445"/>
      <c r="AN50" s="445"/>
      <c r="AO50" s="445"/>
      <c r="AP50" s="445"/>
      <c r="AQ50" s="445"/>
      <c r="AR50" s="445"/>
      <c r="AS50" s="445"/>
      <c r="AT50" s="445"/>
      <c r="AU50" s="445"/>
      <c r="AV50" s="445"/>
      <c r="AW50" s="445"/>
      <c r="AX50" s="445"/>
      <c r="AY50" s="479"/>
      <c r="AZ50" s="54"/>
    </row>
    <row r="51" spans="1:52">
      <c r="A51" s="449">
        <v>24</v>
      </c>
      <c r="B51" s="67">
        <v>64</v>
      </c>
      <c r="C51" s="56" t="s">
        <v>60</v>
      </c>
      <c r="D51" s="56" t="s">
        <v>31</v>
      </c>
      <c r="E51" s="71" t="s">
        <v>32</v>
      </c>
      <c r="F51" s="142" t="s">
        <v>24</v>
      </c>
      <c r="G51" s="123" t="s">
        <v>14</v>
      </c>
      <c r="H51" s="123" t="s">
        <v>14</v>
      </c>
      <c r="I51" s="123" t="s">
        <v>14</v>
      </c>
      <c r="J51" s="123" t="s">
        <v>14</v>
      </c>
      <c r="K51" s="123" t="s">
        <v>14</v>
      </c>
      <c r="L51" s="123" t="s">
        <v>14</v>
      </c>
      <c r="M51" s="123" t="s">
        <v>14</v>
      </c>
      <c r="N51" s="123" t="s">
        <v>23</v>
      </c>
      <c r="O51" s="123" t="s">
        <v>14</v>
      </c>
      <c r="P51" s="123" t="s">
        <v>14</v>
      </c>
      <c r="Q51" s="123" t="s">
        <v>14</v>
      </c>
      <c r="R51" s="123" t="s">
        <v>14</v>
      </c>
      <c r="S51" s="123" t="s">
        <v>14</v>
      </c>
      <c r="T51" s="123" t="s">
        <v>14</v>
      </c>
      <c r="U51" s="123" t="s">
        <v>14</v>
      </c>
      <c r="V51" s="123" t="s">
        <v>23</v>
      </c>
      <c r="W51" s="123" t="s">
        <v>14</v>
      </c>
      <c r="X51" s="123" t="s">
        <v>14</v>
      </c>
      <c r="Y51" s="123" t="s">
        <v>14</v>
      </c>
      <c r="Z51" s="123" t="s">
        <v>14</v>
      </c>
      <c r="AA51" s="123" t="s">
        <v>14</v>
      </c>
      <c r="AB51" s="123" t="s">
        <v>14</v>
      </c>
      <c r="AC51" s="123" t="s">
        <v>14</v>
      </c>
      <c r="AD51" s="123" t="s">
        <v>23</v>
      </c>
      <c r="AE51" s="123" t="s">
        <v>14</v>
      </c>
      <c r="AF51" s="123" t="s">
        <v>14</v>
      </c>
      <c r="AG51" s="123" t="s">
        <v>14</v>
      </c>
      <c r="AH51" s="123" t="s">
        <v>14</v>
      </c>
      <c r="AI51" s="123" t="s">
        <v>24</v>
      </c>
      <c r="AJ51" s="123" t="s">
        <v>14</v>
      </c>
      <c r="AK51" s="30">
        <f>COUNTIF($F51:$AJ51,$C$128)</f>
        <v>26</v>
      </c>
      <c r="AL51" s="30">
        <f>COUNTIF($F51:$AJ51,$C$129)</f>
        <v>0</v>
      </c>
      <c r="AM51" s="30">
        <f>COUNTIF($F51:$AJ51,$C$130)</f>
        <v>0</v>
      </c>
      <c r="AN51" s="30">
        <f>COUNTIF($F51:$AJ51,$C$131)</f>
        <v>0</v>
      </c>
      <c r="AO51" s="30">
        <f>COUNTIF($F51:$AJ51,$C$132)</f>
        <v>0</v>
      </c>
      <c r="AP51" s="30">
        <f>COUNTIF($F51:$AJ51,$C$133)</f>
        <v>0</v>
      </c>
      <c r="AQ51" s="30">
        <f>COUNTIF($F51:$AJ51,$C$134)</f>
        <v>0</v>
      </c>
      <c r="AR51" s="30">
        <f>COUNTIF($F51:$AJ51,$C$135)</f>
        <v>0</v>
      </c>
      <c r="AS51" s="7">
        <f>COUNTIF($F51:$AJ51,$C$136)</f>
        <v>0</v>
      </c>
      <c r="AT51" s="30">
        <f>COUNTIF($F51:$AJ51,$C$137)</f>
        <v>3</v>
      </c>
      <c r="AU51" s="30">
        <f>COUNTIF($F51:$AJ51,$C$138)</f>
        <v>2</v>
      </c>
      <c r="AV51" s="30">
        <f>COUNTIF($F51:$AJ51,$C$139)</f>
        <v>0</v>
      </c>
      <c r="AW51" s="30">
        <f>COUNTIF($F51:$AJ51,$C$140)</f>
        <v>0</v>
      </c>
      <c r="AX51" s="30">
        <f>COUNTIF($F51:$AJ51,$C$141)</f>
        <v>0</v>
      </c>
      <c r="AY51" s="30">
        <f>COUNTA(F51:AJ51)</f>
        <v>31</v>
      </c>
      <c r="AZ51" s="54">
        <f>AK51+AU51</f>
        <v>28</v>
      </c>
    </row>
    <row r="52" spans="1:52">
      <c r="A52" s="450"/>
      <c r="B52" s="60"/>
      <c r="C52" s="61"/>
      <c r="D52" s="61"/>
      <c r="E52" s="73" t="s">
        <v>34</v>
      </c>
      <c r="F52" s="143"/>
      <c r="G52" s="123">
        <v>7</v>
      </c>
      <c r="H52" s="26"/>
      <c r="I52" s="26"/>
      <c r="J52" s="123"/>
      <c r="K52" s="26"/>
      <c r="L52" s="44"/>
      <c r="M52" s="44"/>
      <c r="N52" s="123"/>
      <c r="O52" s="44"/>
      <c r="P52" s="26"/>
      <c r="Q52" s="26">
        <v>2</v>
      </c>
      <c r="R52" s="26"/>
      <c r="S52" s="26"/>
      <c r="T52" s="26"/>
      <c r="U52" s="26"/>
      <c r="V52" s="26"/>
      <c r="W52" s="26"/>
      <c r="X52" s="26"/>
      <c r="Y52" s="28"/>
      <c r="Z52" s="29"/>
      <c r="AA52" s="26"/>
      <c r="AB52" s="26"/>
      <c r="AC52" s="26"/>
      <c r="AD52" s="25"/>
      <c r="AE52" s="25"/>
      <c r="AF52" s="24">
        <v>3</v>
      </c>
      <c r="AG52" s="24"/>
      <c r="AH52" s="24"/>
      <c r="AI52" s="25"/>
      <c r="AJ52" s="25"/>
      <c r="AK52" s="459">
        <f>SUM(F52:AJ52)</f>
        <v>12</v>
      </c>
      <c r="AL52" s="445"/>
      <c r="AM52" s="445"/>
      <c r="AN52" s="445"/>
      <c r="AO52" s="445"/>
      <c r="AP52" s="445"/>
      <c r="AQ52" s="445"/>
      <c r="AR52" s="445"/>
      <c r="AS52" s="445"/>
      <c r="AT52" s="445"/>
      <c r="AU52" s="445"/>
      <c r="AV52" s="445"/>
      <c r="AW52" s="445"/>
      <c r="AX52" s="445"/>
      <c r="AY52" s="479"/>
      <c r="AZ52" s="54"/>
    </row>
    <row r="53" spans="1:52">
      <c r="A53" s="449">
        <v>25</v>
      </c>
      <c r="B53" s="67">
        <v>65</v>
      </c>
      <c r="C53" s="56" t="s">
        <v>61</v>
      </c>
      <c r="D53" s="56" t="s">
        <v>31</v>
      </c>
      <c r="E53" s="71" t="s">
        <v>32</v>
      </c>
      <c r="F53" s="142" t="s">
        <v>24</v>
      </c>
      <c r="G53" s="123" t="s">
        <v>14</v>
      </c>
      <c r="H53" s="123" t="s">
        <v>14</v>
      </c>
      <c r="I53" s="123" t="s">
        <v>14</v>
      </c>
      <c r="J53" s="123" t="s">
        <v>14</v>
      </c>
      <c r="K53" s="123" t="s">
        <v>14</v>
      </c>
      <c r="L53" s="123" t="s">
        <v>14</v>
      </c>
      <c r="M53" s="123" t="s">
        <v>14</v>
      </c>
      <c r="N53" s="123" t="s">
        <v>14</v>
      </c>
      <c r="O53" s="123" t="s">
        <v>14</v>
      </c>
      <c r="P53" s="123" t="s">
        <v>23</v>
      </c>
      <c r="Q53" s="123" t="s">
        <v>14</v>
      </c>
      <c r="R53" s="123" t="s">
        <v>14</v>
      </c>
      <c r="S53" s="123" t="s">
        <v>14</v>
      </c>
      <c r="T53" s="123" t="s">
        <v>14</v>
      </c>
      <c r="U53" s="123" t="s">
        <v>14</v>
      </c>
      <c r="V53" s="123" t="s">
        <v>23</v>
      </c>
      <c r="W53" s="123" t="s">
        <v>14</v>
      </c>
      <c r="X53" s="123" t="s">
        <v>14</v>
      </c>
      <c r="Y53" s="123" t="s">
        <v>14</v>
      </c>
      <c r="Z53" s="123" t="s">
        <v>14</v>
      </c>
      <c r="AA53" s="123" t="s">
        <v>14</v>
      </c>
      <c r="AB53" s="123" t="s">
        <v>14</v>
      </c>
      <c r="AC53" s="123" t="s">
        <v>14</v>
      </c>
      <c r="AD53" s="123" t="s">
        <v>23</v>
      </c>
      <c r="AE53" s="123" t="s">
        <v>14</v>
      </c>
      <c r="AF53" s="123" t="s">
        <v>14</v>
      </c>
      <c r="AG53" s="123" t="s">
        <v>14</v>
      </c>
      <c r="AH53" s="123" t="s">
        <v>14</v>
      </c>
      <c r="AI53" s="123" t="s">
        <v>24</v>
      </c>
      <c r="AJ53" s="123" t="s">
        <v>14</v>
      </c>
      <c r="AK53" s="30">
        <f>COUNTIF($F53:$AJ53,$C$128)</f>
        <v>26</v>
      </c>
      <c r="AL53" s="30">
        <f>COUNTIF($F53:$AJ53,$C$129)</f>
        <v>0</v>
      </c>
      <c r="AM53" s="30">
        <f>COUNTIF($F53:$AJ53,$C$130)</f>
        <v>0</v>
      </c>
      <c r="AN53" s="30">
        <f>COUNTIF($F53:$AJ53,$C$131)</f>
        <v>0</v>
      </c>
      <c r="AO53" s="30">
        <f>COUNTIF($F53:$AJ53,$C$132)</f>
        <v>0</v>
      </c>
      <c r="AP53" s="30">
        <f>COUNTIF($F53:$AJ53,$C$133)</f>
        <v>0</v>
      </c>
      <c r="AQ53" s="30">
        <f>COUNTIF($F53:$AJ53,$C$134)</f>
        <v>0</v>
      </c>
      <c r="AR53" s="30">
        <f>COUNTIF($F53:$AJ53,$C$135)</f>
        <v>0</v>
      </c>
      <c r="AS53" s="30">
        <f>COUNTIF($F53:$AJ53,$C$136)</f>
        <v>0</v>
      </c>
      <c r="AT53" s="30">
        <f>COUNTIF($F53:$AJ53,$C$137)</f>
        <v>3</v>
      </c>
      <c r="AU53" s="30">
        <f>COUNTIF($F53:$AJ53,$C$138)</f>
        <v>2</v>
      </c>
      <c r="AV53" s="30">
        <f>COUNTIF($F53:$AJ53,$C$139)</f>
        <v>0</v>
      </c>
      <c r="AW53" s="30">
        <f>COUNTIF($F53:$AJ53,$C$140)</f>
        <v>0</v>
      </c>
      <c r="AX53" s="30">
        <f>COUNTIF($F53:$AJ53,$C$141)</f>
        <v>0</v>
      </c>
      <c r="AY53" s="30">
        <f>COUNTA(F53:AJ53)</f>
        <v>31</v>
      </c>
      <c r="AZ53" s="54">
        <f>AK53+AU53</f>
        <v>28</v>
      </c>
    </row>
    <row r="54" spans="1:52">
      <c r="A54" s="450"/>
      <c r="B54" s="60"/>
      <c r="C54" s="61"/>
      <c r="D54" s="61"/>
      <c r="E54" s="73" t="s">
        <v>34</v>
      </c>
      <c r="F54" s="143"/>
      <c r="G54" s="123">
        <v>7</v>
      </c>
      <c r="H54" s="26"/>
      <c r="I54" s="26"/>
      <c r="J54" s="123"/>
      <c r="K54" s="26"/>
      <c r="L54" s="44"/>
      <c r="M54" s="44"/>
      <c r="N54" s="123"/>
      <c r="O54" s="44"/>
      <c r="P54" s="26"/>
      <c r="Q54" s="26"/>
      <c r="R54" s="26"/>
      <c r="S54" s="26">
        <v>2</v>
      </c>
      <c r="T54" s="26"/>
      <c r="U54" s="26"/>
      <c r="V54" s="26"/>
      <c r="W54" s="26"/>
      <c r="X54" s="26"/>
      <c r="Y54" s="28"/>
      <c r="Z54" s="29"/>
      <c r="AA54" s="26"/>
      <c r="AB54" s="26"/>
      <c r="AC54" s="26"/>
      <c r="AD54" s="25"/>
      <c r="AE54" s="25"/>
      <c r="AF54" s="24"/>
      <c r="AG54" s="24"/>
      <c r="AH54" s="24"/>
      <c r="AI54" s="25"/>
      <c r="AJ54" s="25"/>
      <c r="AK54" s="459">
        <f>SUM(F54:AJ54)</f>
        <v>9</v>
      </c>
      <c r="AL54" s="445"/>
      <c r="AM54" s="445"/>
      <c r="AN54" s="445"/>
      <c r="AO54" s="445"/>
      <c r="AP54" s="445"/>
      <c r="AQ54" s="445"/>
      <c r="AR54" s="445"/>
      <c r="AS54" s="445"/>
      <c r="AT54" s="445"/>
      <c r="AU54" s="445"/>
      <c r="AV54" s="445"/>
      <c r="AW54" s="445"/>
      <c r="AX54" s="445"/>
      <c r="AY54" s="479"/>
      <c r="AZ54" s="54"/>
    </row>
    <row r="55" spans="1:52">
      <c r="A55" s="449">
        <v>26</v>
      </c>
      <c r="B55" s="67">
        <v>123</v>
      </c>
      <c r="C55" s="56" t="s">
        <v>62</v>
      </c>
      <c r="D55" s="56" t="s">
        <v>31</v>
      </c>
      <c r="E55" s="71" t="s">
        <v>32</v>
      </c>
      <c r="F55" s="142" t="s">
        <v>24</v>
      </c>
      <c r="G55" s="123" t="s">
        <v>14</v>
      </c>
      <c r="H55" s="123" t="s">
        <v>14</v>
      </c>
      <c r="I55" s="123" t="s">
        <v>14</v>
      </c>
      <c r="J55" s="123" t="s">
        <v>14</v>
      </c>
      <c r="K55" s="123" t="s">
        <v>14</v>
      </c>
      <c r="L55" s="123" t="s">
        <v>23</v>
      </c>
      <c r="M55" s="123" t="s">
        <v>14</v>
      </c>
      <c r="N55" s="123" t="s">
        <v>14</v>
      </c>
      <c r="O55" s="123" t="s">
        <v>14</v>
      </c>
      <c r="P55" s="123" t="s">
        <v>14</v>
      </c>
      <c r="Q55" s="123" t="s">
        <v>14</v>
      </c>
      <c r="R55" s="123" t="s">
        <v>14</v>
      </c>
      <c r="S55" s="123" t="s">
        <v>14</v>
      </c>
      <c r="T55" s="123" t="s">
        <v>14</v>
      </c>
      <c r="U55" s="123" t="s">
        <v>14</v>
      </c>
      <c r="V55" s="123" t="s">
        <v>14</v>
      </c>
      <c r="W55" s="123" t="s">
        <v>14</v>
      </c>
      <c r="X55" s="123" t="s">
        <v>23</v>
      </c>
      <c r="Y55" s="123" t="s">
        <v>14</v>
      </c>
      <c r="Z55" s="123" t="s">
        <v>23</v>
      </c>
      <c r="AA55" s="123" t="s">
        <v>14</v>
      </c>
      <c r="AB55" s="123" t="s">
        <v>14</v>
      </c>
      <c r="AC55" s="123" t="s">
        <v>14</v>
      </c>
      <c r="AD55" s="123" t="s">
        <v>14</v>
      </c>
      <c r="AE55" s="123" t="s">
        <v>14</v>
      </c>
      <c r="AF55" s="123" t="s">
        <v>14</v>
      </c>
      <c r="AG55" s="123" t="s">
        <v>14</v>
      </c>
      <c r="AH55" s="123" t="s">
        <v>14</v>
      </c>
      <c r="AI55" s="123" t="s">
        <v>24</v>
      </c>
      <c r="AJ55" s="123" t="s">
        <v>14</v>
      </c>
      <c r="AK55" s="30">
        <f>COUNTIF($F55:$AJ55,$C$128)</f>
        <v>26</v>
      </c>
      <c r="AL55" s="30">
        <f>COUNTIF($F55:$AJ55,$C$129)</f>
        <v>0</v>
      </c>
      <c r="AM55" s="30">
        <f>COUNTIF($F55:$AJ55,$C$130)</f>
        <v>0</v>
      </c>
      <c r="AN55" s="30">
        <f>COUNTIF($F55:$AJ55,$C$131)</f>
        <v>0</v>
      </c>
      <c r="AO55" s="30">
        <f>COUNTIF($F55:$AJ55,$C$132)</f>
        <v>0</v>
      </c>
      <c r="AP55" s="30">
        <f>COUNTIF($F55:$AJ55,$C$133)</f>
        <v>0</v>
      </c>
      <c r="AQ55" s="30">
        <f>COUNTIF($F55:$AJ55,$C$134)</f>
        <v>0</v>
      </c>
      <c r="AR55" s="30">
        <f>COUNTIF($F55:$AJ55,$C$135)</f>
        <v>0</v>
      </c>
      <c r="AS55" s="30">
        <f>COUNTIF($F55:$AJ55,$C$136)</f>
        <v>0</v>
      </c>
      <c r="AT55" s="30">
        <f>COUNTIF($F55:$AJ55,$C$137)</f>
        <v>3</v>
      </c>
      <c r="AU55" s="30">
        <f>COUNTIF($F55:$AJ55,$C$138)</f>
        <v>2</v>
      </c>
      <c r="AV55" s="30">
        <f>COUNTIF($F55:$AJ55,$C$139)</f>
        <v>0</v>
      </c>
      <c r="AW55" s="30">
        <f>COUNTIF($F55:$AJ55,$C$140)</f>
        <v>0</v>
      </c>
      <c r="AX55" s="30">
        <f>COUNTIF($F55:$AJ55,$C$141)</f>
        <v>0</v>
      </c>
      <c r="AY55" s="30">
        <f>COUNTA(F55:AJ55)</f>
        <v>31</v>
      </c>
      <c r="AZ55" s="54">
        <f>AK55+AU55</f>
        <v>28</v>
      </c>
    </row>
    <row r="56" spans="1:52">
      <c r="A56" s="450"/>
      <c r="B56" s="60"/>
      <c r="C56" s="61"/>
      <c r="D56" s="61"/>
      <c r="E56" s="73" t="s">
        <v>34</v>
      </c>
      <c r="F56" s="143"/>
      <c r="G56" s="123"/>
      <c r="H56" s="26"/>
      <c r="I56" s="26"/>
      <c r="J56" s="123"/>
      <c r="K56" s="26"/>
      <c r="L56" s="26"/>
      <c r="M56" s="26">
        <v>1</v>
      </c>
      <c r="N56" s="26">
        <v>3</v>
      </c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8"/>
      <c r="Z56" s="29"/>
      <c r="AA56" s="26"/>
      <c r="AB56" s="26"/>
      <c r="AC56" s="26"/>
      <c r="AD56" s="25">
        <v>1</v>
      </c>
      <c r="AE56" s="25"/>
      <c r="AF56" s="25"/>
      <c r="AG56" s="25"/>
      <c r="AH56" s="25"/>
      <c r="AI56" s="25"/>
      <c r="AJ56" s="25"/>
      <c r="AK56" s="459">
        <f>SUM(F56:AJ56)</f>
        <v>5</v>
      </c>
      <c r="AL56" s="445"/>
      <c r="AM56" s="445"/>
      <c r="AN56" s="445"/>
      <c r="AO56" s="445"/>
      <c r="AP56" s="445"/>
      <c r="AQ56" s="445"/>
      <c r="AR56" s="445"/>
      <c r="AS56" s="445"/>
      <c r="AT56" s="445"/>
      <c r="AU56" s="445"/>
      <c r="AV56" s="445"/>
      <c r="AW56" s="445"/>
      <c r="AX56" s="445"/>
      <c r="AY56" s="479"/>
      <c r="AZ56" s="54"/>
    </row>
    <row r="57" spans="1:52">
      <c r="A57" s="449">
        <v>27</v>
      </c>
      <c r="B57" s="67">
        <v>60</v>
      </c>
      <c r="C57" s="56" t="s">
        <v>63</v>
      </c>
      <c r="D57" s="56" t="s">
        <v>31</v>
      </c>
      <c r="E57" s="71" t="s">
        <v>32</v>
      </c>
      <c r="F57" s="142" t="s">
        <v>24</v>
      </c>
      <c r="G57" s="123" t="s">
        <v>14</v>
      </c>
      <c r="H57" s="123" t="s">
        <v>14</v>
      </c>
      <c r="I57" s="123" t="s">
        <v>14</v>
      </c>
      <c r="J57" s="123" t="s">
        <v>14</v>
      </c>
      <c r="K57" s="123" t="s">
        <v>14</v>
      </c>
      <c r="L57" s="123" t="s">
        <v>14</v>
      </c>
      <c r="M57" s="123" t="s">
        <v>14</v>
      </c>
      <c r="N57" s="123" t="s">
        <v>14</v>
      </c>
      <c r="O57" s="123" t="s">
        <v>23</v>
      </c>
      <c r="P57" s="123" t="s">
        <v>14</v>
      </c>
      <c r="Q57" s="123" t="s">
        <v>14</v>
      </c>
      <c r="R57" s="123" t="s">
        <v>14</v>
      </c>
      <c r="S57" s="123" t="s">
        <v>14</v>
      </c>
      <c r="T57" s="123" t="s">
        <v>14</v>
      </c>
      <c r="U57" s="123" t="s">
        <v>14</v>
      </c>
      <c r="V57" s="123" t="s">
        <v>23</v>
      </c>
      <c r="W57" s="123" t="s">
        <v>14</v>
      </c>
      <c r="X57" s="123" t="s">
        <v>14</v>
      </c>
      <c r="Y57" s="123" t="s">
        <v>14</v>
      </c>
      <c r="Z57" s="123" t="s">
        <v>14</v>
      </c>
      <c r="AA57" s="123" t="s">
        <v>14</v>
      </c>
      <c r="AB57" s="123" t="s">
        <v>14</v>
      </c>
      <c r="AC57" s="123" t="s">
        <v>23</v>
      </c>
      <c r="AD57" s="123" t="s">
        <v>14</v>
      </c>
      <c r="AE57" s="123" t="s">
        <v>14</v>
      </c>
      <c r="AF57" s="123" t="s">
        <v>14</v>
      </c>
      <c r="AG57" s="123" t="s">
        <v>14</v>
      </c>
      <c r="AH57" s="123" t="s">
        <v>14</v>
      </c>
      <c r="AI57" s="123" t="s">
        <v>14</v>
      </c>
      <c r="AJ57" s="123" t="s">
        <v>24</v>
      </c>
      <c r="AK57" s="30">
        <f>COUNTIF($F57:$AJ57,$C$128)</f>
        <v>26</v>
      </c>
      <c r="AL57" s="30">
        <f>COUNTIF($F57:$AJ57,$C$129)</f>
        <v>0</v>
      </c>
      <c r="AM57" s="30">
        <f>COUNTIF($F57:$AJ57,$C$130)</f>
        <v>0</v>
      </c>
      <c r="AN57" s="30">
        <f>COUNTIF($F57:$AJ57,$C$131)</f>
        <v>0</v>
      </c>
      <c r="AO57" s="30">
        <f>COUNTIF($F57:$AJ57,$C$132)</f>
        <v>0</v>
      </c>
      <c r="AP57" s="30">
        <f>COUNTIF($F57:$AJ57,$C$133)</f>
        <v>0</v>
      </c>
      <c r="AQ57" s="30">
        <f>COUNTIF($F57:$AJ57,$C$134)</f>
        <v>0</v>
      </c>
      <c r="AR57" s="7">
        <f>COUNTIF($F57:$AJ57,$C$135)</f>
        <v>0</v>
      </c>
      <c r="AS57" s="7">
        <f>COUNTIF($F57:$AJ57,$C$136)</f>
        <v>0</v>
      </c>
      <c r="AT57" s="30">
        <f>COUNTIF($F57:$AJ57,$C$137)</f>
        <v>3</v>
      </c>
      <c r="AU57" s="30">
        <f>COUNTIF($F57:$AJ57,$C$138)</f>
        <v>2</v>
      </c>
      <c r="AV57" s="30">
        <f>COUNTIF($F57:$AJ57,$C$139)</f>
        <v>0</v>
      </c>
      <c r="AW57" s="30">
        <f>COUNTIF($F57:$AJ57,$C$140)</f>
        <v>0</v>
      </c>
      <c r="AX57" s="30">
        <f>COUNTIF($F57:$AJ57,$C$141)</f>
        <v>0</v>
      </c>
      <c r="AY57" s="30">
        <f>COUNTA(F57:AJ57)</f>
        <v>31</v>
      </c>
      <c r="AZ57" s="54">
        <f>AK57+AU57</f>
        <v>28</v>
      </c>
    </row>
    <row r="58" spans="1:52">
      <c r="A58" s="450"/>
      <c r="B58" s="60"/>
      <c r="C58" s="61"/>
      <c r="D58" s="61"/>
      <c r="E58" s="73" t="s">
        <v>34</v>
      </c>
      <c r="F58" s="143"/>
      <c r="G58" s="26">
        <v>1</v>
      </c>
      <c r="H58" s="26"/>
      <c r="I58" s="26">
        <v>4</v>
      </c>
      <c r="J58" s="26">
        <v>2</v>
      </c>
      <c r="K58" s="26">
        <v>1</v>
      </c>
      <c r="L58" s="26"/>
      <c r="M58" s="26">
        <v>4</v>
      </c>
      <c r="N58" s="26">
        <v>1</v>
      </c>
      <c r="O58" s="26"/>
      <c r="P58" s="26"/>
      <c r="Q58" s="26">
        <v>3</v>
      </c>
      <c r="R58" s="26">
        <v>1</v>
      </c>
      <c r="S58" s="26">
        <v>1</v>
      </c>
      <c r="T58" s="26">
        <v>1</v>
      </c>
      <c r="U58" s="26">
        <v>1</v>
      </c>
      <c r="V58" s="26"/>
      <c r="W58" s="26">
        <v>2</v>
      </c>
      <c r="X58" s="26">
        <v>4</v>
      </c>
      <c r="Y58" s="28">
        <v>1</v>
      </c>
      <c r="Z58" s="29">
        <v>1</v>
      </c>
      <c r="AA58" s="26">
        <v>4</v>
      </c>
      <c r="AB58" s="26"/>
      <c r="AC58" s="26"/>
      <c r="AD58" s="25">
        <v>2</v>
      </c>
      <c r="AE58" s="25">
        <v>4</v>
      </c>
      <c r="AF58" s="25">
        <v>1</v>
      </c>
      <c r="AG58" s="25">
        <v>3</v>
      </c>
      <c r="AH58" s="25">
        <v>1</v>
      </c>
      <c r="AI58" s="25">
        <v>7</v>
      </c>
      <c r="AJ58" s="25"/>
      <c r="AK58" s="459">
        <f>SUM(F58:AJ58)</f>
        <v>50</v>
      </c>
      <c r="AL58" s="445"/>
      <c r="AM58" s="445"/>
      <c r="AN58" s="445"/>
      <c r="AO58" s="445"/>
      <c r="AP58" s="445"/>
      <c r="AQ58" s="445"/>
      <c r="AR58" s="445"/>
      <c r="AS58" s="445"/>
      <c r="AT58" s="445"/>
      <c r="AU58" s="445"/>
      <c r="AV58" s="445"/>
      <c r="AW58" s="445"/>
      <c r="AX58" s="445"/>
      <c r="AY58" s="479"/>
      <c r="AZ58" s="54"/>
    </row>
    <row r="59" spans="1:52">
      <c r="A59" s="449">
        <v>28</v>
      </c>
      <c r="B59" s="67">
        <v>101</v>
      </c>
      <c r="C59" s="56" t="s">
        <v>64</v>
      </c>
      <c r="D59" s="56" t="s">
        <v>31</v>
      </c>
      <c r="E59" s="71" t="s">
        <v>32</v>
      </c>
      <c r="F59" s="142" t="s">
        <v>24</v>
      </c>
      <c r="G59" s="123" t="s">
        <v>14</v>
      </c>
      <c r="H59" s="123" t="s">
        <v>14</v>
      </c>
      <c r="I59" s="123" t="s">
        <v>23</v>
      </c>
      <c r="J59" s="123" t="s">
        <v>14</v>
      </c>
      <c r="K59" s="123" t="s">
        <v>14</v>
      </c>
      <c r="L59" s="123" t="s">
        <v>14</v>
      </c>
      <c r="M59" s="123" t="s">
        <v>14</v>
      </c>
      <c r="N59" s="123" t="s">
        <v>14</v>
      </c>
      <c r="O59" s="123" t="s">
        <v>14</v>
      </c>
      <c r="P59" s="123" t="s">
        <v>14</v>
      </c>
      <c r="Q59" s="123" t="s">
        <v>14</v>
      </c>
      <c r="R59" s="123" t="s">
        <v>23</v>
      </c>
      <c r="S59" s="123" t="s">
        <v>14</v>
      </c>
      <c r="T59" s="123" t="s">
        <v>14</v>
      </c>
      <c r="U59" s="123" t="s">
        <v>14</v>
      </c>
      <c r="V59" s="123" t="s">
        <v>14</v>
      </c>
      <c r="W59" s="123" t="s">
        <v>14</v>
      </c>
      <c r="X59" s="123" t="s">
        <v>14</v>
      </c>
      <c r="Y59" s="123" t="s">
        <v>14</v>
      </c>
      <c r="Z59" s="123" t="s">
        <v>23</v>
      </c>
      <c r="AA59" s="123" t="s">
        <v>14</v>
      </c>
      <c r="AB59" s="123" t="s">
        <v>14</v>
      </c>
      <c r="AC59" s="123" t="s">
        <v>14</v>
      </c>
      <c r="AD59" s="123" t="s">
        <v>14</v>
      </c>
      <c r="AE59" s="123" t="s">
        <v>14</v>
      </c>
      <c r="AF59" s="123" t="s">
        <v>14</v>
      </c>
      <c r="AG59" s="123" t="s">
        <v>23</v>
      </c>
      <c r="AH59" s="123" t="s">
        <v>14</v>
      </c>
      <c r="AI59" s="123" t="s">
        <v>14</v>
      </c>
      <c r="AJ59" s="123" t="s">
        <v>14</v>
      </c>
      <c r="AK59" s="7">
        <f>COUNTIF($F59:$AJ59,$C$128)</f>
        <v>26</v>
      </c>
      <c r="AL59" s="7">
        <f>COUNTIF($F59:$AJ59,$C$129)</f>
        <v>0</v>
      </c>
      <c r="AM59" s="7">
        <f>COUNTIF($F59:$AJ59,$C$130)</f>
        <v>0</v>
      </c>
      <c r="AN59" s="7">
        <f>COUNTIF($F59:$AJ59,$C$131)</f>
        <v>0</v>
      </c>
      <c r="AO59" s="7">
        <f>COUNTIF($F59:$AJ59,$C$132)</f>
        <v>0</v>
      </c>
      <c r="AP59" s="7">
        <f>COUNTIF($F59:$AJ59,$C$133)</f>
        <v>0</v>
      </c>
      <c r="AQ59" s="7">
        <f>COUNTIF($F59:$AJ59,$C$134)</f>
        <v>0</v>
      </c>
      <c r="AR59" s="7">
        <f>COUNTIF($F59:$AJ59,$C$135)</f>
        <v>0</v>
      </c>
      <c r="AS59" s="7">
        <f>COUNTIF($F59:$AJ59,$C$136)</f>
        <v>0</v>
      </c>
      <c r="AT59" s="7">
        <f>COUNTIF($F59:$AJ59,$C$137)</f>
        <v>4</v>
      </c>
      <c r="AU59" s="7">
        <f>COUNTIF($F59:$AJ59,$C$138)</f>
        <v>1</v>
      </c>
      <c r="AV59" s="7">
        <f>COUNTIF($F59:$AJ59,$C$139)</f>
        <v>0</v>
      </c>
      <c r="AW59" s="7">
        <f>COUNTIF($F59:$AJ59,$C$140)</f>
        <v>0</v>
      </c>
      <c r="AX59" s="7">
        <f>COUNTIF($F59:$AJ59,$C$141)</f>
        <v>0</v>
      </c>
      <c r="AY59" s="7">
        <f>COUNTA(F59:AJ59)</f>
        <v>31</v>
      </c>
      <c r="AZ59" s="54">
        <f>AK59+AU59</f>
        <v>27</v>
      </c>
    </row>
    <row r="60" spans="1:52">
      <c r="A60" s="450"/>
      <c r="B60" s="60"/>
      <c r="C60" s="61"/>
      <c r="D60" s="61"/>
      <c r="E60" s="73" t="s">
        <v>34</v>
      </c>
      <c r="F60" s="143"/>
      <c r="G60" s="123">
        <v>2</v>
      </c>
      <c r="H60" s="26">
        <v>2</v>
      </c>
      <c r="I60" s="26"/>
      <c r="J60" s="123"/>
      <c r="K60" s="26"/>
      <c r="L60" s="44"/>
      <c r="M60" s="44"/>
      <c r="N60" s="123"/>
      <c r="O60" s="44"/>
      <c r="P60" s="26"/>
      <c r="Q60" s="26"/>
      <c r="R60" s="26"/>
      <c r="S60" s="26"/>
      <c r="T60" s="26"/>
      <c r="U60" s="26">
        <v>2</v>
      </c>
      <c r="V60" s="26"/>
      <c r="W60" s="26"/>
      <c r="X60" s="26"/>
      <c r="Y60" s="28"/>
      <c r="Z60" s="29"/>
      <c r="AA60" s="26"/>
      <c r="AB60" s="26"/>
      <c r="AC60" s="26"/>
      <c r="AD60" s="25"/>
      <c r="AE60" s="25"/>
      <c r="AF60" s="24"/>
      <c r="AG60" s="24"/>
      <c r="AH60" s="24"/>
      <c r="AI60" s="25"/>
      <c r="AJ60" s="25">
        <v>4</v>
      </c>
      <c r="AK60" s="489">
        <f>SUM(F60:AJ60)</f>
        <v>10</v>
      </c>
      <c r="AL60" s="490"/>
      <c r="AM60" s="490"/>
      <c r="AN60" s="490"/>
      <c r="AO60" s="490"/>
      <c r="AP60" s="490"/>
      <c r="AQ60" s="490"/>
      <c r="AR60" s="490"/>
      <c r="AS60" s="490"/>
      <c r="AT60" s="490"/>
      <c r="AU60" s="490"/>
      <c r="AV60" s="490"/>
      <c r="AW60" s="490"/>
      <c r="AX60" s="490"/>
      <c r="AY60" s="491"/>
      <c r="AZ60" s="54"/>
    </row>
    <row r="61" spans="1:52">
      <c r="A61" s="449">
        <v>29</v>
      </c>
      <c r="B61" s="67">
        <v>105</v>
      </c>
      <c r="C61" s="56" t="s">
        <v>65</v>
      </c>
      <c r="D61" s="56" t="s">
        <v>31</v>
      </c>
      <c r="E61" s="71" t="s">
        <v>32</v>
      </c>
      <c r="F61" s="142" t="s">
        <v>24</v>
      </c>
      <c r="G61" s="123" t="s">
        <v>14</v>
      </c>
      <c r="H61" s="123" t="s">
        <v>14</v>
      </c>
      <c r="I61" s="123" t="s">
        <v>14</v>
      </c>
      <c r="J61" s="123" t="s">
        <v>14</v>
      </c>
      <c r="K61" s="123" t="s">
        <v>14</v>
      </c>
      <c r="L61" s="123" t="s">
        <v>14</v>
      </c>
      <c r="M61" s="123" t="s">
        <v>14</v>
      </c>
      <c r="N61" s="123" t="s">
        <v>23</v>
      </c>
      <c r="O61" s="123" t="s">
        <v>14</v>
      </c>
      <c r="P61" s="123" t="s">
        <v>14</v>
      </c>
      <c r="Q61" s="123" t="s">
        <v>14</v>
      </c>
      <c r="R61" s="123" t="s">
        <v>14</v>
      </c>
      <c r="S61" s="123" t="s">
        <v>14</v>
      </c>
      <c r="T61" s="123" t="s">
        <v>14</v>
      </c>
      <c r="U61" s="123" t="s">
        <v>24</v>
      </c>
      <c r="V61" s="123" t="s">
        <v>14</v>
      </c>
      <c r="W61" s="123" t="s">
        <v>14</v>
      </c>
      <c r="X61" s="123" t="s">
        <v>14</v>
      </c>
      <c r="Y61" s="123" t="s">
        <v>14</v>
      </c>
      <c r="Z61" s="123" t="s">
        <v>23</v>
      </c>
      <c r="AA61" s="123" t="s">
        <v>14</v>
      </c>
      <c r="AB61" s="123" t="s">
        <v>14</v>
      </c>
      <c r="AC61" s="123" t="s">
        <v>14</v>
      </c>
      <c r="AD61" s="123" t="s">
        <v>14</v>
      </c>
      <c r="AE61" s="123" t="s">
        <v>14</v>
      </c>
      <c r="AF61" s="123" t="s">
        <v>23</v>
      </c>
      <c r="AG61" s="123" t="s">
        <v>14</v>
      </c>
      <c r="AH61" s="123" t="s">
        <v>14</v>
      </c>
      <c r="AI61" s="123" t="s">
        <v>14</v>
      </c>
      <c r="AJ61" s="123" t="s">
        <v>14</v>
      </c>
      <c r="AK61" s="30">
        <f>COUNTIF($F61:$AJ61,$C$128)</f>
        <v>26</v>
      </c>
      <c r="AL61" s="30">
        <f>COUNTIF($F61:$AJ61,$C$129)</f>
        <v>0</v>
      </c>
      <c r="AM61" s="30">
        <f>COUNTIF($F61:$AJ61,$C$130)</f>
        <v>0</v>
      </c>
      <c r="AN61" s="30">
        <f>COUNTIF($F61:$AJ61,$C$131)</f>
        <v>0</v>
      </c>
      <c r="AO61" s="30">
        <f>COUNTIF($F61:$AJ61,$C$132)</f>
        <v>0</v>
      </c>
      <c r="AP61" s="30">
        <f>COUNTIF($F61:$AJ61,$C$133)</f>
        <v>0</v>
      </c>
      <c r="AQ61" s="30">
        <f>COUNTIF($F61:$AJ61,$C$134)</f>
        <v>0</v>
      </c>
      <c r="AR61" s="30">
        <f>COUNTIF($F61:$AJ61,$C$135)</f>
        <v>0</v>
      </c>
      <c r="AS61" s="30">
        <f>COUNTIF($F61:$AJ61,$C$136)</f>
        <v>0</v>
      </c>
      <c r="AT61" s="30">
        <f>COUNTIF($F61:$AJ61,$C$137)</f>
        <v>3</v>
      </c>
      <c r="AU61" s="30">
        <f>COUNTIF($F61:$AJ61,$C$138)</f>
        <v>2</v>
      </c>
      <c r="AV61" s="30">
        <f>COUNTIF($F61:$AJ61,$C$139)</f>
        <v>0</v>
      </c>
      <c r="AW61" s="30">
        <f>COUNTIF($F61:$AJ61,$C$140)</f>
        <v>0</v>
      </c>
      <c r="AX61" s="30">
        <f>COUNTIF($F61:$AJ61,$C$141)</f>
        <v>0</v>
      </c>
      <c r="AY61" s="30">
        <f>COUNTA(F61:AJ61)</f>
        <v>31</v>
      </c>
      <c r="AZ61" s="54">
        <f>AK61+AU61</f>
        <v>28</v>
      </c>
    </row>
    <row r="62" spans="1:52">
      <c r="A62" s="450"/>
      <c r="B62" s="60"/>
      <c r="C62" s="61"/>
      <c r="D62" s="61"/>
      <c r="E62" s="73" t="s">
        <v>34</v>
      </c>
      <c r="F62" s="143"/>
      <c r="G62" s="123"/>
      <c r="H62" s="26"/>
      <c r="I62" s="26">
        <v>2</v>
      </c>
      <c r="J62" s="26">
        <v>5</v>
      </c>
      <c r="K62" s="26"/>
      <c r="L62" s="26">
        <v>2</v>
      </c>
      <c r="M62" s="26">
        <v>3</v>
      </c>
      <c r="N62" s="26"/>
      <c r="O62" s="26">
        <v>4</v>
      </c>
      <c r="P62" s="26"/>
      <c r="Q62" s="26"/>
      <c r="R62" s="26"/>
      <c r="S62" s="26">
        <v>3</v>
      </c>
      <c r="T62" s="26">
        <v>1</v>
      </c>
      <c r="U62" s="26"/>
      <c r="V62" s="26"/>
      <c r="W62" s="26"/>
      <c r="X62" s="26"/>
      <c r="Y62" s="28"/>
      <c r="Z62" s="29"/>
      <c r="AA62" s="26">
        <v>2</v>
      </c>
      <c r="AB62" s="26"/>
      <c r="AC62" s="26"/>
      <c r="AD62" s="25"/>
      <c r="AE62" s="25"/>
      <c r="AF62" s="24"/>
      <c r="AG62" s="25"/>
      <c r="AH62" s="25"/>
      <c r="AI62" s="25"/>
      <c r="AJ62" s="25">
        <v>1</v>
      </c>
      <c r="AK62" s="459">
        <f>SUM(F62:AJ62)</f>
        <v>23</v>
      </c>
      <c r="AL62" s="445"/>
      <c r="AM62" s="445"/>
      <c r="AN62" s="445"/>
      <c r="AO62" s="445"/>
      <c r="AP62" s="445"/>
      <c r="AQ62" s="445"/>
      <c r="AR62" s="445"/>
      <c r="AS62" s="445"/>
      <c r="AT62" s="445"/>
      <c r="AU62" s="445"/>
      <c r="AV62" s="445"/>
      <c r="AW62" s="445"/>
      <c r="AX62" s="445"/>
      <c r="AY62" s="479"/>
      <c r="AZ62" s="54"/>
    </row>
    <row r="63" spans="1:52">
      <c r="A63" s="449">
        <v>30</v>
      </c>
      <c r="B63" s="67">
        <v>127</v>
      </c>
      <c r="C63" s="56" t="s">
        <v>66</v>
      </c>
      <c r="D63" s="56" t="s">
        <v>31</v>
      </c>
      <c r="E63" s="71" t="s">
        <v>32</v>
      </c>
      <c r="F63" s="142" t="s">
        <v>24</v>
      </c>
      <c r="G63" s="123" t="s">
        <v>14</v>
      </c>
      <c r="H63" s="123" t="s">
        <v>14</v>
      </c>
      <c r="I63" s="123" t="s">
        <v>14</v>
      </c>
      <c r="J63" s="123" t="s">
        <v>14</v>
      </c>
      <c r="K63" s="123" t="s">
        <v>14</v>
      </c>
      <c r="L63" s="123" t="s">
        <v>23</v>
      </c>
      <c r="M63" s="123" t="s">
        <v>19</v>
      </c>
      <c r="N63" s="123" t="s">
        <v>19</v>
      </c>
      <c r="O63" s="123" t="s">
        <v>14</v>
      </c>
      <c r="P63" s="123" t="s">
        <v>14</v>
      </c>
      <c r="Q63" s="123" t="s">
        <v>14</v>
      </c>
      <c r="R63" s="123" t="s">
        <v>14</v>
      </c>
      <c r="S63" s="123" t="s">
        <v>14</v>
      </c>
      <c r="T63" s="123" t="s">
        <v>14</v>
      </c>
      <c r="U63" s="123" t="s">
        <v>14</v>
      </c>
      <c r="V63" s="123" t="s">
        <v>14</v>
      </c>
      <c r="W63" s="123" t="s">
        <v>23</v>
      </c>
      <c r="X63" s="123" t="s">
        <v>14</v>
      </c>
      <c r="Y63" s="123" t="s">
        <v>14</v>
      </c>
      <c r="Z63" s="123" t="s">
        <v>14</v>
      </c>
      <c r="AA63" s="123" t="s">
        <v>14</v>
      </c>
      <c r="AB63" s="123" t="s">
        <v>14</v>
      </c>
      <c r="AC63" s="123" t="s">
        <v>14</v>
      </c>
      <c r="AD63" s="123" t="s">
        <v>23</v>
      </c>
      <c r="AE63" s="123" t="s">
        <v>14</v>
      </c>
      <c r="AF63" s="123" t="s">
        <v>14</v>
      </c>
      <c r="AG63" s="123" t="s">
        <v>14</v>
      </c>
      <c r="AH63" s="123" t="s">
        <v>14</v>
      </c>
      <c r="AI63" s="123" t="s">
        <v>14</v>
      </c>
      <c r="AJ63" s="123" t="s">
        <v>23</v>
      </c>
      <c r="AK63" s="30">
        <f>COUNTIF($F63:$AJ63,$C$128)</f>
        <v>24</v>
      </c>
      <c r="AL63" s="30">
        <f>COUNTIF($F63:$AJ63,$C$129)</f>
        <v>0</v>
      </c>
      <c r="AM63" s="30">
        <f>COUNTIF($F63:$AJ63,$C$130)</f>
        <v>0</v>
      </c>
      <c r="AN63" s="30">
        <f>COUNTIF($F63:$AJ63,$C$131)</f>
        <v>0</v>
      </c>
      <c r="AO63" s="30">
        <f>COUNTIF($F63:$AJ63,$C$132)</f>
        <v>0</v>
      </c>
      <c r="AP63" s="331">
        <f>COUNTIF($F63:$AJ63,$C$133)</f>
        <v>2</v>
      </c>
      <c r="AQ63" s="30">
        <f>COUNTIF($F63:$AJ63,$C$134)</f>
        <v>0</v>
      </c>
      <c r="AR63" s="30">
        <f>COUNTIF($F63:$AJ63,$C$135)</f>
        <v>0</v>
      </c>
      <c r="AS63" s="30">
        <f>COUNTIF($F63:$AJ63,$C$136)</f>
        <v>0</v>
      </c>
      <c r="AT63" s="30">
        <f>COUNTIF($F63:$AJ63,$C$137)</f>
        <v>4</v>
      </c>
      <c r="AU63" s="30">
        <f>COUNTIF($F63:$AJ63,$C$138)</f>
        <v>1</v>
      </c>
      <c r="AV63" s="30">
        <f>COUNTIF($F63:$AJ63,$C$139)</f>
        <v>0</v>
      </c>
      <c r="AW63" s="30">
        <f>COUNTIF($F63:$AJ63,$C$140)</f>
        <v>0</v>
      </c>
      <c r="AX63" s="30">
        <f>COUNTIF($F63:$AJ63,$C$141)</f>
        <v>0</v>
      </c>
      <c r="AY63" s="30">
        <f>COUNTA(F63:AJ63)</f>
        <v>31</v>
      </c>
      <c r="AZ63" s="54">
        <f>AK63+AU63</f>
        <v>25</v>
      </c>
    </row>
    <row r="64" spans="1:52">
      <c r="A64" s="450"/>
      <c r="B64" s="60"/>
      <c r="C64" s="61"/>
      <c r="D64" s="61"/>
      <c r="E64" s="73" t="s">
        <v>34</v>
      </c>
      <c r="F64" s="143"/>
      <c r="G64" s="26">
        <v>1</v>
      </c>
      <c r="H64" s="26">
        <v>1</v>
      </c>
      <c r="I64" s="26"/>
      <c r="J64" s="123"/>
      <c r="K64" s="26"/>
      <c r="L64" s="44"/>
      <c r="M64" s="44"/>
      <c r="N64" s="123"/>
      <c r="O64" s="44"/>
      <c r="P64" s="26">
        <v>3</v>
      </c>
      <c r="Q64" s="26">
        <v>4</v>
      </c>
      <c r="R64" s="26">
        <v>2</v>
      </c>
      <c r="S64" s="26">
        <v>3</v>
      </c>
      <c r="T64" s="26"/>
      <c r="U64" s="26">
        <v>2</v>
      </c>
      <c r="V64" s="26"/>
      <c r="W64" s="26"/>
      <c r="X64" s="26">
        <v>1</v>
      </c>
      <c r="Y64" s="28"/>
      <c r="Z64" s="29">
        <v>3</v>
      </c>
      <c r="AA64" s="26">
        <v>1</v>
      </c>
      <c r="AB64" s="26">
        <v>2</v>
      </c>
      <c r="AC64" s="26">
        <v>2</v>
      </c>
      <c r="AD64" s="25"/>
      <c r="AE64" s="25">
        <v>4</v>
      </c>
      <c r="AF64" s="24"/>
      <c r="AG64" s="24">
        <v>1</v>
      </c>
      <c r="AH64" s="24">
        <v>1</v>
      </c>
      <c r="AI64" s="25"/>
      <c r="AJ64" s="25"/>
      <c r="AK64" s="459">
        <f>SUM(F64:AJ64)</f>
        <v>31</v>
      </c>
      <c r="AL64" s="445"/>
      <c r="AM64" s="445"/>
      <c r="AN64" s="445"/>
      <c r="AO64" s="445"/>
      <c r="AP64" s="445"/>
      <c r="AQ64" s="445"/>
      <c r="AR64" s="445"/>
      <c r="AS64" s="445"/>
      <c r="AT64" s="445"/>
      <c r="AU64" s="445"/>
      <c r="AV64" s="445"/>
      <c r="AW64" s="445"/>
      <c r="AX64" s="445"/>
      <c r="AY64" s="479"/>
      <c r="AZ64" s="54"/>
    </row>
    <row r="65" spans="1:52">
      <c r="A65" s="449">
        <v>31</v>
      </c>
      <c r="B65" s="67">
        <v>126</v>
      </c>
      <c r="C65" s="56" t="s">
        <v>67</v>
      </c>
      <c r="D65" s="56" t="s">
        <v>31</v>
      </c>
      <c r="E65" s="71" t="s">
        <v>32</v>
      </c>
      <c r="F65" s="142" t="s">
        <v>24</v>
      </c>
      <c r="G65" s="123" t="s">
        <v>14</v>
      </c>
      <c r="H65" s="123" t="s">
        <v>14</v>
      </c>
      <c r="I65" s="123" t="s">
        <v>14</v>
      </c>
      <c r="J65" s="123" t="s">
        <v>14</v>
      </c>
      <c r="K65" s="123" t="s">
        <v>14</v>
      </c>
      <c r="L65" s="123" t="s">
        <v>14</v>
      </c>
      <c r="M65" s="123" t="s">
        <v>14</v>
      </c>
      <c r="N65" s="123" t="s">
        <v>14</v>
      </c>
      <c r="O65" s="123" t="s">
        <v>14</v>
      </c>
      <c r="P65" s="123" t="s">
        <v>14</v>
      </c>
      <c r="Q65" s="123" t="s">
        <v>14</v>
      </c>
      <c r="R65" s="123" t="s">
        <v>14</v>
      </c>
      <c r="S65" s="123" t="s">
        <v>14</v>
      </c>
      <c r="T65" s="123" t="s">
        <v>14</v>
      </c>
      <c r="U65" s="123" t="s">
        <v>14</v>
      </c>
      <c r="V65" s="123" t="s">
        <v>14</v>
      </c>
      <c r="W65" s="123" t="s">
        <v>14</v>
      </c>
      <c r="X65" s="123" t="s">
        <v>23</v>
      </c>
      <c r="Y65" s="123" t="s">
        <v>14</v>
      </c>
      <c r="Z65" s="123" t="s">
        <v>14</v>
      </c>
      <c r="AA65" s="123" t="s">
        <v>14</v>
      </c>
      <c r="AB65" s="123" t="s">
        <v>14</v>
      </c>
      <c r="AC65" s="123" t="s">
        <v>23</v>
      </c>
      <c r="AD65" s="123" t="s">
        <v>14</v>
      </c>
      <c r="AE65" s="123" t="s">
        <v>14</v>
      </c>
      <c r="AF65" s="123" t="s">
        <v>23</v>
      </c>
      <c r="AG65" s="123" t="s">
        <v>14</v>
      </c>
      <c r="AH65" s="123" t="s">
        <v>14</v>
      </c>
      <c r="AI65" s="123" t="s">
        <v>23</v>
      </c>
      <c r="AJ65" s="123" t="s">
        <v>14</v>
      </c>
      <c r="AK65" s="30">
        <f>COUNTIF($F65:$AJ65,$C$128)</f>
        <v>26</v>
      </c>
      <c r="AL65" s="30">
        <f>COUNTIF($F65:$AJ65,$C$129)</f>
        <v>0</v>
      </c>
      <c r="AM65" s="30">
        <f>COUNTIF($F65:$AJ65,$C$130)</f>
        <v>0</v>
      </c>
      <c r="AN65" s="30">
        <f>COUNTIF($F65:$AJ65,$C$131)</f>
        <v>0</v>
      </c>
      <c r="AO65" s="30">
        <f>COUNTIF($F65:$AJ65,$C$132)</f>
        <v>0</v>
      </c>
      <c r="AP65" s="30">
        <f>COUNTIF($F65:$AJ65,$C$133)</f>
        <v>0</v>
      </c>
      <c r="AQ65" s="30">
        <f>COUNTIF($F65:$AJ65,$C$134)</f>
        <v>0</v>
      </c>
      <c r="AR65" s="30">
        <f>COUNTIF($F65:$AJ65,$C$135)</f>
        <v>0</v>
      </c>
      <c r="AS65" s="30">
        <f>COUNTIF($F65:$AJ65,$C$136)</f>
        <v>0</v>
      </c>
      <c r="AT65" s="30">
        <f>COUNTIF($F65:$AJ65,$C$137)</f>
        <v>4</v>
      </c>
      <c r="AU65" s="30">
        <f>COUNTIF($F65:$AJ65,$C$138)</f>
        <v>1</v>
      </c>
      <c r="AV65" s="30">
        <f>COUNTIF($F65:$AJ65,$C$139)</f>
        <v>0</v>
      </c>
      <c r="AW65" s="30">
        <f>COUNTIF($F65:$AJ65,$C$140)</f>
        <v>0</v>
      </c>
      <c r="AX65" s="30">
        <f>COUNTIF($F65:$AJ65,$C$141)</f>
        <v>0</v>
      </c>
      <c r="AY65" s="30">
        <f>COUNTA(F65:AJ65)</f>
        <v>31</v>
      </c>
      <c r="AZ65" s="54">
        <f>AK65+AU65</f>
        <v>27</v>
      </c>
    </row>
    <row r="66" spans="1:52">
      <c r="A66" s="450"/>
      <c r="B66" s="60"/>
      <c r="C66" s="61"/>
      <c r="D66" s="61"/>
      <c r="E66" s="73" t="s">
        <v>34</v>
      </c>
      <c r="F66" s="143"/>
      <c r="G66" s="26"/>
      <c r="H66" s="26">
        <v>3</v>
      </c>
      <c r="I66" s="26"/>
      <c r="J66" s="26"/>
      <c r="K66" s="26"/>
      <c r="L66" s="26"/>
      <c r="M66" s="26">
        <v>1</v>
      </c>
      <c r="N66" s="26"/>
      <c r="O66" s="26"/>
      <c r="P66" s="26">
        <v>3</v>
      </c>
      <c r="Q66" s="26"/>
      <c r="R66" s="26"/>
      <c r="S66" s="26"/>
      <c r="T66" s="26">
        <v>2</v>
      </c>
      <c r="U66" s="26">
        <v>2</v>
      </c>
      <c r="V66" s="26"/>
      <c r="W66" s="26"/>
      <c r="X66" s="26"/>
      <c r="Y66" s="28"/>
      <c r="Z66" s="29">
        <v>5</v>
      </c>
      <c r="AA66" s="26"/>
      <c r="AB66" s="26">
        <v>3</v>
      </c>
      <c r="AC66" s="26"/>
      <c r="AD66" s="25"/>
      <c r="AE66" s="25"/>
      <c r="AF66" s="25"/>
      <c r="AG66" s="25"/>
      <c r="AH66" s="25"/>
      <c r="AI66" s="25"/>
      <c r="AJ66" s="25"/>
      <c r="AK66" s="459">
        <f>SUM(F66:AJ66)</f>
        <v>19</v>
      </c>
      <c r="AL66" s="445"/>
      <c r="AM66" s="445"/>
      <c r="AN66" s="445"/>
      <c r="AO66" s="445"/>
      <c r="AP66" s="445"/>
      <c r="AQ66" s="445"/>
      <c r="AR66" s="445"/>
      <c r="AS66" s="445"/>
      <c r="AT66" s="445"/>
      <c r="AU66" s="445"/>
      <c r="AV66" s="445"/>
      <c r="AW66" s="445"/>
      <c r="AX66" s="445"/>
      <c r="AY66" s="479"/>
      <c r="AZ66" s="54"/>
    </row>
    <row r="67" spans="1:52">
      <c r="A67" s="449">
        <v>32</v>
      </c>
      <c r="B67" s="67">
        <v>96</v>
      </c>
      <c r="C67" s="56" t="s">
        <v>68</v>
      </c>
      <c r="D67" s="56" t="s">
        <v>31</v>
      </c>
      <c r="E67" s="71" t="s">
        <v>32</v>
      </c>
      <c r="F67" s="142" t="s">
        <v>24</v>
      </c>
      <c r="G67" s="123" t="s">
        <v>14</v>
      </c>
      <c r="H67" s="123" t="s">
        <v>14</v>
      </c>
      <c r="I67" s="123" t="s">
        <v>14</v>
      </c>
      <c r="J67" s="123" t="s">
        <v>14</v>
      </c>
      <c r="K67" s="123" t="s">
        <v>14</v>
      </c>
      <c r="L67" s="123" t="s">
        <v>14</v>
      </c>
      <c r="M67" s="123" t="s">
        <v>23</v>
      </c>
      <c r="N67" s="123" t="s">
        <v>14</v>
      </c>
      <c r="O67" s="123" t="s">
        <v>14</v>
      </c>
      <c r="P67" s="123" t="s">
        <v>14</v>
      </c>
      <c r="Q67" s="123" t="s">
        <v>14</v>
      </c>
      <c r="R67" s="123" t="s">
        <v>14</v>
      </c>
      <c r="S67" s="123" t="s">
        <v>14</v>
      </c>
      <c r="T67" s="123" t="s">
        <v>14</v>
      </c>
      <c r="U67" s="123" t="s">
        <v>24</v>
      </c>
      <c r="V67" s="123" t="s">
        <v>14</v>
      </c>
      <c r="W67" s="123" t="s">
        <v>14</v>
      </c>
      <c r="X67" s="123" t="s">
        <v>14</v>
      </c>
      <c r="Y67" s="123" t="s">
        <v>14</v>
      </c>
      <c r="Z67" s="123" t="s">
        <v>14</v>
      </c>
      <c r="AA67" s="123" t="s">
        <v>14</v>
      </c>
      <c r="AB67" s="123" t="s">
        <v>23</v>
      </c>
      <c r="AC67" s="123" t="s">
        <v>14</v>
      </c>
      <c r="AD67" s="123" t="s">
        <v>14</v>
      </c>
      <c r="AE67" s="123" t="s">
        <v>14</v>
      </c>
      <c r="AF67" s="123" t="s">
        <v>14</v>
      </c>
      <c r="AG67" s="123" t="s">
        <v>23</v>
      </c>
      <c r="AH67" s="123" t="s">
        <v>14</v>
      </c>
      <c r="AI67" s="123" t="s">
        <v>14</v>
      </c>
      <c r="AJ67" s="123" t="s">
        <v>14</v>
      </c>
      <c r="AK67" s="30">
        <f>COUNTIF($F67:$AJ67,$C$128)</f>
        <v>26</v>
      </c>
      <c r="AL67" s="30">
        <f>COUNTIF($F67:$AJ67,$C$129)</f>
        <v>0</v>
      </c>
      <c r="AM67" s="30">
        <f>COUNTIF($F67:$AJ67,$C$130)</f>
        <v>0</v>
      </c>
      <c r="AN67" s="30">
        <f>COUNTIF($F67:$AJ67,$C$131)</f>
        <v>0</v>
      </c>
      <c r="AO67" s="30">
        <f>COUNTIF($F67:$AJ67,$C$132)</f>
        <v>0</v>
      </c>
      <c r="AP67" s="30">
        <f>COUNTIF($F67:$AJ67,$C$133)</f>
        <v>0</v>
      </c>
      <c r="AQ67" s="30">
        <f>COUNTIF($F67:$AJ67,$C$134)</f>
        <v>0</v>
      </c>
      <c r="AR67" s="30">
        <f>COUNTIF($F67:$AJ67,$C$135)</f>
        <v>0</v>
      </c>
      <c r="AS67" s="30">
        <f>COUNTIF($F67:$AJ67,$C$136)</f>
        <v>0</v>
      </c>
      <c r="AT67" s="30">
        <f>COUNTIF($F67:$AJ67,$C$137)</f>
        <v>3</v>
      </c>
      <c r="AU67" s="30">
        <f>COUNTIF($F67:$AJ67,$C$138)</f>
        <v>2</v>
      </c>
      <c r="AV67" s="30">
        <f>COUNTIF($F67:$AJ67,$C$139)</f>
        <v>0</v>
      </c>
      <c r="AW67" s="30">
        <f>COUNTIF($F67:$AJ67,$C$140)</f>
        <v>0</v>
      </c>
      <c r="AX67" s="30">
        <f>COUNTIF($F67:$AJ67,$C$141)</f>
        <v>0</v>
      </c>
      <c r="AY67" s="30">
        <f>COUNTA(F67:AJ67)</f>
        <v>31</v>
      </c>
      <c r="AZ67" s="54">
        <f>AK67+AU67</f>
        <v>28</v>
      </c>
    </row>
    <row r="68" spans="1:52">
      <c r="A68" s="450"/>
      <c r="B68" s="60"/>
      <c r="C68" s="61"/>
      <c r="D68" s="61"/>
      <c r="E68" s="73" t="s">
        <v>34</v>
      </c>
      <c r="F68" s="143"/>
      <c r="G68" s="123">
        <v>5</v>
      </c>
      <c r="H68" s="26"/>
      <c r="I68" s="26"/>
      <c r="J68" s="123"/>
      <c r="K68" s="26"/>
      <c r="L68" s="44"/>
      <c r="M68" s="44"/>
      <c r="N68" s="123"/>
      <c r="O68" s="44"/>
      <c r="P68" s="26"/>
      <c r="Q68" s="26"/>
      <c r="R68" s="26"/>
      <c r="S68" s="26"/>
      <c r="T68" s="26"/>
      <c r="U68" s="26"/>
      <c r="V68" s="26"/>
      <c r="W68" s="26"/>
      <c r="X68" s="26"/>
      <c r="Y68" s="28"/>
      <c r="Z68" s="29"/>
      <c r="AA68" s="26"/>
      <c r="AB68" s="26"/>
      <c r="AC68" s="26"/>
      <c r="AD68" s="25"/>
      <c r="AE68" s="25"/>
      <c r="AF68" s="24"/>
      <c r="AG68" s="24"/>
      <c r="AH68" s="24"/>
      <c r="AI68" s="25"/>
      <c r="AJ68" s="25"/>
      <c r="AK68" s="459">
        <f>SUM(F68:AJ68)</f>
        <v>5</v>
      </c>
      <c r="AL68" s="445"/>
      <c r="AM68" s="445"/>
      <c r="AN68" s="445"/>
      <c r="AO68" s="445"/>
      <c r="AP68" s="445"/>
      <c r="AQ68" s="445"/>
      <c r="AR68" s="445"/>
      <c r="AS68" s="445"/>
      <c r="AT68" s="445"/>
      <c r="AU68" s="445"/>
      <c r="AV68" s="445"/>
      <c r="AW68" s="445"/>
      <c r="AX68" s="445"/>
      <c r="AY68" s="479"/>
      <c r="AZ68" s="54"/>
    </row>
    <row r="69" spans="1:52">
      <c r="A69" s="449">
        <v>33</v>
      </c>
      <c r="B69" s="67">
        <v>122</v>
      </c>
      <c r="C69" s="56" t="s">
        <v>69</v>
      </c>
      <c r="D69" s="56" t="s">
        <v>31</v>
      </c>
      <c r="E69" s="71" t="s">
        <v>32</v>
      </c>
      <c r="F69" s="142" t="s">
        <v>24</v>
      </c>
      <c r="G69" s="123" t="s">
        <v>14</v>
      </c>
      <c r="H69" s="123" t="s">
        <v>14</v>
      </c>
      <c r="I69" s="123" t="s">
        <v>14</v>
      </c>
      <c r="J69" s="123" t="s">
        <v>23</v>
      </c>
      <c r="K69" s="123" t="s">
        <v>14</v>
      </c>
      <c r="L69" s="123" t="s">
        <v>14</v>
      </c>
      <c r="M69" s="123" t="s">
        <v>14</v>
      </c>
      <c r="N69" s="123" t="s">
        <v>14</v>
      </c>
      <c r="O69" s="123" t="s">
        <v>14</v>
      </c>
      <c r="P69" s="123" t="s">
        <v>14</v>
      </c>
      <c r="Q69" s="330" t="s">
        <v>19</v>
      </c>
      <c r="R69" s="330" t="s">
        <v>19</v>
      </c>
      <c r="S69" s="330" t="s">
        <v>19</v>
      </c>
      <c r="T69" s="123" t="s">
        <v>14</v>
      </c>
      <c r="U69" s="123" t="s">
        <v>24</v>
      </c>
      <c r="V69" s="123" t="s">
        <v>14</v>
      </c>
      <c r="W69" s="123" t="s">
        <v>14</v>
      </c>
      <c r="X69" s="123" t="s">
        <v>14</v>
      </c>
      <c r="Y69" s="123" t="s">
        <v>14</v>
      </c>
      <c r="Z69" s="123" t="s">
        <v>14</v>
      </c>
      <c r="AA69" s="123" t="s">
        <v>14</v>
      </c>
      <c r="AB69" s="123" t="s">
        <v>23</v>
      </c>
      <c r="AC69" s="123" t="s">
        <v>14</v>
      </c>
      <c r="AD69" s="123" t="s">
        <v>14</v>
      </c>
      <c r="AE69" s="123" t="s">
        <v>14</v>
      </c>
      <c r="AF69" s="123" t="s">
        <v>14</v>
      </c>
      <c r="AG69" s="123" t="s">
        <v>14</v>
      </c>
      <c r="AH69" s="123" t="s">
        <v>14</v>
      </c>
      <c r="AI69" s="123" t="s">
        <v>14</v>
      </c>
      <c r="AJ69" s="123" t="s">
        <v>23</v>
      </c>
      <c r="AK69" s="30">
        <f>COUNTIF($F69:$AJ69,$C$128)</f>
        <v>23</v>
      </c>
      <c r="AL69" s="30">
        <f>COUNTIF($F69:$AJ69,$C$129)</f>
        <v>0</v>
      </c>
      <c r="AM69" s="30">
        <f>COUNTIF($F69:$AJ69,$C$130)</f>
        <v>0</v>
      </c>
      <c r="AN69" s="30">
        <f>COUNTIF($F69:$AJ69,$C$131)</f>
        <v>0</v>
      </c>
      <c r="AO69" s="30">
        <f>COUNTIF($F69:$AJ69,$C$132)</f>
        <v>0</v>
      </c>
      <c r="AP69" s="331">
        <f>COUNTIF($F69:$AJ69,$C$133)</f>
        <v>3</v>
      </c>
      <c r="AQ69" s="30">
        <f>COUNTIF($F69:$AJ69,$C$134)</f>
        <v>0</v>
      </c>
      <c r="AR69" s="30">
        <f>COUNTIF($F69:$AJ69,$C$135)</f>
        <v>0</v>
      </c>
      <c r="AS69" s="30">
        <f>COUNTIF($F69:$AJ69,$C$136)</f>
        <v>0</v>
      </c>
      <c r="AT69" s="30">
        <f>COUNTIF($F69:$AJ69,$C$137)</f>
        <v>3</v>
      </c>
      <c r="AU69" s="30">
        <f>COUNTIF($F69:$AJ69,$C$138)</f>
        <v>2</v>
      </c>
      <c r="AV69" s="30">
        <f>COUNTIF($F69:$AJ69,$C$139)</f>
        <v>0</v>
      </c>
      <c r="AW69" s="30">
        <f>COUNTIF($F69:$AJ69,$C$140)</f>
        <v>0</v>
      </c>
      <c r="AX69" s="30">
        <f>COUNTIF($F69:$AJ69,$C$141)</f>
        <v>0</v>
      </c>
      <c r="AY69" s="30">
        <f>COUNTA(F69:AJ69)</f>
        <v>31</v>
      </c>
      <c r="AZ69" s="54">
        <f>AK69+AU69</f>
        <v>25</v>
      </c>
    </row>
    <row r="70" spans="1:52">
      <c r="A70" s="450"/>
      <c r="B70" s="60"/>
      <c r="C70" s="61"/>
      <c r="D70" s="61"/>
      <c r="E70" s="73" t="s">
        <v>34</v>
      </c>
      <c r="F70" s="143"/>
      <c r="G70" s="123"/>
      <c r="H70" s="26"/>
      <c r="I70" s="26">
        <v>1</v>
      </c>
      <c r="J70" s="123"/>
      <c r="K70" s="26"/>
      <c r="L70" s="44"/>
      <c r="M70" s="44"/>
      <c r="N70" s="123"/>
      <c r="O70" s="44"/>
      <c r="P70" s="26"/>
      <c r="Q70" s="26"/>
      <c r="R70" s="26"/>
      <c r="S70" s="26"/>
      <c r="T70" s="26"/>
      <c r="U70" s="26"/>
      <c r="V70" s="26"/>
      <c r="W70" s="26"/>
      <c r="X70" s="26">
        <v>1</v>
      </c>
      <c r="Y70" s="28"/>
      <c r="Z70" s="29"/>
      <c r="AA70" s="26">
        <v>1</v>
      </c>
      <c r="AB70" s="26"/>
      <c r="AC70" s="26">
        <v>1</v>
      </c>
      <c r="AD70" s="25">
        <v>1</v>
      </c>
      <c r="AE70" s="25"/>
      <c r="AF70" s="24"/>
      <c r="AG70" s="24"/>
      <c r="AH70" s="24"/>
      <c r="AI70" s="25"/>
      <c r="AJ70" s="25"/>
      <c r="AK70" s="459">
        <f>SUM(F70:AJ70)</f>
        <v>5</v>
      </c>
      <c r="AL70" s="445"/>
      <c r="AM70" s="445"/>
      <c r="AN70" s="445"/>
      <c r="AO70" s="445"/>
      <c r="AP70" s="445"/>
      <c r="AQ70" s="445"/>
      <c r="AR70" s="445"/>
      <c r="AS70" s="445"/>
      <c r="AT70" s="445"/>
      <c r="AU70" s="445"/>
      <c r="AV70" s="445"/>
      <c r="AW70" s="445"/>
      <c r="AX70" s="445"/>
      <c r="AY70" s="479"/>
      <c r="AZ70" s="54"/>
    </row>
    <row r="71" spans="1:52">
      <c r="A71" s="449">
        <v>34</v>
      </c>
      <c r="B71" s="67">
        <v>121</v>
      </c>
      <c r="C71" s="56" t="s">
        <v>70</v>
      </c>
      <c r="D71" s="56" t="s">
        <v>31</v>
      </c>
      <c r="E71" s="71" t="s">
        <v>32</v>
      </c>
      <c r="F71" s="142" t="s">
        <v>24</v>
      </c>
      <c r="G71" s="123" t="s">
        <v>14</v>
      </c>
      <c r="H71" s="123" t="s">
        <v>14</v>
      </c>
      <c r="I71" s="123" t="s">
        <v>14</v>
      </c>
      <c r="J71" s="123" t="s">
        <v>14</v>
      </c>
      <c r="K71" s="123" t="s">
        <v>14</v>
      </c>
      <c r="L71" s="123" t="s">
        <v>14</v>
      </c>
      <c r="M71" s="123" t="s">
        <v>14</v>
      </c>
      <c r="N71" s="123" t="s">
        <v>14</v>
      </c>
      <c r="O71" s="123" t="s">
        <v>23</v>
      </c>
      <c r="P71" s="330" t="s">
        <v>19</v>
      </c>
      <c r="Q71" s="330" t="s">
        <v>19</v>
      </c>
      <c r="R71" s="123" t="s">
        <v>14</v>
      </c>
      <c r="S71" s="123" t="s">
        <v>14</v>
      </c>
      <c r="T71" s="123" t="s">
        <v>14</v>
      </c>
      <c r="U71" s="123" t="s">
        <v>14</v>
      </c>
      <c r="V71" s="123" t="s">
        <v>14</v>
      </c>
      <c r="W71" s="123" t="s">
        <v>14</v>
      </c>
      <c r="X71" s="123" t="s">
        <v>14</v>
      </c>
      <c r="Y71" s="123" t="s">
        <v>14</v>
      </c>
      <c r="Z71" s="123" t="s">
        <v>24</v>
      </c>
      <c r="AA71" s="123" t="s">
        <v>14</v>
      </c>
      <c r="AB71" s="123" t="s">
        <v>14</v>
      </c>
      <c r="AC71" s="123" t="s">
        <v>14</v>
      </c>
      <c r="AD71" s="123" t="s">
        <v>14</v>
      </c>
      <c r="AE71" s="123" t="s">
        <v>14</v>
      </c>
      <c r="AF71" s="123" t="s">
        <v>23</v>
      </c>
      <c r="AG71" s="123" t="s">
        <v>14</v>
      </c>
      <c r="AH71" s="123" t="s">
        <v>14</v>
      </c>
      <c r="AI71" s="123" t="s">
        <v>23</v>
      </c>
      <c r="AJ71" s="123" t="s">
        <v>14</v>
      </c>
      <c r="AK71" s="30">
        <f>COUNTIF($F71:$AJ71,$C$128)</f>
        <v>24</v>
      </c>
      <c r="AL71" s="30">
        <f>COUNTIF($F71:$AJ71,$C$129)</f>
        <v>0</v>
      </c>
      <c r="AM71" s="30">
        <f>COUNTIF($F71:$AJ71,$C$130)</f>
        <v>0</v>
      </c>
      <c r="AN71" s="30">
        <f>COUNTIF($F71:$AJ71,$C$131)</f>
        <v>0</v>
      </c>
      <c r="AO71" s="30">
        <f>COUNTIF($F71:$AJ71,$C$132)</f>
        <v>0</v>
      </c>
      <c r="AP71" s="331">
        <f>COUNTIF($F71:$AJ71,$C$133)</f>
        <v>2</v>
      </c>
      <c r="AQ71" s="30">
        <f>COUNTIF($F71:$AJ71,$C$134)</f>
        <v>0</v>
      </c>
      <c r="AR71" s="30">
        <f>COUNTIF($F71:$AJ71,$C$135)</f>
        <v>0</v>
      </c>
      <c r="AS71" s="30">
        <f>COUNTIF($F71:$AJ71,$C$136)</f>
        <v>0</v>
      </c>
      <c r="AT71" s="30">
        <f>COUNTIF($F71:$AJ71,$C$137)</f>
        <v>3</v>
      </c>
      <c r="AU71" s="30">
        <f>COUNTIF($F71:$AJ71,$C$138)</f>
        <v>2</v>
      </c>
      <c r="AV71" s="30">
        <f>COUNTIF($F71:$AJ71,$C$139)</f>
        <v>0</v>
      </c>
      <c r="AW71" s="30">
        <f>COUNTIF($F71:$AJ71,$C$140)</f>
        <v>0</v>
      </c>
      <c r="AX71" s="30">
        <f>COUNTIF($F71:$AJ71,$C$141)</f>
        <v>0</v>
      </c>
      <c r="AY71" s="30">
        <f>COUNTA(F71:AJ71)</f>
        <v>31</v>
      </c>
      <c r="AZ71" s="54">
        <f>AK71+AU71</f>
        <v>26</v>
      </c>
    </row>
    <row r="72" spans="1:52">
      <c r="A72" s="450"/>
      <c r="B72" s="60"/>
      <c r="C72" s="61"/>
      <c r="D72" s="61"/>
      <c r="E72" s="73" t="s">
        <v>34</v>
      </c>
      <c r="F72" s="143"/>
      <c r="G72" s="123"/>
      <c r="H72" s="26"/>
      <c r="I72" s="26"/>
      <c r="J72" s="123">
        <v>1</v>
      </c>
      <c r="K72" s="26"/>
      <c r="L72" s="44"/>
      <c r="M72" s="44"/>
      <c r="N72" s="123"/>
      <c r="O72" s="44"/>
      <c r="P72" s="26"/>
      <c r="Q72" s="26"/>
      <c r="R72" s="26">
        <v>1</v>
      </c>
      <c r="S72" s="26"/>
      <c r="T72" s="26"/>
      <c r="U72" s="26"/>
      <c r="V72" s="26"/>
      <c r="W72" s="26"/>
      <c r="X72" s="26"/>
      <c r="Y72" s="28"/>
      <c r="Z72" s="29"/>
      <c r="AA72" s="26"/>
      <c r="AB72" s="26"/>
      <c r="AC72" s="26"/>
      <c r="AD72" s="25"/>
      <c r="AE72" s="25"/>
      <c r="AF72" s="24"/>
      <c r="AG72" s="24"/>
      <c r="AH72" s="24"/>
      <c r="AI72" s="25"/>
      <c r="AJ72" s="25">
        <v>1</v>
      </c>
      <c r="AK72" s="459">
        <f>SUM(F72:AJ72)</f>
        <v>3</v>
      </c>
      <c r="AL72" s="445"/>
      <c r="AM72" s="445"/>
      <c r="AN72" s="445"/>
      <c r="AO72" s="445"/>
      <c r="AP72" s="445"/>
      <c r="AQ72" s="445"/>
      <c r="AR72" s="445"/>
      <c r="AS72" s="445"/>
      <c r="AT72" s="445"/>
      <c r="AU72" s="445"/>
      <c r="AV72" s="445"/>
      <c r="AW72" s="445"/>
      <c r="AX72" s="445"/>
      <c r="AY72" s="479"/>
      <c r="AZ72" s="54"/>
    </row>
    <row r="73" spans="1:52">
      <c r="A73" s="449">
        <v>35</v>
      </c>
      <c r="B73" s="67">
        <v>86</v>
      </c>
      <c r="C73" s="56" t="s">
        <v>71</v>
      </c>
      <c r="D73" s="56" t="s">
        <v>31</v>
      </c>
      <c r="E73" s="71" t="s">
        <v>32</v>
      </c>
      <c r="F73" s="142" t="s">
        <v>24</v>
      </c>
      <c r="G73" s="123" t="s">
        <v>14</v>
      </c>
      <c r="H73" s="123" t="s">
        <v>14</v>
      </c>
      <c r="I73" s="123" t="s">
        <v>14</v>
      </c>
      <c r="J73" s="123" t="s">
        <v>14</v>
      </c>
      <c r="K73" s="123" t="s">
        <v>14</v>
      </c>
      <c r="L73" s="123" t="s">
        <v>14</v>
      </c>
      <c r="M73" s="123" t="s">
        <v>23</v>
      </c>
      <c r="N73" s="123" t="s">
        <v>14</v>
      </c>
      <c r="O73" s="123" t="s">
        <v>14</v>
      </c>
      <c r="P73" s="123" t="s">
        <v>14</v>
      </c>
      <c r="Q73" s="123" t="s">
        <v>14</v>
      </c>
      <c r="R73" s="123" t="s">
        <v>14</v>
      </c>
      <c r="S73" s="123" t="s">
        <v>24</v>
      </c>
      <c r="T73" s="123" t="s">
        <v>14</v>
      </c>
      <c r="U73" s="123" t="s">
        <v>14</v>
      </c>
      <c r="V73" s="123" t="s">
        <v>14</v>
      </c>
      <c r="W73" s="123" t="s">
        <v>14</v>
      </c>
      <c r="X73" s="123" t="s">
        <v>14</v>
      </c>
      <c r="Y73" s="123" t="s">
        <v>23</v>
      </c>
      <c r="Z73" s="123" t="s">
        <v>14</v>
      </c>
      <c r="AA73" s="123" t="s">
        <v>14</v>
      </c>
      <c r="AB73" s="123" t="s">
        <v>14</v>
      </c>
      <c r="AC73" s="123" t="s">
        <v>14</v>
      </c>
      <c r="AD73" s="123" t="s">
        <v>14</v>
      </c>
      <c r="AE73" s="123" t="s">
        <v>14</v>
      </c>
      <c r="AF73" s="123" t="s">
        <v>23</v>
      </c>
      <c r="AG73" s="123" t="s">
        <v>14</v>
      </c>
      <c r="AH73" s="123" t="s">
        <v>14</v>
      </c>
      <c r="AI73" s="123" t="s">
        <v>14</v>
      </c>
      <c r="AJ73" s="123" t="s">
        <v>14</v>
      </c>
      <c r="AK73" s="30">
        <f>COUNTIF($F73:$AJ73,$C$128)</f>
        <v>26</v>
      </c>
      <c r="AL73" s="30">
        <f>COUNTIF($F73:$AJ73,$C$129)</f>
        <v>0</v>
      </c>
      <c r="AM73" s="30">
        <f>COUNTIF($F73:$AJ73,$C$130)</f>
        <v>0</v>
      </c>
      <c r="AN73" s="30">
        <f>COUNTIF($F73:$AJ73,$C$131)</f>
        <v>0</v>
      </c>
      <c r="AO73" s="30">
        <f>COUNTIF($F73:$AJ73,$C$132)</f>
        <v>0</v>
      </c>
      <c r="AP73" s="30">
        <f>COUNTIF($F73:$AJ73,$C$133)</f>
        <v>0</v>
      </c>
      <c r="AQ73" s="30">
        <f>COUNTIF($F73:$AJ73,$C$134)</f>
        <v>0</v>
      </c>
      <c r="AR73" s="30">
        <f>COUNTIF($F73:$AJ73,$C$135)</f>
        <v>0</v>
      </c>
      <c r="AS73" s="7">
        <f>COUNTIF($F73:$AJ73,$C$136)</f>
        <v>0</v>
      </c>
      <c r="AT73" s="30">
        <f>COUNTIF($F73:$AJ73,$C$137)</f>
        <v>3</v>
      </c>
      <c r="AU73" s="30">
        <f>COUNTIF($F73:$AJ73,$C$138)</f>
        <v>2</v>
      </c>
      <c r="AV73" s="30">
        <f>COUNTIF($F73:$AJ73,$C$139)</f>
        <v>0</v>
      </c>
      <c r="AW73" s="30">
        <f>COUNTIF($F73:$AJ73,$C$140)</f>
        <v>0</v>
      </c>
      <c r="AX73" s="30">
        <f>COUNTIF($F73:$AJ73,$C$141)</f>
        <v>0</v>
      </c>
      <c r="AY73" s="30">
        <f>COUNTA(F73:AJ73)</f>
        <v>31</v>
      </c>
      <c r="AZ73" s="54">
        <f>AK73+AU73</f>
        <v>28</v>
      </c>
    </row>
    <row r="74" spans="1:52">
      <c r="A74" s="450"/>
      <c r="B74" s="60"/>
      <c r="C74" s="61"/>
      <c r="D74" s="61"/>
      <c r="E74" s="73" t="s">
        <v>34</v>
      </c>
      <c r="F74" s="143"/>
      <c r="G74" s="123">
        <v>5</v>
      </c>
      <c r="H74" s="26"/>
      <c r="I74" s="26"/>
      <c r="J74" s="123"/>
      <c r="K74" s="26"/>
      <c r="L74" s="44"/>
      <c r="M74" s="44"/>
      <c r="N74" s="123"/>
      <c r="O74" s="44"/>
      <c r="P74" s="26"/>
      <c r="Q74" s="26"/>
      <c r="R74" s="26">
        <v>3</v>
      </c>
      <c r="S74" s="26"/>
      <c r="T74" s="26"/>
      <c r="U74" s="26"/>
      <c r="V74" s="26"/>
      <c r="W74" s="26"/>
      <c r="X74" s="26"/>
      <c r="Y74" s="28"/>
      <c r="Z74" s="29"/>
      <c r="AA74" s="26"/>
      <c r="AB74" s="26"/>
      <c r="AC74" s="26"/>
      <c r="AD74" s="25"/>
      <c r="AE74" s="25"/>
      <c r="AF74" s="24"/>
      <c r="AG74" s="24">
        <v>3</v>
      </c>
      <c r="AH74" s="24"/>
      <c r="AI74" s="25"/>
      <c r="AJ74" s="25"/>
      <c r="AK74" s="459">
        <f>SUM(F74:AJ74)</f>
        <v>11</v>
      </c>
      <c r="AL74" s="445"/>
      <c r="AM74" s="445"/>
      <c r="AN74" s="445"/>
      <c r="AO74" s="445"/>
      <c r="AP74" s="445"/>
      <c r="AQ74" s="445"/>
      <c r="AR74" s="445"/>
      <c r="AS74" s="445"/>
      <c r="AT74" s="445"/>
      <c r="AU74" s="445"/>
      <c r="AV74" s="445"/>
      <c r="AW74" s="445"/>
      <c r="AX74" s="445"/>
      <c r="AY74" s="479"/>
      <c r="AZ74" s="54"/>
    </row>
    <row r="75" spans="1:52">
      <c r="A75" s="449">
        <v>36</v>
      </c>
      <c r="B75" s="67">
        <v>81</v>
      </c>
      <c r="C75" s="56" t="s">
        <v>72</v>
      </c>
      <c r="D75" s="56" t="s">
        <v>31</v>
      </c>
      <c r="E75" s="71" t="s">
        <v>32</v>
      </c>
      <c r="F75" s="144" t="s">
        <v>23</v>
      </c>
      <c r="G75" s="123" t="s">
        <v>14</v>
      </c>
      <c r="H75" s="123" t="s">
        <v>14</v>
      </c>
      <c r="I75" s="123" t="s">
        <v>14</v>
      </c>
      <c r="J75" s="123" t="s">
        <v>14</v>
      </c>
      <c r="K75" s="123" t="s">
        <v>14</v>
      </c>
      <c r="L75" s="123" t="s">
        <v>23</v>
      </c>
      <c r="M75" s="123" t="s">
        <v>14</v>
      </c>
      <c r="N75" s="123" t="s">
        <v>14</v>
      </c>
      <c r="O75" s="123" t="s">
        <v>14</v>
      </c>
      <c r="P75" s="123" t="s">
        <v>14</v>
      </c>
      <c r="Q75" s="123" t="s">
        <v>14</v>
      </c>
      <c r="R75" s="123" t="s">
        <v>14</v>
      </c>
      <c r="S75" s="123" t="s">
        <v>14</v>
      </c>
      <c r="T75" s="123" t="s">
        <v>14</v>
      </c>
      <c r="U75" s="123" t="s">
        <v>14</v>
      </c>
      <c r="V75" s="123" t="s">
        <v>14</v>
      </c>
      <c r="W75" s="123" t="s">
        <v>23</v>
      </c>
      <c r="X75" s="123" t="s">
        <v>14</v>
      </c>
      <c r="Y75" s="123" t="s">
        <v>14</v>
      </c>
      <c r="Z75" s="123" t="s">
        <v>14</v>
      </c>
      <c r="AA75" s="123" t="s">
        <v>14</v>
      </c>
      <c r="AB75" s="123" t="s">
        <v>14</v>
      </c>
      <c r="AC75" s="123" t="s">
        <v>14</v>
      </c>
      <c r="AD75" s="123" t="s">
        <v>23</v>
      </c>
      <c r="AE75" s="123" t="s">
        <v>14</v>
      </c>
      <c r="AF75" s="123" t="s">
        <v>14</v>
      </c>
      <c r="AG75" s="123" t="s">
        <v>14</v>
      </c>
      <c r="AH75" s="123" t="s">
        <v>14</v>
      </c>
      <c r="AI75" s="123" t="s">
        <v>14</v>
      </c>
      <c r="AJ75" s="123" t="s">
        <v>14</v>
      </c>
      <c r="AK75" s="30">
        <f>COUNTIF($F75:$AJ75,$C$128)</f>
        <v>27</v>
      </c>
      <c r="AL75" s="30">
        <f>COUNTIF($F75:$AJ75,$C$129)</f>
        <v>0</v>
      </c>
      <c r="AM75" s="30">
        <f>COUNTIF($F75:$AJ75,$C$130)</f>
        <v>0</v>
      </c>
      <c r="AN75" s="30">
        <f>COUNTIF($F75:$AJ75,$C$131)</f>
        <v>0</v>
      </c>
      <c r="AO75" s="30">
        <f>COUNTIF($F75:$AJ75,$C$132)</f>
        <v>0</v>
      </c>
      <c r="AP75" s="30">
        <f>COUNTIF($F75:$AJ75,$C$133)</f>
        <v>0</v>
      </c>
      <c r="AQ75" s="30">
        <f>COUNTIF($F75:$AJ75,$C$134)</f>
        <v>0</v>
      </c>
      <c r="AR75" s="7">
        <f>COUNTIF($F75:$AJ75,$C$135)</f>
        <v>0</v>
      </c>
      <c r="AS75" s="7">
        <f>COUNTIF($F75:$AJ75,$C$136)</f>
        <v>0</v>
      </c>
      <c r="AT75" s="7">
        <f>COUNTIF($F75:$AJ75,$C$137)</f>
        <v>4</v>
      </c>
      <c r="AU75" s="30">
        <f>COUNTIF($F75:$AJ75,$C$138)</f>
        <v>0</v>
      </c>
      <c r="AV75" s="30">
        <f>COUNTIF($F75:$AJ75,$C$139)</f>
        <v>0</v>
      </c>
      <c r="AW75" s="30">
        <f>COUNTIF($F75:$AJ75,$C$140)</f>
        <v>0</v>
      </c>
      <c r="AX75" s="30">
        <f>COUNTIF($F75:$AJ75,$C$141)</f>
        <v>0</v>
      </c>
      <c r="AY75" s="30">
        <f>COUNTA(F75:AJ75)</f>
        <v>31</v>
      </c>
      <c r="AZ75" s="54">
        <f>AK75+AU75</f>
        <v>27</v>
      </c>
    </row>
    <row r="76" spans="1:52">
      <c r="A76" s="450"/>
      <c r="B76" s="60"/>
      <c r="C76" s="61"/>
      <c r="D76" s="61"/>
      <c r="E76" s="73" t="s">
        <v>34</v>
      </c>
      <c r="F76" s="143"/>
      <c r="G76" s="123"/>
      <c r="H76" s="26">
        <v>3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8"/>
      <c r="Z76" s="29"/>
      <c r="AA76" s="26"/>
      <c r="AB76" s="26"/>
      <c r="AC76" s="26"/>
      <c r="AD76" s="25"/>
      <c r="AE76" s="25"/>
      <c r="AF76" s="25"/>
      <c r="AG76" s="25"/>
      <c r="AH76" s="25">
        <v>1</v>
      </c>
      <c r="AI76" s="25">
        <v>2</v>
      </c>
      <c r="AJ76" s="25"/>
      <c r="AK76" s="459">
        <f>SUM(F76:AJ76)</f>
        <v>6</v>
      </c>
      <c r="AL76" s="445"/>
      <c r="AM76" s="445"/>
      <c r="AN76" s="445"/>
      <c r="AO76" s="445"/>
      <c r="AP76" s="445"/>
      <c r="AQ76" s="445"/>
      <c r="AR76" s="445"/>
      <c r="AS76" s="445"/>
      <c r="AT76" s="445"/>
      <c r="AU76" s="445"/>
      <c r="AV76" s="445"/>
      <c r="AW76" s="445"/>
      <c r="AX76" s="445"/>
      <c r="AY76" s="479"/>
      <c r="AZ76" s="54"/>
    </row>
    <row r="77" spans="1:52">
      <c r="A77" s="449">
        <v>37</v>
      </c>
      <c r="B77" s="67">
        <v>116</v>
      </c>
      <c r="C77" s="56" t="s">
        <v>73</v>
      </c>
      <c r="D77" s="56" t="s">
        <v>31</v>
      </c>
      <c r="E77" s="71" t="s">
        <v>32</v>
      </c>
      <c r="F77" s="142" t="s">
        <v>24</v>
      </c>
      <c r="G77" s="123" t="s">
        <v>14</v>
      </c>
      <c r="H77" s="123" t="s">
        <v>14</v>
      </c>
      <c r="I77" s="123" t="s">
        <v>14</v>
      </c>
      <c r="J77" s="123" t="s">
        <v>14</v>
      </c>
      <c r="K77" s="123" t="s">
        <v>14</v>
      </c>
      <c r="L77" s="123" t="s">
        <v>23</v>
      </c>
      <c r="M77" s="123" t="s">
        <v>14</v>
      </c>
      <c r="N77" s="123" t="s">
        <v>14</v>
      </c>
      <c r="O77" s="123" t="s">
        <v>14</v>
      </c>
      <c r="P77" s="123" t="s">
        <v>14</v>
      </c>
      <c r="Q77" s="123" t="s">
        <v>14</v>
      </c>
      <c r="R77" s="123" t="s">
        <v>14</v>
      </c>
      <c r="S77" s="123" t="s">
        <v>24</v>
      </c>
      <c r="T77" s="123" t="s">
        <v>14</v>
      </c>
      <c r="U77" s="123" t="s">
        <v>14</v>
      </c>
      <c r="V77" s="123" t="s">
        <v>14</v>
      </c>
      <c r="W77" s="123" t="s">
        <v>14</v>
      </c>
      <c r="X77" s="123" t="s">
        <v>14</v>
      </c>
      <c r="Y77" s="123" t="s">
        <v>23</v>
      </c>
      <c r="Z77" s="123" t="s">
        <v>14</v>
      </c>
      <c r="AA77" s="123" t="s">
        <v>14</v>
      </c>
      <c r="AB77" s="123" t="s">
        <v>14</v>
      </c>
      <c r="AC77" s="123" t="s">
        <v>14</v>
      </c>
      <c r="AD77" s="123" t="s">
        <v>14</v>
      </c>
      <c r="AE77" s="123" t="s">
        <v>23</v>
      </c>
      <c r="AF77" s="123" t="s">
        <v>14</v>
      </c>
      <c r="AG77" s="123" t="s">
        <v>14</v>
      </c>
      <c r="AH77" s="123" t="s">
        <v>14</v>
      </c>
      <c r="AI77" s="123" t="s">
        <v>14</v>
      </c>
      <c r="AJ77" s="123" t="s">
        <v>14</v>
      </c>
      <c r="AK77" s="30">
        <f>COUNTIF($F77:$AJ77,$C$128)</f>
        <v>26</v>
      </c>
      <c r="AL77" s="30">
        <f>COUNTIF($F77:$AJ77,$C$129)</f>
        <v>0</v>
      </c>
      <c r="AM77" s="30">
        <f>COUNTIF($F77:$AJ77,$C$130)</f>
        <v>0</v>
      </c>
      <c r="AN77" s="30">
        <f>COUNTIF($F77:$AJ77,$C$131)</f>
        <v>0</v>
      </c>
      <c r="AO77" s="30">
        <f>COUNTIF($F77:$AJ77,$C$132)</f>
        <v>0</v>
      </c>
      <c r="AP77" s="74">
        <f>COUNTIF($F77:$AJ77,$C$133)</f>
        <v>0</v>
      </c>
      <c r="AQ77" s="74">
        <f>COUNTIF($F77:$AJ77,$C$134)</f>
        <v>0</v>
      </c>
      <c r="AR77" s="30">
        <f>COUNTIF($F77:$AJ77,$C$135)</f>
        <v>0</v>
      </c>
      <c r="AS77" s="30">
        <f>COUNTIF($F77:$AJ77,$C$136)</f>
        <v>0</v>
      </c>
      <c r="AT77" s="30">
        <f>COUNTIF($F77:$AJ77,$C$137)</f>
        <v>3</v>
      </c>
      <c r="AU77" s="30">
        <f>COUNTIF($F77:$AJ77,$C$138)</f>
        <v>2</v>
      </c>
      <c r="AV77" s="30">
        <f>COUNTIF($F77:$AJ77,$C$139)</f>
        <v>0</v>
      </c>
      <c r="AW77" s="30">
        <f>COUNTIF($F77:$AJ77,$C$140)</f>
        <v>0</v>
      </c>
      <c r="AX77" s="30">
        <f>COUNTIF($F77:$AJ77,$C$141)</f>
        <v>0</v>
      </c>
      <c r="AY77" s="30">
        <f>COUNTA(F77:AJ77)</f>
        <v>31</v>
      </c>
      <c r="AZ77" s="54">
        <f>AK77+AU77</f>
        <v>28</v>
      </c>
    </row>
    <row r="78" spans="1:52">
      <c r="A78" s="450"/>
      <c r="B78" s="60"/>
      <c r="C78" s="61"/>
      <c r="D78" s="61"/>
      <c r="E78" s="73" t="s">
        <v>34</v>
      </c>
      <c r="F78" s="145"/>
      <c r="G78" s="123">
        <v>11</v>
      </c>
      <c r="H78" s="26"/>
      <c r="I78" s="26"/>
      <c r="J78" s="123"/>
      <c r="K78" s="26"/>
      <c r="L78" s="44"/>
      <c r="M78" s="44"/>
      <c r="N78" s="123"/>
      <c r="O78" s="44"/>
      <c r="P78" s="26"/>
      <c r="Q78" s="26"/>
      <c r="R78" s="26"/>
      <c r="S78" s="26"/>
      <c r="T78" s="26"/>
      <c r="U78" s="26"/>
      <c r="V78" s="26"/>
      <c r="W78" s="26"/>
      <c r="X78" s="26"/>
      <c r="Y78" s="28"/>
      <c r="Z78" s="29"/>
      <c r="AA78" s="26"/>
      <c r="AB78" s="26"/>
      <c r="AC78" s="26"/>
      <c r="AD78" s="25"/>
      <c r="AE78" s="25"/>
      <c r="AF78" s="24"/>
      <c r="AG78" s="24"/>
      <c r="AH78" s="24"/>
      <c r="AI78" s="25"/>
      <c r="AJ78" s="25"/>
      <c r="AK78" s="459">
        <f>SUM(F78:AJ78)</f>
        <v>11</v>
      </c>
      <c r="AL78" s="445"/>
      <c r="AM78" s="445"/>
      <c r="AN78" s="445"/>
      <c r="AO78" s="445"/>
      <c r="AP78" s="445"/>
      <c r="AQ78" s="445"/>
      <c r="AR78" s="445"/>
      <c r="AS78" s="445"/>
      <c r="AT78" s="445"/>
      <c r="AU78" s="445"/>
      <c r="AV78" s="445"/>
      <c r="AW78" s="445"/>
      <c r="AX78" s="445"/>
      <c r="AY78" s="479"/>
      <c r="AZ78" s="54"/>
    </row>
    <row r="79" spans="1:52">
      <c r="A79" s="449">
        <v>38</v>
      </c>
      <c r="B79" s="67">
        <v>58</v>
      </c>
      <c r="C79" s="56" t="s">
        <v>74</v>
      </c>
      <c r="D79" s="56" t="s">
        <v>31</v>
      </c>
      <c r="E79" s="71" t="s">
        <v>32</v>
      </c>
      <c r="F79" s="145" t="s">
        <v>23</v>
      </c>
      <c r="G79" s="123" t="s">
        <v>14</v>
      </c>
      <c r="H79" s="123" t="s">
        <v>14</v>
      </c>
      <c r="I79" s="123" t="s">
        <v>14</v>
      </c>
      <c r="J79" s="123" t="s">
        <v>14</v>
      </c>
      <c r="K79" s="123" t="s">
        <v>14</v>
      </c>
      <c r="L79" s="123" t="s">
        <v>14</v>
      </c>
      <c r="M79" s="123" t="s">
        <v>14</v>
      </c>
      <c r="N79" s="123" t="s">
        <v>14</v>
      </c>
      <c r="O79" s="123" t="s">
        <v>14</v>
      </c>
      <c r="P79" s="123" t="s">
        <v>23</v>
      </c>
      <c r="Q79" s="123" t="s">
        <v>14</v>
      </c>
      <c r="R79" s="123" t="s">
        <v>14</v>
      </c>
      <c r="S79" s="123" t="s">
        <v>14</v>
      </c>
      <c r="T79" s="123" t="s">
        <v>14</v>
      </c>
      <c r="U79" s="123" t="s">
        <v>14</v>
      </c>
      <c r="V79" s="123" t="s">
        <v>14</v>
      </c>
      <c r="W79" s="123" t="s">
        <v>14</v>
      </c>
      <c r="X79" s="123" t="s">
        <v>14</v>
      </c>
      <c r="Y79" s="123" t="s">
        <v>14</v>
      </c>
      <c r="Z79" s="123" t="s">
        <v>23</v>
      </c>
      <c r="AA79" s="123" t="s">
        <v>14</v>
      </c>
      <c r="AB79" s="123" t="s">
        <v>14</v>
      </c>
      <c r="AC79" s="123" t="s">
        <v>14</v>
      </c>
      <c r="AD79" s="123" t="s">
        <v>14</v>
      </c>
      <c r="AE79" s="123" t="s">
        <v>14</v>
      </c>
      <c r="AF79" s="123" t="s">
        <v>14</v>
      </c>
      <c r="AG79" s="123" t="s">
        <v>23</v>
      </c>
      <c r="AH79" s="123" t="s">
        <v>14</v>
      </c>
      <c r="AI79" s="123" t="s">
        <v>14</v>
      </c>
      <c r="AJ79" s="123" t="s">
        <v>14</v>
      </c>
      <c r="AK79" s="30">
        <f>COUNTIF($F79:$AJ79,$C$128)</f>
        <v>27</v>
      </c>
      <c r="AL79" s="30">
        <f>COUNTIF($F79:$AJ79,$C$129)</f>
        <v>0</v>
      </c>
      <c r="AM79" s="30">
        <f>COUNTIF($F79:$AJ79,$C$130)</f>
        <v>0</v>
      </c>
      <c r="AN79" s="30">
        <f>COUNTIF($F79:$AJ79,$C$131)</f>
        <v>0</v>
      </c>
      <c r="AO79" s="30">
        <f>COUNTIF($F79:$AJ79,$C$132)</f>
        <v>0</v>
      </c>
      <c r="AP79" s="30">
        <f>COUNTIF($F79:$AJ79,$C$133)</f>
        <v>0</v>
      </c>
      <c r="AQ79" s="30">
        <f>COUNTIF($F79:$AJ79,$C$134)</f>
        <v>0</v>
      </c>
      <c r="AR79" s="30">
        <f>COUNTIF($F79:$AJ79,$C$135)</f>
        <v>0</v>
      </c>
      <c r="AS79" s="30">
        <f>COUNTIF($F79:$AJ79,$C$136)</f>
        <v>0</v>
      </c>
      <c r="AT79" s="30">
        <f>COUNTIF($F79:$AJ79,$C$137)</f>
        <v>4</v>
      </c>
      <c r="AU79" s="30">
        <f>COUNTIF($F79:$AJ79,$C$138)</f>
        <v>0</v>
      </c>
      <c r="AV79" s="30">
        <f>COUNTIF($F79:$AJ79,$C$139)</f>
        <v>0</v>
      </c>
      <c r="AW79" s="30">
        <f>COUNTIF($F79:$AJ79,$C$140)</f>
        <v>0</v>
      </c>
      <c r="AX79" s="30">
        <f>COUNTIF($F79:$AJ79,$C$141)</f>
        <v>0</v>
      </c>
      <c r="AY79" s="30">
        <f>COUNTA(F79:AJ79)</f>
        <v>31</v>
      </c>
      <c r="AZ79" s="54">
        <f>AK79+AU79</f>
        <v>27</v>
      </c>
    </row>
    <row r="80" spans="1:52">
      <c r="A80" s="450"/>
      <c r="B80" s="60"/>
      <c r="C80" s="61"/>
      <c r="D80" s="61"/>
      <c r="E80" s="73" t="s">
        <v>34</v>
      </c>
      <c r="F80" s="145"/>
      <c r="G80" s="26">
        <v>3</v>
      </c>
      <c r="H80" s="26"/>
      <c r="I80" s="26"/>
      <c r="J80" s="26"/>
      <c r="K80" s="26"/>
      <c r="L80" s="26"/>
      <c r="M80" s="26">
        <v>2</v>
      </c>
      <c r="N80" s="26"/>
      <c r="O80" s="26"/>
      <c r="P80" s="26"/>
      <c r="Q80" s="26"/>
      <c r="R80" s="26"/>
      <c r="S80" s="26">
        <v>4</v>
      </c>
      <c r="T80" s="26"/>
      <c r="U80" s="26">
        <v>1</v>
      </c>
      <c r="V80" s="26">
        <v>2</v>
      </c>
      <c r="W80" s="26">
        <v>2</v>
      </c>
      <c r="X80" s="26">
        <v>3</v>
      </c>
      <c r="Y80" s="28"/>
      <c r="Z80" s="29"/>
      <c r="AA80" s="26"/>
      <c r="AB80" s="26"/>
      <c r="AC80" s="26">
        <v>2</v>
      </c>
      <c r="AD80" s="25">
        <v>1</v>
      </c>
      <c r="AE80" s="25"/>
      <c r="AF80" s="25"/>
      <c r="AG80" s="25"/>
      <c r="AH80" s="25"/>
      <c r="AI80" s="25">
        <v>3</v>
      </c>
      <c r="AJ80" s="25"/>
      <c r="AK80" s="459">
        <f>SUM(F80:AJ80)</f>
        <v>23</v>
      </c>
      <c r="AL80" s="445"/>
      <c r="AM80" s="445"/>
      <c r="AN80" s="445"/>
      <c r="AO80" s="445"/>
      <c r="AP80" s="445"/>
      <c r="AQ80" s="445"/>
      <c r="AR80" s="445"/>
      <c r="AS80" s="445"/>
      <c r="AT80" s="445"/>
      <c r="AU80" s="445"/>
      <c r="AV80" s="445"/>
      <c r="AW80" s="445"/>
      <c r="AX80" s="445"/>
      <c r="AY80" s="479"/>
      <c r="AZ80" s="54"/>
    </row>
    <row r="81" spans="1:54">
      <c r="A81" s="449">
        <v>39</v>
      </c>
      <c r="B81" s="67">
        <v>92</v>
      </c>
      <c r="C81" s="70" t="s">
        <v>75</v>
      </c>
      <c r="D81" s="56" t="s">
        <v>31</v>
      </c>
      <c r="E81" s="71" t="s">
        <v>32</v>
      </c>
      <c r="F81" s="142" t="s">
        <v>24</v>
      </c>
      <c r="G81" s="123" t="s">
        <v>14</v>
      </c>
      <c r="H81" s="45" t="s">
        <v>14</v>
      </c>
      <c r="I81" s="45" t="s">
        <v>14</v>
      </c>
      <c r="J81" s="45" t="s">
        <v>14</v>
      </c>
      <c r="K81" s="45" t="s">
        <v>14</v>
      </c>
      <c r="L81" s="45" t="s">
        <v>14</v>
      </c>
      <c r="M81" s="45" t="s">
        <v>14</v>
      </c>
      <c r="N81" s="45" t="s">
        <v>23</v>
      </c>
      <c r="O81" s="123" t="s">
        <v>14</v>
      </c>
      <c r="P81" s="123" t="s">
        <v>14</v>
      </c>
      <c r="Q81" s="123" t="s">
        <v>14</v>
      </c>
      <c r="R81" s="123" t="s">
        <v>14</v>
      </c>
      <c r="S81" s="123" t="s">
        <v>24</v>
      </c>
      <c r="T81" s="123" t="s">
        <v>14</v>
      </c>
      <c r="U81" s="123" t="s">
        <v>14</v>
      </c>
      <c r="V81" s="123" t="s">
        <v>14</v>
      </c>
      <c r="W81" s="123" t="s">
        <v>14</v>
      </c>
      <c r="X81" s="123" t="s">
        <v>14</v>
      </c>
      <c r="Y81" s="123" t="s">
        <v>14</v>
      </c>
      <c r="Z81" s="123" t="s">
        <v>14</v>
      </c>
      <c r="AA81" s="123" t="s">
        <v>23</v>
      </c>
      <c r="AB81" s="123" t="s">
        <v>14</v>
      </c>
      <c r="AC81" s="123" t="s">
        <v>14</v>
      </c>
      <c r="AD81" s="123" t="s">
        <v>14</v>
      </c>
      <c r="AE81" s="123" t="s">
        <v>14</v>
      </c>
      <c r="AF81" s="123" t="s">
        <v>14</v>
      </c>
      <c r="AG81" s="123" t="s">
        <v>23</v>
      </c>
      <c r="AH81" s="123" t="s">
        <v>14</v>
      </c>
      <c r="AI81" s="123" t="s">
        <v>14</v>
      </c>
      <c r="AJ81" s="123" t="s">
        <v>14</v>
      </c>
      <c r="AK81" s="30">
        <f>COUNTIF($F81:$AJ81,$C$128)</f>
        <v>26</v>
      </c>
      <c r="AL81" s="30">
        <f>COUNTIF($F81:$AJ81,$C$129)</f>
        <v>0</v>
      </c>
      <c r="AM81" s="30">
        <f>COUNTIF($F81:$AJ81,$C$130)</f>
        <v>0</v>
      </c>
      <c r="AN81" s="30">
        <f>COUNTIF($F81:$AJ81,$C$131)</f>
        <v>0</v>
      </c>
      <c r="AO81" s="30">
        <f>COUNTIF($F81:$AJ81,$C$132)</f>
        <v>0</v>
      </c>
      <c r="AP81" s="30">
        <f>COUNTIF($F81:$AJ81,$C$133)</f>
        <v>0</v>
      </c>
      <c r="AQ81" s="30">
        <f>COUNTIF($F81:$AJ81,$C$134)</f>
        <v>0</v>
      </c>
      <c r="AR81" s="30">
        <f>COUNTIF($F81:$AJ81,$C$135)</f>
        <v>0</v>
      </c>
      <c r="AS81" s="30">
        <f>COUNTIF($F81:$AJ81,$C$136)</f>
        <v>0</v>
      </c>
      <c r="AT81" s="30">
        <f>COUNTIF($F81:$AJ81,$C$137)</f>
        <v>3</v>
      </c>
      <c r="AU81" s="30">
        <f>COUNTIF($F81:$AJ81,$C$138)</f>
        <v>2</v>
      </c>
      <c r="AV81" s="30">
        <f>COUNTIF($F81:$AJ81,$C$139)</f>
        <v>0</v>
      </c>
      <c r="AW81" s="30">
        <f>COUNTIF($F81:$AJ81,$C$140)</f>
        <v>0</v>
      </c>
      <c r="AX81" s="30">
        <f>COUNTIF($F81:$AJ81,$C$141)</f>
        <v>0</v>
      </c>
      <c r="AY81" s="30">
        <f>COUNTA(F81:AJ81)</f>
        <v>31</v>
      </c>
      <c r="AZ81" s="54">
        <f>AK81+AU81</f>
        <v>28</v>
      </c>
    </row>
    <row r="82" spans="1:54">
      <c r="A82" s="470"/>
      <c r="B82" s="55"/>
      <c r="C82" s="167"/>
      <c r="D82" s="64"/>
      <c r="E82" s="73" t="s">
        <v>34</v>
      </c>
      <c r="F82" s="145"/>
      <c r="G82" s="123"/>
      <c r="H82" s="45"/>
      <c r="I82" s="45"/>
      <c r="J82" s="45"/>
      <c r="K82" s="45"/>
      <c r="L82" s="45"/>
      <c r="M82" s="45"/>
      <c r="N82" s="45"/>
      <c r="O82" s="44"/>
      <c r="P82" s="26"/>
      <c r="Q82" s="26"/>
      <c r="R82" s="26"/>
      <c r="S82" s="26"/>
      <c r="T82" s="26"/>
      <c r="U82" s="26"/>
      <c r="V82" s="26"/>
      <c r="W82" s="26"/>
      <c r="X82" s="26"/>
      <c r="Y82" s="28"/>
      <c r="Z82" s="29"/>
      <c r="AA82" s="26"/>
      <c r="AB82" s="26"/>
      <c r="AC82" s="26"/>
      <c r="AD82" s="25">
        <v>1</v>
      </c>
      <c r="AE82" s="25"/>
      <c r="AF82" s="24"/>
      <c r="AG82" s="24"/>
      <c r="AH82" s="24"/>
      <c r="AI82" s="25"/>
      <c r="AJ82" s="25"/>
      <c r="AK82" s="459">
        <f>SUM(F82:AJ82)</f>
        <v>1</v>
      </c>
      <c r="AL82" s="445"/>
      <c r="AM82" s="445"/>
      <c r="AN82" s="445"/>
      <c r="AO82" s="445"/>
      <c r="AP82" s="445"/>
      <c r="AQ82" s="445"/>
      <c r="AR82" s="445"/>
      <c r="AS82" s="445"/>
      <c r="AT82" s="445"/>
      <c r="AU82" s="445"/>
      <c r="AV82" s="445"/>
      <c r="AW82" s="445"/>
      <c r="AX82" s="445"/>
      <c r="AY82" s="479"/>
      <c r="AZ82" s="54"/>
    </row>
    <row r="83" spans="1:54">
      <c r="A83" s="487">
        <v>40</v>
      </c>
      <c r="B83" s="164">
        <v>103</v>
      </c>
      <c r="C83" s="168" t="s">
        <v>76</v>
      </c>
      <c r="D83" s="171" t="s">
        <v>31</v>
      </c>
      <c r="E83" s="71" t="s">
        <v>32</v>
      </c>
      <c r="F83" s="142" t="s">
        <v>24</v>
      </c>
      <c r="G83" s="123" t="s">
        <v>14</v>
      </c>
      <c r="H83" s="45" t="s">
        <v>14</v>
      </c>
      <c r="I83" s="45" t="s">
        <v>14</v>
      </c>
      <c r="J83" s="45" t="s">
        <v>14</v>
      </c>
      <c r="K83" s="45" t="s">
        <v>14</v>
      </c>
      <c r="L83" s="45" t="s">
        <v>14</v>
      </c>
      <c r="M83" s="45" t="s">
        <v>14</v>
      </c>
      <c r="N83" s="45" t="s">
        <v>14</v>
      </c>
      <c r="O83" s="123" t="s">
        <v>14</v>
      </c>
      <c r="P83" s="123" t="s">
        <v>24</v>
      </c>
      <c r="Q83" s="123" t="s">
        <v>14</v>
      </c>
      <c r="R83" s="123" t="s">
        <v>14</v>
      </c>
      <c r="S83" s="123" t="s">
        <v>14</v>
      </c>
      <c r="T83" s="123" t="s">
        <v>14</v>
      </c>
      <c r="U83" s="123" t="s">
        <v>14</v>
      </c>
      <c r="V83" s="123" t="s">
        <v>19</v>
      </c>
      <c r="W83" s="123" t="s">
        <v>19</v>
      </c>
      <c r="X83" s="123" t="s">
        <v>23</v>
      </c>
      <c r="Y83" s="123" t="s">
        <v>14</v>
      </c>
      <c r="Z83" s="123" t="s">
        <v>14</v>
      </c>
      <c r="AA83" s="123" t="s">
        <v>14</v>
      </c>
      <c r="AB83" s="123" t="s">
        <v>14</v>
      </c>
      <c r="AC83" s="123" t="s">
        <v>14</v>
      </c>
      <c r="AD83" s="123" t="s">
        <v>23</v>
      </c>
      <c r="AE83" s="123" t="s">
        <v>14</v>
      </c>
      <c r="AF83" s="123" t="s">
        <v>14</v>
      </c>
      <c r="AG83" s="123" t="s">
        <v>14</v>
      </c>
      <c r="AH83" s="123" t="s">
        <v>23</v>
      </c>
      <c r="AI83" s="123" t="s">
        <v>14</v>
      </c>
      <c r="AJ83" s="123" t="s">
        <v>14</v>
      </c>
      <c r="AK83" s="30">
        <f>COUNTIF($F83:$AJ83,$C$128)</f>
        <v>24</v>
      </c>
      <c r="AL83" s="30">
        <f>COUNTIF($F83:$AJ83,$C$129)</f>
        <v>0</v>
      </c>
      <c r="AM83" s="30">
        <f>COUNTIF($F83:$AJ83,$C$130)</f>
        <v>0</v>
      </c>
      <c r="AN83" s="30">
        <f>COUNTIF($F83:$AJ83,$C$131)</f>
        <v>0</v>
      </c>
      <c r="AO83" s="30">
        <f>COUNTIF($F83:$AJ83,$C$132)</f>
        <v>0</v>
      </c>
      <c r="AP83" s="331">
        <f>COUNTIF($F83:$AJ83,$C$133)</f>
        <v>2</v>
      </c>
      <c r="AQ83" s="30">
        <f>COUNTIF($F83:$AJ83,$C$134)</f>
        <v>0</v>
      </c>
      <c r="AR83" s="30">
        <f>COUNTIF($F83:$AJ83,$C$135)</f>
        <v>0</v>
      </c>
      <c r="AS83" s="30">
        <f>COUNTIF($F83:$AJ83,$C$136)</f>
        <v>0</v>
      </c>
      <c r="AT83" s="30">
        <f>COUNTIF($F83:$AJ83,$C$137)</f>
        <v>3</v>
      </c>
      <c r="AU83" s="30">
        <f>COUNTIF($F83:$AJ83,$C$138)</f>
        <v>2</v>
      </c>
      <c r="AV83" s="30">
        <f>COUNTIF($F83:$AJ83,$C$139)</f>
        <v>0</v>
      </c>
      <c r="AW83" s="30">
        <f>COUNTIF($F83:$AJ83,$C$140)</f>
        <v>0</v>
      </c>
      <c r="AX83" s="30">
        <f>COUNTIF($F83:$AJ83,$C$141)</f>
        <v>0</v>
      </c>
      <c r="AY83" s="30">
        <f>COUNTA(F83:AJ83)</f>
        <v>31</v>
      </c>
      <c r="AZ83" s="54">
        <f>AK83+AU83</f>
        <v>26</v>
      </c>
    </row>
    <row r="84" spans="1:54">
      <c r="A84" s="488"/>
      <c r="B84" s="162"/>
      <c r="C84" s="169"/>
      <c r="D84" s="87"/>
      <c r="E84" s="73" t="s">
        <v>34</v>
      </c>
      <c r="F84" s="145"/>
      <c r="G84" s="123">
        <v>5</v>
      </c>
      <c r="H84" s="45"/>
      <c r="I84" s="45"/>
      <c r="J84" s="45"/>
      <c r="K84" s="45"/>
      <c r="L84" s="45"/>
      <c r="M84" s="45"/>
      <c r="N84" s="45"/>
      <c r="O84" s="44"/>
      <c r="P84" s="26"/>
      <c r="Q84" s="26"/>
      <c r="R84" s="26"/>
      <c r="S84" s="26"/>
      <c r="T84" s="26"/>
      <c r="U84" s="26"/>
      <c r="V84" s="26"/>
      <c r="W84" s="26"/>
      <c r="X84" s="26"/>
      <c r="Y84" s="28"/>
      <c r="Z84" s="29"/>
      <c r="AA84" s="26"/>
      <c r="AB84" s="26"/>
      <c r="AC84" s="26"/>
      <c r="AD84" s="25"/>
      <c r="AE84" s="25"/>
      <c r="AF84" s="24"/>
      <c r="AG84" s="24">
        <v>2</v>
      </c>
      <c r="AH84" s="24"/>
      <c r="AI84" s="25"/>
      <c r="AJ84" s="25"/>
      <c r="AK84" s="459">
        <f>SUM(F84:AJ84)</f>
        <v>7</v>
      </c>
      <c r="AL84" s="445"/>
      <c r="AM84" s="445"/>
      <c r="AN84" s="445"/>
      <c r="AO84" s="445"/>
      <c r="AP84" s="445"/>
      <c r="AQ84" s="445"/>
      <c r="AR84" s="445"/>
      <c r="AS84" s="445"/>
      <c r="AT84" s="445"/>
      <c r="AU84" s="445"/>
      <c r="AV84" s="445"/>
      <c r="AW84" s="445"/>
      <c r="AX84" s="445"/>
      <c r="AY84" s="479"/>
      <c r="AZ84" s="54"/>
    </row>
    <row r="85" spans="1:54">
      <c r="A85" s="425">
        <v>41</v>
      </c>
      <c r="B85" s="165">
        <v>117</v>
      </c>
      <c r="C85" s="170" t="s">
        <v>77</v>
      </c>
      <c r="D85" s="172" t="s">
        <v>31</v>
      </c>
      <c r="E85" s="153" t="s">
        <v>32</v>
      </c>
      <c r="F85" s="142" t="s">
        <v>24</v>
      </c>
      <c r="G85" s="123" t="s">
        <v>23</v>
      </c>
      <c r="H85" s="45" t="s">
        <v>14</v>
      </c>
      <c r="I85" s="45" t="s">
        <v>14</v>
      </c>
      <c r="J85" s="45" t="s">
        <v>14</v>
      </c>
      <c r="K85" s="45" t="s">
        <v>14</v>
      </c>
      <c r="L85" s="45" t="s">
        <v>14</v>
      </c>
      <c r="M85" s="45" t="s">
        <v>14</v>
      </c>
      <c r="N85" s="45" t="s">
        <v>14</v>
      </c>
      <c r="O85" s="24" t="s">
        <v>14</v>
      </c>
      <c r="P85" s="24" t="s">
        <v>24</v>
      </c>
      <c r="Q85" s="24" t="s">
        <v>14</v>
      </c>
      <c r="R85" s="24" t="s">
        <v>14</v>
      </c>
      <c r="S85" s="24" t="s">
        <v>14</v>
      </c>
      <c r="T85" s="24" t="s">
        <v>14</v>
      </c>
      <c r="U85" s="24" t="s">
        <v>14</v>
      </c>
      <c r="V85" s="24" t="s">
        <v>14</v>
      </c>
      <c r="W85" s="24" t="s">
        <v>14</v>
      </c>
      <c r="X85" s="24" t="s">
        <v>14</v>
      </c>
      <c r="Y85" s="24" t="s">
        <v>23</v>
      </c>
      <c r="Z85" s="24" t="s">
        <v>14</v>
      </c>
      <c r="AA85" s="24" t="s">
        <v>14</v>
      </c>
      <c r="AB85" s="24" t="s">
        <v>14</v>
      </c>
      <c r="AC85" s="24" t="s">
        <v>23</v>
      </c>
      <c r="AD85" s="24" t="s">
        <v>14</v>
      </c>
      <c r="AE85" s="24" t="s">
        <v>14</v>
      </c>
      <c r="AF85" s="24" t="s">
        <v>14</v>
      </c>
      <c r="AG85" s="24" t="s">
        <v>14</v>
      </c>
      <c r="AH85" s="24" t="s">
        <v>14</v>
      </c>
      <c r="AI85" s="24" t="s">
        <v>14</v>
      </c>
      <c r="AJ85" s="24" t="s">
        <v>14</v>
      </c>
      <c r="AK85" s="30">
        <f>COUNTIF($F85:$AJ85,$C$128)</f>
        <v>26</v>
      </c>
      <c r="AL85" s="30">
        <f>COUNTIF($F85:$AJ85,$C$129)</f>
        <v>0</v>
      </c>
      <c r="AM85" s="30">
        <f>COUNTIF($F85:$AJ85,$C$130)</f>
        <v>0</v>
      </c>
      <c r="AN85" s="30">
        <f>COUNTIF($F85:$AJ85,$C$131)</f>
        <v>0</v>
      </c>
      <c r="AO85" s="30">
        <f>COUNTIF($F85:$AJ85,$C$132)</f>
        <v>0</v>
      </c>
      <c r="AP85" s="30">
        <f>COUNTIF($F85:$AJ85,$C$133)</f>
        <v>0</v>
      </c>
      <c r="AQ85" s="30">
        <f>COUNTIF($F85:$AJ85,$C$134)</f>
        <v>0</v>
      </c>
      <c r="AR85" s="7">
        <f>COUNTIF($F85:$AJ85,$C$135)</f>
        <v>0</v>
      </c>
      <c r="AS85" s="7">
        <f>COUNTIF($F85:$AJ85,$C$136)</f>
        <v>0</v>
      </c>
      <c r="AT85" s="30">
        <f>COUNTIF($F85:$AJ85,$C$137)</f>
        <v>3</v>
      </c>
      <c r="AU85" s="30">
        <f>COUNTIF($F85:$AJ85,$C$138)</f>
        <v>2</v>
      </c>
      <c r="AV85" s="30">
        <f>COUNTIF($F85:$AJ85,$C$139)</f>
        <v>0</v>
      </c>
      <c r="AW85" s="30">
        <f>COUNTIF($F85:$AJ85,$C$140)</f>
        <v>0</v>
      </c>
      <c r="AX85" s="30">
        <f>COUNTIF($F85:$AJ85,$C$141)</f>
        <v>0</v>
      </c>
      <c r="AY85" s="30">
        <f>COUNTA(F85:AJ85)</f>
        <v>31</v>
      </c>
      <c r="AZ85" s="54">
        <f>AK85+AU85</f>
        <v>28</v>
      </c>
    </row>
    <row r="86" spans="1:54">
      <c r="A86" s="426"/>
      <c r="B86" s="166"/>
      <c r="C86" s="169"/>
      <c r="D86" s="87"/>
      <c r="E86" s="177" t="s">
        <v>34</v>
      </c>
      <c r="F86" s="144"/>
      <c r="G86" s="123"/>
      <c r="H86" s="45">
        <v>4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77">
        <f>SUM(F86:AJ86)</f>
        <v>4</v>
      </c>
      <c r="AL86" s="461"/>
      <c r="AM86" s="461"/>
      <c r="AN86" s="461"/>
      <c r="AO86" s="461"/>
      <c r="AP86" s="461"/>
      <c r="AQ86" s="461"/>
      <c r="AR86" s="461"/>
      <c r="AS86" s="461"/>
      <c r="AT86" s="461"/>
      <c r="AU86" s="461"/>
      <c r="AV86" s="461"/>
      <c r="AW86" s="461"/>
      <c r="AX86" s="461"/>
      <c r="AY86" s="480"/>
      <c r="AZ86" s="54"/>
    </row>
    <row r="87" spans="1:54">
      <c r="A87" s="427">
        <v>42</v>
      </c>
      <c r="B87" s="160">
        <v>134</v>
      </c>
      <c r="C87" s="64" t="s">
        <v>78</v>
      </c>
      <c r="D87" s="64" t="s">
        <v>31</v>
      </c>
      <c r="E87" s="71" t="s">
        <v>32</v>
      </c>
      <c r="F87" s="179"/>
      <c r="G87" s="178"/>
      <c r="H87" s="178"/>
      <c r="I87" s="178"/>
      <c r="J87" s="178"/>
      <c r="K87" s="138" t="s">
        <v>14</v>
      </c>
      <c r="L87" s="138" t="s">
        <v>14</v>
      </c>
      <c r="M87" s="138" t="s">
        <v>14</v>
      </c>
      <c r="N87" s="138" t="s">
        <v>14</v>
      </c>
      <c r="O87" s="138" t="s">
        <v>14</v>
      </c>
      <c r="P87" s="138" t="s">
        <v>14</v>
      </c>
      <c r="Q87" s="138" t="s">
        <v>14</v>
      </c>
      <c r="R87" s="138" t="s">
        <v>14</v>
      </c>
      <c r="S87" s="138" t="s">
        <v>14</v>
      </c>
      <c r="T87" s="138" t="s">
        <v>14</v>
      </c>
      <c r="U87" s="260" t="s">
        <v>23</v>
      </c>
      <c r="V87" s="138" t="s">
        <v>14</v>
      </c>
      <c r="W87" s="138" t="s">
        <v>14</v>
      </c>
      <c r="X87" s="138" t="s">
        <v>14</v>
      </c>
      <c r="Y87" s="138" t="s">
        <v>14</v>
      </c>
      <c r="Z87" s="138" t="s">
        <v>14</v>
      </c>
      <c r="AA87" s="138" t="s">
        <v>14</v>
      </c>
      <c r="AB87" s="138" t="s">
        <v>14</v>
      </c>
      <c r="AC87" s="260" t="s">
        <v>23</v>
      </c>
      <c r="AD87" s="138" t="s">
        <v>14</v>
      </c>
      <c r="AE87" s="138" t="s">
        <v>14</v>
      </c>
      <c r="AF87" s="138" t="s">
        <v>14</v>
      </c>
      <c r="AG87" s="138" t="s">
        <v>14</v>
      </c>
      <c r="AH87" s="138" t="s">
        <v>14</v>
      </c>
      <c r="AI87" s="260" t="s">
        <v>23</v>
      </c>
      <c r="AJ87" s="138" t="s">
        <v>14</v>
      </c>
      <c r="AK87" s="173">
        <f>COUNTIF($F87:$AJ87,$C$128)</f>
        <v>23</v>
      </c>
      <c r="AL87" s="97">
        <f>COUNTIF($F87:$AJ87,$C$129)</f>
        <v>0</v>
      </c>
      <c r="AM87" s="97">
        <f>COUNTIF($F87:$AJ87,$C$130)</f>
        <v>0</v>
      </c>
      <c r="AN87" s="97">
        <f>COUNTIF($F87:$AJ87,$C$131)</f>
        <v>0</v>
      </c>
      <c r="AO87" s="97">
        <f>COUNTIF($F87:$AJ87,$C$132)</f>
        <v>0</v>
      </c>
      <c r="AP87" s="97">
        <f>COUNTIF($F87:$AJ87,$C$133)</f>
        <v>0</v>
      </c>
      <c r="AQ87" s="97">
        <f>COUNTIF($F87:$AJ87,$C$134)</f>
        <v>0</v>
      </c>
      <c r="AR87" s="174">
        <f>COUNTIF($F87:$AJ87,$C$135)</f>
        <v>0</v>
      </c>
      <c r="AS87" s="174">
        <f>COUNTIF($F87:$AJ87,$C$136)</f>
        <v>0</v>
      </c>
      <c r="AT87" s="97">
        <f>COUNTIF($F87:$AJ87,$C$137)</f>
        <v>3</v>
      </c>
      <c r="AU87" s="97">
        <f>COUNTIF($F87:$AJ87,$C$138)</f>
        <v>0</v>
      </c>
      <c r="AV87" s="97">
        <f>COUNTIF($F87:$AJ87,$C$139)</f>
        <v>0</v>
      </c>
      <c r="AW87" s="97">
        <f>COUNTIF($F87:$AJ87,$C$140)</f>
        <v>0</v>
      </c>
      <c r="AX87" s="97">
        <f>COUNTIF($F87:$AJ87,$C$141)</f>
        <v>0</v>
      </c>
      <c r="AY87" s="175">
        <f>COUNTA(F87:AJ87)</f>
        <v>26</v>
      </c>
      <c r="AZ87" s="54">
        <f t="shared" ref="AZ86:AZ87" si="1">AK87+AU87</f>
        <v>23</v>
      </c>
    </row>
    <row r="88" spans="1:54">
      <c r="A88" s="427"/>
      <c r="B88" s="160"/>
      <c r="C88" s="64"/>
      <c r="D88" s="64"/>
      <c r="E88" s="77" t="s">
        <v>34</v>
      </c>
      <c r="F88" s="147"/>
      <c r="G88" s="130"/>
      <c r="H88" s="130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>
        <v>2</v>
      </c>
      <c r="AE88" s="126"/>
      <c r="AF88" s="126">
        <v>2</v>
      </c>
      <c r="AG88" s="126"/>
      <c r="AH88" s="126"/>
      <c r="AI88" s="126"/>
      <c r="AJ88" s="126">
        <v>1</v>
      </c>
      <c r="AK88" s="484">
        <f>SUM(F88:AJ88)</f>
        <v>5</v>
      </c>
      <c r="AL88" s="485"/>
      <c r="AM88" s="485"/>
      <c r="AN88" s="485"/>
      <c r="AO88" s="485"/>
      <c r="AP88" s="485"/>
      <c r="AQ88" s="485"/>
      <c r="AR88" s="485"/>
      <c r="AS88" s="485"/>
      <c r="AT88" s="485"/>
      <c r="AU88" s="485"/>
      <c r="AV88" s="485"/>
      <c r="AW88" s="485"/>
      <c r="AX88" s="485"/>
      <c r="AY88" s="486"/>
      <c r="AZ88" s="54"/>
    </row>
    <row r="89" spans="1:54">
      <c r="A89" s="428">
        <v>43</v>
      </c>
      <c r="B89" s="78">
        <v>111</v>
      </c>
      <c r="C89" s="79" t="s">
        <v>79</v>
      </c>
      <c r="D89" s="79" t="s">
        <v>80</v>
      </c>
      <c r="E89" s="231" t="s">
        <v>32</v>
      </c>
      <c r="F89" s="221" t="s">
        <v>22</v>
      </c>
      <c r="G89" s="149" t="s">
        <v>22</v>
      </c>
      <c r="H89" s="149" t="s">
        <v>22</v>
      </c>
      <c r="I89" s="149" t="s">
        <v>22</v>
      </c>
      <c r="J89" s="223" t="s">
        <v>14</v>
      </c>
      <c r="K89" s="223" t="s">
        <v>14</v>
      </c>
      <c r="L89" s="223" t="s">
        <v>14</v>
      </c>
      <c r="M89" s="223" t="s">
        <v>14</v>
      </c>
      <c r="N89" s="223" t="s">
        <v>14</v>
      </c>
      <c r="O89" s="222" t="s">
        <v>23</v>
      </c>
      <c r="P89" s="222" t="s">
        <v>23</v>
      </c>
      <c r="Q89" s="223" t="s">
        <v>14</v>
      </c>
      <c r="R89" s="223" t="s">
        <v>14</v>
      </c>
      <c r="S89" s="223" t="s">
        <v>14</v>
      </c>
      <c r="T89" s="223" t="s">
        <v>14</v>
      </c>
      <c r="U89" s="223" t="s">
        <v>14</v>
      </c>
      <c r="V89" s="222" t="s">
        <v>23</v>
      </c>
      <c r="W89" s="222" t="s">
        <v>23</v>
      </c>
      <c r="X89" s="223" t="s">
        <v>14</v>
      </c>
      <c r="Y89" s="223" t="s">
        <v>14</v>
      </c>
      <c r="Z89" s="223" t="s">
        <v>14</v>
      </c>
      <c r="AA89" s="223" t="s">
        <v>14</v>
      </c>
      <c r="AB89" s="223" t="s">
        <v>14</v>
      </c>
      <c r="AC89" s="222" t="s">
        <v>23</v>
      </c>
      <c r="AD89" s="222" t="s">
        <v>23</v>
      </c>
      <c r="AE89" s="223" t="s">
        <v>14</v>
      </c>
      <c r="AF89" s="223" t="s">
        <v>14</v>
      </c>
      <c r="AG89" s="223" t="s">
        <v>14</v>
      </c>
      <c r="AH89" s="223" t="s">
        <v>14</v>
      </c>
      <c r="AI89" s="223" t="s">
        <v>14</v>
      </c>
      <c r="AJ89" s="222" t="s">
        <v>23</v>
      </c>
      <c r="AK89" s="80">
        <f>COUNTIF($F89:$AJ89,$C$128)</f>
        <v>20</v>
      </c>
      <c r="AL89" s="80">
        <f>COUNTIF($F89:$AJ89,$C$129)</f>
        <v>0</v>
      </c>
      <c r="AM89" s="80">
        <f>COUNTIF($F89:$AJ89,$C$130)</f>
        <v>0</v>
      </c>
      <c r="AN89" s="80">
        <f>COUNTIF($F89:$AJ89,$C$131)</f>
        <v>0</v>
      </c>
      <c r="AO89" s="80">
        <f>COUNTIF($F89:$AJ89,$C$132)</f>
        <v>0</v>
      </c>
      <c r="AP89" s="80">
        <f>COUNTIF($F89:$AJ89,$C$133)</f>
        <v>0</v>
      </c>
      <c r="AQ89" s="80">
        <f>COUNTIF($F89:$AJ89,$C$134)</f>
        <v>0</v>
      </c>
      <c r="AR89" s="80">
        <f>COUNTIF($F89:$AJ89,$C$135)</f>
        <v>0</v>
      </c>
      <c r="AS89" s="80">
        <f>COUNTIF($F89:$AJ89,$C$136)</f>
        <v>4</v>
      </c>
      <c r="AT89" s="80">
        <f>COUNTIF($F89:$AJ89,$C$137)</f>
        <v>7</v>
      </c>
      <c r="AU89" s="80">
        <f>COUNTIF($F89:$AJ89,$C$138)</f>
        <v>0</v>
      </c>
      <c r="AV89" s="80">
        <f>COUNTIF($F89:$AJ89,$C$139)</f>
        <v>0</v>
      </c>
      <c r="AW89" s="80">
        <f>COUNTIF($F89:$AJ89,$C$140)</f>
        <v>0</v>
      </c>
      <c r="AX89" s="80">
        <f>COUNTIF($F89:$AJ89,$C$141)</f>
        <v>0</v>
      </c>
      <c r="AY89" s="81">
        <f>COUNTA(F89:AJ89)</f>
        <v>31</v>
      </c>
      <c r="AZ89" s="54">
        <f>AK89+AU89</f>
        <v>20</v>
      </c>
    </row>
    <row r="90" spans="1:54">
      <c r="A90" s="429"/>
      <c r="B90" s="60"/>
      <c r="C90" s="61"/>
      <c r="D90" s="61"/>
      <c r="E90" s="73" t="s">
        <v>34</v>
      </c>
      <c r="F90" s="145"/>
      <c r="G90" s="27"/>
      <c r="H90" s="125"/>
      <c r="I90" s="24"/>
      <c r="J90" s="23"/>
      <c r="K90" s="24"/>
      <c r="L90" s="23"/>
      <c r="M90" s="24"/>
      <c r="N90" s="23"/>
      <c r="O90" s="24"/>
      <c r="P90" s="24"/>
      <c r="Q90" s="23"/>
      <c r="R90" s="24"/>
      <c r="S90" s="23"/>
      <c r="T90" s="24"/>
      <c r="U90" s="23"/>
      <c r="V90" s="24"/>
      <c r="W90" s="24"/>
      <c r="X90" s="23"/>
      <c r="Y90" s="24"/>
      <c r="Z90" s="23"/>
      <c r="AA90" s="24"/>
      <c r="AB90" s="23"/>
      <c r="AC90" s="24"/>
      <c r="AD90" s="24"/>
      <c r="AE90" s="23"/>
      <c r="AF90" s="24"/>
      <c r="AG90" s="23"/>
      <c r="AH90" s="24"/>
      <c r="AI90" s="23"/>
      <c r="AJ90" s="24"/>
      <c r="AK90" s="459">
        <f>SUM(F90:AJ90)</f>
        <v>0</v>
      </c>
      <c r="AL90" s="445"/>
      <c r="AM90" s="445"/>
      <c r="AN90" s="445"/>
      <c r="AO90" s="445"/>
      <c r="AP90" s="445"/>
      <c r="AQ90" s="445"/>
      <c r="AR90" s="445"/>
      <c r="AS90" s="445"/>
      <c r="AT90" s="445"/>
      <c r="AU90" s="445"/>
      <c r="AV90" s="445"/>
      <c r="AW90" s="445"/>
      <c r="AX90" s="445"/>
      <c r="AY90" s="446"/>
      <c r="AZ90" s="54"/>
    </row>
    <row r="91" spans="1:54">
      <c r="A91" s="430">
        <v>44</v>
      </c>
      <c r="B91" s="67">
        <v>105</v>
      </c>
      <c r="C91" s="56" t="s">
        <v>81</v>
      </c>
      <c r="D91" s="56" t="s">
        <v>82</v>
      </c>
      <c r="E91" s="71" t="s">
        <v>32</v>
      </c>
      <c r="F91" s="224" t="s">
        <v>18</v>
      </c>
      <c r="G91" s="180" t="s">
        <v>14</v>
      </c>
      <c r="H91" s="139" t="s">
        <v>23</v>
      </c>
      <c r="I91" s="139" t="s">
        <v>23</v>
      </c>
      <c r="J91" s="138" t="s">
        <v>14</v>
      </c>
      <c r="K91" s="138" t="s">
        <v>14</v>
      </c>
      <c r="L91" s="138" t="s">
        <v>14</v>
      </c>
      <c r="M91" s="138" t="s">
        <v>14</v>
      </c>
      <c r="N91" s="148" t="s">
        <v>22</v>
      </c>
      <c r="O91" s="148" t="s">
        <v>22</v>
      </c>
      <c r="P91" s="148" t="s">
        <v>22</v>
      </c>
      <c r="Q91" s="148" t="s">
        <v>22</v>
      </c>
      <c r="R91" s="148" t="s">
        <v>22</v>
      </c>
      <c r="S91" s="148" t="s">
        <v>22</v>
      </c>
      <c r="T91" s="148" t="s">
        <v>22</v>
      </c>
      <c r="U91" s="148" t="s">
        <v>22</v>
      </c>
      <c r="V91" s="148" t="s">
        <v>22</v>
      </c>
      <c r="W91" s="148" t="s">
        <v>22</v>
      </c>
      <c r="X91" s="148" t="s">
        <v>22</v>
      </c>
      <c r="Y91" s="148" t="s">
        <v>22</v>
      </c>
      <c r="Z91" s="148" t="s">
        <v>22</v>
      </c>
      <c r="AA91" s="148" t="s">
        <v>22</v>
      </c>
      <c r="AB91" s="148" t="s">
        <v>22</v>
      </c>
      <c r="AC91" s="148" t="s">
        <v>22</v>
      </c>
      <c r="AD91" s="148" t="s">
        <v>22</v>
      </c>
      <c r="AE91" s="148" t="s">
        <v>22</v>
      </c>
      <c r="AF91" s="148" t="s">
        <v>22</v>
      </c>
      <c r="AG91" s="148" t="s">
        <v>22</v>
      </c>
      <c r="AH91" s="138" t="s">
        <v>14</v>
      </c>
      <c r="AI91" s="138" t="s">
        <v>14</v>
      </c>
      <c r="AJ91" s="139" t="s">
        <v>23</v>
      </c>
      <c r="AK91" s="30">
        <f>COUNTIF($F91:$AJ91,$C$128)</f>
        <v>7</v>
      </c>
      <c r="AL91" s="7">
        <f>COUNTIF($F91:$AJ91,$C$129)</f>
        <v>0</v>
      </c>
      <c r="AM91" s="30">
        <f>COUNTIF($F91:$AJ91,$C$130)</f>
        <v>0</v>
      </c>
      <c r="AN91" s="30">
        <f>COUNTIF($F91:$AJ91,$C$131)</f>
        <v>0</v>
      </c>
      <c r="AO91" s="30">
        <f>COUNTIF($F91:$AJ91,$C$132)</f>
        <v>1</v>
      </c>
      <c r="AP91" s="43">
        <f>COUNTIF($F91:$AJ91,$C$133)</f>
        <v>0</v>
      </c>
      <c r="AQ91" s="30">
        <f>COUNTIF($F91:$AJ91,$C$134)</f>
        <v>0</v>
      </c>
      <c r="AR91" s="30">
        <f>COUNTIF($F91:$AJ91,$C$135)</f>
        <v>0</v>
      </c>
      <c r="AS91" s="30">
        <f>COUNTIF($F91:$AJ91,$C$136)</f>
        <v>20</v>
      </c>
      <c r="AT91" s="30">
        <f>COUNTIF($F91:$AJ91,$C$137)</f>
        <v>3</v>
      </c>
      <c r="AU91" s="30">
        <f>COUNTIF($F91:$AJ91,$C$138)</f>
        <v>0</v>
      </c>
      <c r="AV91" s="30">
        <f>COUNTIF($F91:$AJ91,$C$139)</f>
        <v>0</v>
      </c>
      <c r="AW91" s="30">
        <f>COUNTIF($F91:$AJ91,$C$140)</f>
        <v>0</v>
      </c>
      <c r="AX91" s="30">
        <f>COUNTIF($F91:$AJ91,$C$141)</f>
        <v>0</v>
      </c>
      <c r="AY91" s="82">
        <f>COUNTA(F91:AJ91)</f>
        <v>31</v>
      </c>
      <c r="AZ91" s="54">
        <f>AK91+AU91</f>
        <v>7</v>
      </c>
      <c r="BB91" s="34"/>
    </row>
    <row r="92" spans="1:54">
      <c r="A92" s="429"/>
      <c r="B92" s="60"/>
      <c r="C92" s="61"/>
      <c r="D92" s="61"/>
      <c r="E92" s="73" t="s">
        <v>34</v>
      </c>
      <c r="F92" s="145"/>
      <c r="G92" s="27"/>
      <c r="H92" s="25"/>
      <c r="I92" s="24"/>
      <c r="J92" s="23"/>
      <c r="K92" s="25"/>
      <c r="L92" s="25"/>
      <c r="M92" s="24"/>
      <c r="N92" s="24"/>
      <c r="O92" s="24"/>
      <c r="P92" s="24"/>
      <c r="Q92" s="23"/>
      <c r="R92" s="25"/>
      <c r="S92" s="25"/>
      <c r="T92" s="24"/>
      <c r="U92" s="24"/>
      <c r="V92" s="24"/>
      <c r="W92" s="24"/>
      <c r="X92" s="23"/>
      <c r="Y92" s="24"/>
      <c r="Z92" s="24"/>
      <c r="AA92" s="24"/>
      <c r="AB92" s="24"/>
      <c r="AC92" s="24"/>
      <c r="AD92" s="24"/>
      <c r="AE92" s="23"/>
      <c r="AF92" s="25"/>
      <c r="AG92" s="25"/>
      <c r="AH92" s="24"/>
      <c r="AI92" s="24"/>
      <c r="AJ92" s="24"/>
      <c r="AK92" s="481">
        <f>SUM(F92:AJ92)</f>
        <v>0</v>
      </c>
      <c r="AL92" s="482"/>
      <c r="AM92" s="482"/>
      <c r="AN92" s="482"/>
      <c r="AO92" s="482"/>
      <c r="AP92" s="482"/>
      <c r="AQ92" s="482"/>
      <c r="AR92" s="482"/>
      <c r="AS92" s="482"/>
      <c r="AT92" s="482"/>
      <c r="AU92" s="482"/>
      <c r="AV92" s="482"/>
      <c r="AW92" s="482"/>
      <c r="AX92" s="482"/>
      <c r="AY92" s="483"/>
      <c r="AZ92" s="54"/>
      <c r="BB92" s="34"/>
    </row>
    <row r="93" spans="1:54">
      <c r="A93" s="430">
        <v>45</v>
      </c>
      <c r="B93" s="67">
        <v>18</v>
      </c>
      <c r="C93" s="56" t="s">
        <v>83</v>
      </c>
      <c r="D93" s="56" t="s">
        <v>84</v>
      </c>
      <c r="E93" s="71" t="s">
        <v>32</v>
      </c>
      <c r="F93" s="142" t="s">
        <v>24</v>
      </c>
      <c r="G93" s="180" t="s">
        <v>14</v>
      </c>
      <c r="H93" s="138" t="s">
        <v>14</v>
      </c>
      <c r="I93" s="139" t="s">
        <v>23</v>
      </c>
      <c r="J93" s="138" t="s">
        <v>14</v>
      </c>
      <c r="K93" s="138" t="s">
        <v>14</v>
      </c>
      <c r="L93" s="138" t="s">
        <v>14</v>
      </c>
      <c r="M93" s="138" t="s">
        <v>14</v>
      </c>
      <c r="N93" s="138" t="s">
        <v>14</v>
      </c>
      <c r="O93" s="138" t="s">
        <v>14</v>
      </c>
      <c r="P93" s="139" t="s">
        <v>23</v>
      </c>
      <c r="Q93" s="138" t="s">
        <v>14</v>
      </c>
      <c r="R93" s="138" t="s">
        <v>14</v>
      </c>
      <c r="S93" s="138" t="s">
        <v>14</v>
      </c>
      <c r="T93" s="138" t="s">
        <v>14</v>
      </c>
      <c r="U93" s="138" t="s">
        <v>14</v>
      </c>
      <c r="V93" s="138" t="s">
        <v>14</v>
      </c>
      <c r="W93" s="139" t="s">
        <v>23</v>
      </c>
      <c r="X93" s="138" t="s">
        <v>14</v>
      </c>
      <c r="Y93" s="138" t="s">
        <v>14</v>
      </c>
      <c r="Z93" s="138" t="s">
        <v>14</v>
      </c>
      <c r="AA93" s="138" t="s">
        <v>14</v>
      </c>
      <c r="AB93" s="138" t="s">
        <v>14</v>
      </c>
      <c r="AC93" s="138" t="s">
        <v>14</v>
      </c>
      <c r="AD93" s="139" t="s">
        <v>23</v>
      </c>
      <c r="AE93" s="138" t="s">
        <v>14</v>
      </c>
      <c r="AF93" s="138" t="s">
        <v>14</v>
      </c>
      <c r="AG93" s="138" t="s">
        <v>14</v>
      </c>
      <c r="AH93" s="138" t="s">
        <v>14</v>
      </c>
      <c r="AI93" s="138" t="s">
        <v>14</v>
      </c>
      <c r="AJ93" s="139" t="s">
        <v>23</v>
      </c>
      <c r="AK93" s="30">
        <f>COUNTIF($F93:$AJ93,$C$128)</f>
        <v>25</v>
      </c>
      <c r="AL93" s="30">
        <f>COUNTIF($F93:$AJ93,$C$129)</f>
        <v>0</v>
      </c>
      <c r="AM93" s="30">
        <f>COUNTIF($F93:$AJ93,$C$130)</f>
        <v>0</v>
      </c>
      <c r="AN93" s="30">
        <f>COUNTIF($F93:$AJ93,$C$131)</f>
        <v>0</v>
      </c>
      <c r="AO93" s="30">
        <f>COUNTIF($F93:$AJ93,$C$132)</f>
        <v>0</v>
      </c>
      <c r="AP93" s="30">
        <f>COUNTIF($F93:$AJ93,$C$133)</f>
        <v>0</v>
      </c>
      <c r="AQ93" s="30">
        <f>COUNTIF($F93:$AJ93,$C$134)</f>
        <v>0</v>
      </c>
      <c r="AR93" s="30">
        <f>COUNTIF($F93:$AJ93,$C$135)</f>
        <v>0</v>
      </c>
      <c r="AS93" s="30">
        <f>COUNTIF($F93:$AJ93,$C$136)</f>
        <v>0</v>
      </c>
      <c r="AT93" s="30">
        <f>COUNTIF($F93:$AJ93,$C$137)</f>
        <v>5</v>
      </c>
      <c r="AU93" s="30">
        <f>COUNTIF($F93:$AJ93,$C$138)</f>
        <v>1</v>
      </c>
      <c r="AV93" s="30">
        <f>COUNTIF($F93:$AJ93,$C$139)</f>
        <v>0</v>
      </c>
      <c r="AW93" s="30">
        <f>COUNTIF($F93:$AJ93,$C$140)</f>
        <v>0</v>
      </c>
      <c r="AX93" s="30">
        <f>COUNTIF($F93:$AJ93,$C$141)</f>
        <v>0</v>
      </c>
      <c r="AY93" s="82">
        <f>COUNTA(F93:AJ93)</f>
        <v>31</v>
      </c>
      <c r="AZ93" s="54">
        <f>AK93+AU93</f>
        <v>26</v>
      </c>
      <c r="BB93" s="34"/>
    </row>
    <row r="94" spans="1:54">
      <c r="A94" s="429"/>
      <c r="B94" s="60"/>
      <c r="C94" s="61"/>
      <c r="D94" s="61"/>
      <c r="E94" s="73" t="s">
        <v>34</v>
      </c>
      <c r="F94" s="225"/>
      <c r="G94" s="27"/>
      <c r="H94" s="45"/>
      <c r="I94" s="45"/>
      <c r="J94" s="45"/>
      <c r="K94" s="45"/>
      <c r="L94" s="45"/>
      <c r="M94" s="45"/>
      <c r="N94" s="45"/>
      <c r="O94" s="45"/>
      <c r="P94" s="24"/>
      <c r="Q94" s="23"/>
      <c r="R94" s="23"/>
      <c r="S94" s="45"/>
      <c r="T94" s="23"/>
      <c r="U94" s="24"/>
      <c r="V94" s="24"/>
      <c r="W94" s="24"/>
      <c r="X94" s="23"/>
      <c r="Y94" s="24"/>
      <c r="Z94" s="24"/>
      <c r="AA94" s="24"/>
      <c r="AB94" s="24"/>
      <c r="AC94" s="24"/>
      <c r="AD94" s="24"/>
      <c r="AE94" s="23"/>
      <c r="AF94" s="23"/>
      <c r="AG94" s="45"/>
      <c r="AH94" s="23"/>
      <c r="AI94" s="24"/>
      <c r="AJ94" s="24"/>
      <c r="AK94" s="459">
        <f>SUM(F94:AJ94)</f>
        <v>0</v>
      </c>
      <c r="AL94" s="445"/>
      <c r="AM94" s="445"/>
      <c r="AN94" s="445"/>
      <c r="AO94" s="445"/>
      <c r="AP94" s="445"/>
      <c r="AQ94" s="445"/>
      <c r="AR94" s="445"/>
      <c r="AS94" s="445"/>
      <c r="AT94" s="445"/>
      <c r="AU94" s="445"/>
      <c r="AV94" s="445"/>
      <c r="AW94" s="445"/>
      <c r="AX94" s="445"/>
      <c r="AY94" s="446"/>
      <c r="AZ94" s="54"/>
      <c r="BB94" s="34"/>
    </row>
    <row r="95" spans="1:54">
      <c r="A95" s="430">
        <v>46</v>
      </c>
      <c r="B95" s="67">
        <v>44</v>
      </c>
      <c r="C95" s="56" t="s">
        <v>85</v>
      </c>
      <c r="D95" s="83" t="s">
        <v>84</v>
      </c>
      <c r="E95" s="71" t="s">
        <v>32</v>
      </c>
      <c r="F95" s="142" t="s">
        <v>24</v>
      </c>
      <c r="G95" s="180" t="s">
        <v>14</v>
      </c>
      <c r="H95" s="138" t="s">
        <v>14</v>
      </c>
      <c r="I95" s="138" t="s">
        <v>14</v>
      </c>
      <c r="J95" s="138" t="s">
        <v>14</v>
      </c>
      <c r="K95" s="139" t="s">
        <v>23</v>
      </c>
      <c r="L95" s="138" t="s">
        <v>14</v>
      </c>
      <c r="M95" s="138" t="s">
        <v>14</v>
      </c>
      <c r="N95" s="138" t="s">
        <v>14</v>
      </c>
      <c r="O95" s="138" t="s">
        <v>14</v>
      </c>
      <c r="P95" s="138" t="s">
        <v>14</v>
      </c>
      <c r="Q95" s="138" t="s">
        <v>14</v>
      </c>
      <c r="R95" s="139" t="s">
        <v>23</v>
      </c>
      <c r="S95" s="138" t="s">
        <v>14</v>
      </c>
      <c r="T95" s="138" t="s">
        <v>14</v>
      </c>
      <c r="U95" s="138" t="s">
        <v>14</v>
      </c>
      <c r="V95" s="138" t="s">
        <v>14</v>
      </c>
      <c r="W95" s="138" t="s">
        <v>14</v>
      </c>
      <c r="X95" s="138" t="s">
        <v>14</v>
      </c>
      <c r="Y95" s="139" t="s">
        <v>23</v>
      </c>
      <c r="Z95" s="138" t="s">
        <v>14</v>
      </c>
      <c r="AA95" s="138" t="s">
        <v>14</v>
      </c>
      <c r="AB95" s="138" t="s">
        <v>14</v>
      </c>
      <c r="AC95" s="138" t="s">
        <v>14</v>
      </c>
      <c r="AD95" s="138" t="s">
        <v>14</v>
      </c>
      <c r="AE95" s="138" t="s">
        <v>14</v>
      </c>
      <c r="AF95" s="139" t="s">
        <v>23</v>
      </c>
      <c r="AG95" s="138" t="s">
        <v>14</v>
      </c>
      <c r="AH95" s="138" t="s">
        <v>14</v>
      </c>
      <c r="AI95" s="138" t="s">
        <v>14</v>
      </c>
      <c r="AJ95" s="138" t="s">
        <v>14</v>
      </c>
      <c r="AK95" s="30">
        <f>COUNTIF($F95:$AJ95,$C$128)</f>
        <v>26</v>
      </c>
      <c r="AL95" s="30">
        <f>COUNTIF($F95:$AJ95,$C$129)</f>
        <v>0</v>
      </c>
      <c r="AM95" s="30">
        <f>COUNTIF($F95:$AJ95,$C$130)</f>
        <v>0</v>
      </c>
      <c r="AN95" s="30">
        <f>COUNTIF($F95:$AJ95,$C$131)</f>
        <v>0</v>
      </c>
      <c r="AO95" s="30">
        <f>COUNTIF($F95:$AJ95,$C$132)</f>
        <v>0</v>
      </c>
      <c r="AP95" s="30">
        <f>COUNTIF($F95:$AJ95,$C$133)</f>
        <v>0</v>
      </c>
      <c r="AQ95" s="30">
        <f>COUNTIF($F95:$AJ95,$C$134)</f>
        <v>0</v>
      </c>
      <c r="AR95" s="30">
        <f>COUNTIF($F95:$AJ95,$C$135)</f>
        <v>0</v>
      </c>
      <c r="AS95" s="30">
        <f>COUNTIF($F95:$AJ95,$C$136)</f>
        <v>0</v>
      </c>
      <c r="AT95" s="30">
        <f>COUNTIF($F95:$AJ95,$C$137)</f>
        <v>4</v>
      </c>
      <c r="AU95" s="30">
        <f>COUNTIF($F95:$AJ95,$C$138)</f>
        <v>1</v>
      </c>
      <c r="AV95" s="30">
        <f>COUNTIF($F95:$AJ95,$C$139)</f>
        <v>0</v>
      </c>
      <c r="AW95" s="30">
        <f>COUNTIF($F95:$AJ95,$C$140)</f>
        <v>0</v>
      </c>
      <c r="AX95" s="30">
        <f>COUNTIF($F95:$AJ95,$C$141)</f>
        <v>0</v>
      </c>
      <c r="AY95" s="82">
        <f>COUNTA(F95:AJ95)</f>
        <v>31</v>
      </c>
      <c r="AZ95" s="54">
        <f>AK95+AU95</f>
        <v>27</v>
      </c>
    </row>
    <row r="96" spans="1:54">
      <c r="A96" s="429"/>
      <c r="B96" s="60"/>
      <c r="C96" s="61"/>
      <c r="D96" s="84"/>
      <c r="E96" s="73" t="s">
        <v>34</v>
      </c>
      <c r="F96" s="225"/>
      <c r="G96" s="27"/>
      <c r="H96" s="45"/>
      <c r="I96" s="45"/>
      <c r="J96" s="45"/>
      <c r="K96" s="45"/>
      <c r="L96" s="45"/>
      <c r="M96" s="45"/>
      <c r="N96" s="45"/>
      <c r="O96" s="45"/>
      <c r="P96" s="24"/>
      <c r="Q96" s="23"/>
      <c r="R96" s="23"/>
      <c r="S96" s="45"/>
      <c r="T96" s="23"/>
      <c r="U96" s="24"/>
      <c r="V96" s="24"/>
      <c r="W96" s="24"/>
      <c r="X96" s="23"/>
      <c r="Y96" s="24"/>
      <c r="Z96" s="24"/>
      <c r="AA96" s="24"/>
      <c r="AB96" s="24"/>
      <c r="AC96" s="24"/>
      <c r="AD96" s="24"/>
      <c r="AE96" s="23"/>
      <c r="AF96" s="23"/>
      <c r="AG96" s="45"/>
      <c r="AH96" s="23"/>
      <c r="AI96" s="24"/>
      <c r="AJ96" s="24"/>
      <c r="AK96" s="459">
        <f>SUM(F96:AJ96)</f>
        <v>0</v>
      </c>
      <c r="AL96" s="445"/>
      <c r="AM96" s="445"/>
      <c r="AN96" s="445"/>
      <c r="AO96" s="445"/>
      <c r="AP96" s="445"/>
      <c r="AQ96" s="445"/>
      <c r="AR96" s="445"/>
      <c r="AS96" s="445"/>
      <c r="AT96" s="445"/>
      <c r="AU96" s="445"/>
      <c r="AV96" s="445"/>
      <c r="AW96" s="445"/>
      <c r="AX96" s="445"/>
      <c r="AY96" s="446"/>
      <c r="AZ96" s="54"/>
    </row>
    <row r="97" spans="1:52">
      <c r="A97" s="430">
        <v>47</v>
      </c>
      <c r="B97" s="67">
        <v>73</v>
      </c>
      <c r="C97" s="56" t="s">
        <v>86</v>
      </c>
      <c r="D97" s="83" t="s">
        <v>84</v>
      </c>
      <c r="E97" s="71" t="s">
        <v>32</v>
      </c>
      <c r="F97" s="142" t="s">
        <v>24</v>
      </c>
      <c r="G97" s="258" t="s">
        <v>23</v>
      </c>
      <c r="H97" s="138" t="s">
        <v>14</v>
      </c>
      <c r="I97" s="138" t="s">
        <v>14</v>
      </c>
      <c r="J97" s="138" t="s">
        <v>14</v>
      </c>
      <c r="K97" s="138" t="s">
        <v>14</v>
      </c>
      <c r="L97" s="138" t="s">
        <v>14</v>
      </c>
      <c r="M97" s="138" t="s">
        <v>14</v>
      </c>
      <c r="N97" s="139" t="s">
        <v>23</v>
      </c>
      <c r="O97" s="138" t="s">
        <v>14</v>
      </c>
      <c r="P97" s="138" t="s">
        <v>14</v>
      </c>
      <c r="Q97" s="138" t="s">
        <v>14</v>
      </c>
      <c r="R97" s="138" t="s">
        <v>14</v>
      </c>
      <c r="S97" s="138" t="s">
        <v>14</v>
      </c>
      <c r="T97" s="138" t="s">
        <v>14</v>
      </c>
      <c r="U97" s="139" t="s">
        <v>23</v>
      </c>
      <c r="V97" s="138" t="s">
        <v>14</v>
      </c>
      <c r="W97" s="138" t="s">
        <v>14</v>
      </c>
      <c r="X97" s="138" t="s">
        <v>14</v>
      </c>
      <c r="Y97" s="138" t="s">
        <v>14</v>
      </c>
      <c r="Z97" s="138" t="s">
        <v>14</v>
      </c>
      <c r="AA97" s="138" t="s">
        <v>14</v>
      </c>
      <c r="AB97" s="139" t="s">
        <v>23</v>
      </c>
      <c r="AC97" s="138" t="s">
        <v>14</v>
      </c>
      <c r="AD97" s="138" t="s">
        <v>14</v>
      </c>
      <c r="AE97" s="138" t="s">
        <v>14</v>
      </c>
      <c r="AF97" s="138" t="s">
        <v>14</v>
      </c>
      <c r="AG97" s="138" t="s">
        <v>14</v>
      </c>
      <c r="AH97" s="138" t="s">
        <v>14</v>
      </c>
      <c r="AI97" s="139" t="s">
        <v>23</v>
      </c>
      <c r="AJ97" s="138" t="s">
        <v>14</v>
      </c>
      <c r="AK97" s="30">
        <f>COUNTIF($F97:$AJ97,$C$128)</f>
        <v>25</v>
      </c>
      <c r="AL97" s="30">
        <f>COUNTIF($F97:$AJ97,$C$129)</f>
        <v>0</v>
      </c>
      <c r="AM97" s="30">
        <f>COUNTIF($F97:$AJ97,$C$130)</f>
        <v>0</v>
      </c>
      <c r="AN97" s="30">
        <f>COUNTIF($F97:$AJ97,$C$131)</f>
        <v>0</v>
      </c>
      <c r="AO97" s="30">
        <f>COUNTIF($F97:$AJ97,$C$132)</f>
        <v>0</v>
      </c>
      <c r="AP97" s="30">
        <f>COUNTIF($F97:$AJ97,$C$133)</f>
        <v>0</v>
      </c>
      <c r="AQ97" s="30">
        <f>COUNTIF($F97:$AJ97,$C$134)</f>
        <v>0</v>
      </c>
      <c r="AR97" s="30">
        <f>COUNTIF($F97:$AJ97,$C$135)</f>
        <v>0</v>
      </c>
      <c r="AS97" s="30">
        <f>COUNTIF($F97:$AJ97,$C$136)</f>
        <v>0</v>
      </c>
      <c r="AT97" s="30">
        <f>COUNTIF($F97:$AJ97,$C$137)</f>
        <v>5</v>
      </c>
      <c r="AU97" s="30">
        <f>COUNTIF($F97:$AJ97,$C$138)</f>
        <v>1</v>
      </c>
      <c r="AV97" s="30">
        <f>COUNTIF($F97:$AJ97,$C$139)</f>
        <v>0</v>
      </c>
      <c r="AW97" s="30">
        <f>COUNTIF($F97:$AJ97,$C$140)</f>
        <v>0</v>
      </c>
      <c r="AX97" s="30">
        <f>COUNTIF($F97:$AJ97,$C$141)</f>
        <v>0</v>
      </c>
      <c r="AY97" s="82">
        <f>COUNTA(F97:AJ97)</f>
        <v>31</v>
      </c>
      <c r="AZ97" s="54">
        <f>AK97+AU97</f>
        <v>26</v>
      </c>
    </row>
    <row r="98" spans="1:52">
      <c r="A98" s="429"/>
      <c r="B98" s="60"/>
      <c r="C98" s="61"/>
      <c r="D98" s="84"/>
      <c r="E98" s="73" t="s">
        <v>34</v>
      </c>
      <c r="F98" s="225"/>
      <c r="G98" s="27"/>
      <c r="H98" s="45"/>
      <c r="I98" s="45"/>
      <c r="J98" s="25">
        <v>1</v>
      </c>
      <c r="K98" s="25"/>
      <c r="L98" s="25">
        <v>1</v>
      </c>
      <c r="M98" s="25"/>
      <c r="N98" s="25"/>
      <c r="O98" s="25"/>
      <c r="P98" s="125"/>
      <c r="Q98" s="125">
        <v>1</v>
      </c>
      <c r="R98" s="125"/>
      <c r="S98" s="25">
        <v>1</v>
      </c>
      <c r="T98" s="25"/>
      <c r="U98" s="25"/>
      <c r="V98" s="25"/>
      <c r="W98" s="25"/>
      <c r="X98" s="25">
        <v>1</v>
      </c>
      <c r="Y98" s="24"/>
      <c r="Z98" s="25">
        <v>1</v>
      </c>
      <c r="AA98" s="24"/>
      <c r="AB98" s="25"/>
      <c r="AC98" s="25"/>
      <c r="AD98" s="25"/>
      <c r="AE98" s="25">
        <v>1</v>
      </c>
      <c r="AF98" s="25"/>
      <c r="AG98" s="25">
        <v>1</v>
      </c>
      <c r="AH98" s="25"/>
      <c r="AI98" s="25"/>
      <c r="AJ98" s="25"/>
      <c r="AK98" s="459">
        <f>SUM(F98:AJ98)</f>
        <v>8</v>
      </c>
      <c r="AL98" s="445"/>
      <c r="AM98" s="445"/>
      <c r="AN98" s="445"/>
      <c r="AO98" s="445"/>
      <c r="AP98" s="445"/>
      <c r="AQ98" s="445"/>
      <c r="AR98" s="445"/>
      <c r="AS98" s="445"/>
      <c r="AT98" s="445"/>
      <c r="AU98" s="445"/>
      <c r="AV98" s="445"/>
      <c r="AW98" s="445"/>
      <c r="AX98" s="445"/>
      <c r="AY98" s="446"/>
      <c r="AZ98" s="54"/>
    </row>
    <row r="99" spans="1:52">
      <c r="A99" s="430">
        <v>48</v>
      </c>
      <c r="B99" s="67">
        <v>113</v>
      </c>
      <c r="C99" s="56" t="s">
        <v>87</v>
      </c>
      <c r="D99" s="83" t="s">
        <v>84</v>
      </c>
      <c r="E99" s="71" t="s">
        <v>32</v>
      </c>
      <c r="F99" s="257" t="s">
        <v>23</v>
      </c>
      <c r="G99" s="180" t="s">
        <v>14</v>
      </c>
      <c r="H99" s="138" t="s">
        <v>14</v>
      </c>
      <c r="I99" s="138" t="s">
        <v>14</v>
      </c>
      <c r="J99" s="138" t="s">
        <v>14</v>
      </c>
      <c r="K99" s="138" t="s">
        <v>14</v>
      </c>
      <c r="L99" s="138" t="s">
        <v>14</v>
      </c>
      <c r="M99" s="139" t="s">
        <v>23</v>
      </c>
      <c r="N99" s="138" t="s">
        <v>14</v>
      </c>
      <c r="O99" s="138" t="s">
        <v>14</v>
      </c>
      <c r="P99" s="138" t="s">
        <v>14</v>
      </c>
      <c r="Q99" s="138" t="s">
        <v>14</v>
      </c>
      <c r="R99" s="138" t="s">
        <v>14</v>
      </c>
      <c r="S99" s="138" t="s">
        <v>14</v>
      </c>
      <c r="T99" s="139" t="s">
        <v>23</v>
      </c>
      <c r="U99" s="138" t="s">
        <v>14</v>
      </c>
      <c r="V99" s="138" t="s">
        <v>14</v>
      </c>
      <c r="W99" s="138" t="s">
        <v>14</v>
      </c>
      <c r="X99" s="138" t="s">
        <v>14</v>
      </c>
      <c r="Y99" s="138" t="s">
        <v>14</v>
      </c>
      <c r="Z99" s="138" t="s">
        <v>14</v>
      </c>
      <c r="AA99" s="139" t="s">
        <v>23</v>
      </c>
      <c r="AB99" s="138" t="s">
        <v>14</v>
      </c>
      <c r="AC99" s="138" t="s">
        <v>14</v>
      </c>
      <c r="AD99" s="138" t="s">
        <v>14</v>
      </c>
      <c r="AE99" s="138" t="s">
        <v>14</v>
      </c>
      <c r="AF99" s="138" t="s">
        <v>14</v>
      </c>
      <c r="AG99" s="138" t="s">
        <v>14</v>
      </c>
      <c r="AH99" s="139" t="s">
        <v>23</v>
      </c>
      <c r="AI99" s="148" t="s">
        <v>22</v>
      </c>
      <c r="AJ99" s="148" t="s">
        <v>22</v>
      </c>
      <c r="AK99" s="30">
        <f>COUNTIF($F99:$AJ99,$C$128)</f>
        <v>24</v>
      </c>
      <c r="AL99" s="30">
        <f>COUNTIF($F99:$AJ99,$C$129)</f>
        <v>0</v>
      </c>
      <c r="AM99" s="30">
        <f>COUNTIF($F99:$AJ99,$C$130)</f>
        <v>0</v>
      </c>
      <c r="AN99" s="30">
        <f>COUNTIF($F99:$AJ99,$C$131)</f>
        <v>0</v>
      </c>
      <c r="AO99" s="30">
        <f>COUNTIF($F99:$AJ99,$C$132)</f>
        <v>0</v>
      </c>
      <c r="AP99" s="30">
        <f>COUNTIF($F99:$AJ99,$C$133)</f>
        <v>0</v>
      </c>
      <c r="AQ99" s="30">
        <f>COUNTIF($F99:$AJ99,$C$134)</f>
        <v>0</v>
      </c>
      <c r="AR99" s="30">
        <f>COUNTIF($F99:$AJ99,$C$135)</f>
        <v>0</v>
      </c>
      <c r="AS99" s="7">
        <f>COUNTIF($F99:$AJ99,$C$136)</f>
        <v>2</v>
      </c>
      <c r="AT99" s="30">
        <f>COUNTIF($F99:$AJ99,$C$137)</f>
        <v>5</v>
      </c>
      <c r="AU99" s="30">
        <f>COUNTIF($F99:$AJ99,$C$138)</f>
        <v>0</v>
      </c>
      <c r="AV99" s="30">
        <f>COUNTIF($F99:$AJ99,$C$139)</f>
        <v>0</v>
      </c>
      <c r="AW99" s="30">
        <f>COUNTIF($F99:$AJ99,$C$140)</f>
        <v>0</v>
      </c>
      <c r="AX99" s="30">
        <f>COUNTIF($F99:$AJ99,$C$141)</f>
        <v>0</v>
      </c>
      <c r="AY99" s="82">
        <f>COUNTA(F99:AJ99)</f>
        <v>31</v>
      </c>
      <c r="AZ99" s="54">
        <f>AK99+AU99</f>
        <v>24</v>
      </c>
    </row>
    <row r="100" spans="1:52">
      <c r="A100" s="429"/>
      <c r="B100" s="60"/>
      <c r="C100" s="61"/>
      <c r="D100" s="84"/>
      <c r="E100" s="73" t="s">
        <v>34</v>
      </c>
      <c r="F100" s="225"/>
      <c r="G100" s="27"/>
      <c r="H100" s="45"/>
      <c r="I100" s="45"/>
      <c r="J100" s="45"/>
      <c r="K100" s="45"/>
      <c r="L100" s="45"/>
      <c r="M100" s="45"/>
      <c r="N100" s="45"/>
      <c r="O100" s="45"/>
      <c r="P100" s="24"/>
      <c r="Q100" s="23"/>
      <c r="R100" s="23"/>
      <c r="S100" s="45"/>
      <c r="T100" s="23"/>
      <c r="U100" s="24"/>
      <c r="V100" s="24"/>
      <c r="W100" s="24"/>
      <c r="X100" s="23"/>
      <c r="Y100" s="24"/>
      <c r="Z100" s="24"/>
      <c r="AA100" s="24"/>
      <c r="AB100" s="24"/>
      <c r="AC100" s="24"/>
      <c r="AD100" s="24"/>
      <c r="AE100" s="23"/>
      <c r="AF100" s="23"/>
      <c r="AG100" s="45"/>
      <c r="AH100" s="23"/>
      <c r="AI100" s="24"/>
      <c r="AJ100" s="24"/>
      <c r="AK100" s="459">
        <f>SUM(F100:AJ100)</f>
        <v>0</v>
      </c>
      <c r="AL100" s="445"/>
      <c r="AM100" s="445"/>
      <c r="AN100" s="445"/>
      <c r="AO100" s="445"/>
      <c r="AP100" s="445"/>
      <c r="AQ100" s="445"/>
      <c r="AR100" s="445"/>
      <c r="AS100" s="445"/>
      <c r="AT100" s="445"/>
      <c r="AU100" s="445"/>
      <c r="AV100" s="445"/>
      <c r="AW100" s="445"/>
      <c r="AX100" s="445"/>
      <c r="AY100" s="446"/>
      <c r="AZ100" s="54"/>
    </row>
    <row r="101" spans="1:52">
      <c r="A101" s="430">
        <v>49</v>
      </c>
      <c r="B101" s="67">
        <v>89</v>
      </c>
      <c r="C101" s="56" t="s">
        <v>88</v>
      </c>
      <c r="D101" s="83" t="s">
        <v>84</v>
      </c>
      <c r="E101" s="71" t="s">
        <v>32</v>
      </c>
      <c r="F101" s="142" t="s">
        <v>24</v>
      </c>
      <c r="G101" s="180" t="s">
        <v>14</v>
      </c>
      <c r="H101" s="138" t="s">
        <v>14</v>
      </c>
      <c r="I101" s="138" t="s">
        <v>14</v>
      </c>
      <c r="J101" s="138" t="s">
        <v>14</v>
      </c>
      <c r="K101" s="138" t="s">
        <v>14</v>
      </c>
      <c r="L101" s="139" t="s">
        <v>23</v>
      </c>
      <c r="M101" s="138" t="s">
        <v>14</v>
      </c>
      <c r="N101" s="138" t="s">
        <v>14</v>
      </c>
      <c r="O101" s="138" t="s">
        <v>14</v>
      </c>
      <c r="P101" s="138" t="s">
        <v>14</v>
      </c>
      <c r="Q101" s="138" t="s">
        <v>14</v>
      </c>
      <c r="R101" s="138" t="s">
        <v>14</v>
      </c>
      <c r="S101" s="139" t="s">
        <v>23</v>
      </c>
      <c r="T101" s="138" t="s">
        <v>14</v>
      </c>
      <c r="U101" s="138" t="s">
        <v>14</v>
      </c>
      <c r="V101" s="138" t="s">
        <v>14</v>
      </c>
      <c r="W101" s="138" t="s">
        <v>14</v>
      </c>
      <c r="X101" s="138" t="s">
        <v>14</v>
      </c>
      <c r="Y101" s="138" t="s">
        <v>14</v>
      </c>
      <c r="Z101" s="139" t="s">
        <v>23</v>
      </c>
      <c r="AA101" s="138" t="s">
        <v>14</v>
      </c>
      <c r="AB101" s="138" t="s">
        <v>14</v>
      </c>
      <c r="AC101" s="138" t="s">
        <v>14</v>
      </c>
      <c r="AD101" s="138" t="s">
        <v>14</v>
      </c>
      <c r="AE101" s="138" t="s">
        <v>14</v>
      </c>
      <c r="AF101" s="138" t="s">
        <v>14</v>
      </c>
      <c r="AG101" s="139" t="s">
        <v>23</v>
      </c>
      <c r="AH101" s="138" t="s">
        <v>14</v>
      </c>
      <c r="AI101" s="138" t="s">
        <v>14</v>
      </c>
      <c r="AJ101" s="138" t="s">
        <v>14</v>
      </c>
      <c r="AK101" s="30">
        <f>COUNTIF($F101:$AJ101,$C$128)</f>
        <v>26</v>
      </c>
      <c r="AL101" s="30">
        <f>COUNTIF($F101:$AJ101,$C$129)</f>
        <v>0</v>
      </c>
      <c r="AM101" s="30">
        <f>COUNTIF($F101:$AJ101,$C$130)</f>
        <v>0</v>
      </c>
      <c r="AN101" s="30">
        <f>COUNTIF($F101:$AJ101,$C$131)</f>
        <v>0</v>
      </c>
      <c r="AO101" s="30">
        <f>COUNTIF($F101:$AJ101,$C$132)</f>
        <v>0</v>
      </c>
      <c r="AP101" s="30">
        <f>COUNTIF($F101:$AJ101,$C$133)</f>
        <v>0</v>
      </c>
      <c r="AQ101" s="30">
        <f>COUNTIF($F101:$AJ101,$C$134)</f>
        <v>0</v>
      </c>
      <c r="AR101" s="30">
        <f>COUNTIF($F101:$AJ101,$C$135)</f>
        <v>0</v>
      </c>
      <c r="AS101" s="30">
        <f>COUNTIF($F101:$AJ101,$C$136)</f>
        <v>0</v>
      </c>
      <c r="AT101" s="30">
        <f>COUNTIF($F101:$AJ101,$C$137)</f>
        <v>4</v>
      </c>
      <c r="AU101" s="30">
        <f>COUNTIF($F101:$AJ101,$C$138)</f>
        <v>1</v>
      </c>
      <c r="AV101" s="30">
        <f>COUNTIF($F101:$AJ101,$C$139)</f>
        <v>0</v>
      </c>
      <c r="AW101" s="30">
        <f>COUNTIF($F101:$AJ101,$C$140)</f>
        <v>0</v>
      </c>
      <c r="AX101" s="30">
        <f>COUNTIF($F101:$AJ101,$C$141)</f>
        <v>0</v>
      </c>
      <c r="AY101" s="82">
        <f>COUNTA(F101:AJ101)</f>
        <v>31</v>
      </c>
      <c r="AZ101" s="54">
        <f>AK101+AU101</f>
        <v>27</v>
      </c>
    </row>
    <row r="102" spans="1:52">
      <c r="A102" s="429"/>
      <c r="B102" s="60"/>
      <c r="C102" s="61"/>
      <c r="D102" s="84"/>
      <c r="E102" s="73" t="s">
        <v>34</v>
      </c>
      <c r="F102" s="225"/>
      <c r="G102" s="27"/>
      <c r="H102" s="45"/>
      <c r="I102" s="45"/>
      <c r="J102" s="45"/>
      <c r="K102" s="45"/>
      <c r="L102" s="45"/>
      <c r="M102" s="45"/>
      <c r="N102" s="45"/>
      <c r="O102" s="45"/>
      <c r="P102" s="24"/>
      <c r="Q102" s="23"/>
      <c r="R102" s="23"/>
      <c r="S102" s="45"/>
      <c r="T102" s="23"/>
      <c r="U102" s="24"/>
      <c r="V102" s="24"/>
      <c r="W102" s="24"/>
      <c r="X102" s="23"/>
      <c r="Y102" s="24"/>
      <c r="Z102" s="24"/>
      <c r="AA102" s="24"/>
      <c r="AB102" s="24"/>
      <c r="AC102" s="24"/>
      <c r="AD102" s="24"/>
      <c r="AE102" s="23"/>
      <c r="AF102" s="23"/>
      <c r="AG102" s="45"/>
      <c r="AH102" s="23"/>
      <c r="AI102" s="24"/>
      <c r="AJ102" s="24"/>
      <c r="AK102" s="459">
        <f>SUM(F102:AJ102)</f>
        <v>0</v>
      </c>
      <c r="AL102" s="445"/>
      <c r="AM102" s="445"/>
      <c r="AN102" s="445"/>
      <c r="AO102" s="445"/>
      <c r="AP102" s="445"/>
      <c r="AQ102" s="445"/>
      <c r="AR102" s="445"/>
      <c r="AS102" s="445"/>
      <c r="AT102" s="445"/>
      <c r="AU102" s="445"/>
      <c r="AV102" s="445"/>
      <c r="AW102" s="445"/>
      <c r="AX102" s="445"/>
      <c r="AY102" s="446"/>
      <c r="AZ102" s="54"/>
    </row>
    <row r="103" spans="1:52">
      <c r="A103" s="430">
        <v>50</v>
      </c>
      <c r="B103" s="67">
        <v>118</v>
      </c>
      <c r="C103" s="56" t="s">
        <v>89</v>
      </c>
      <c r="D103" s="83" t="s">
        <v>84</v>
      </c>
      <c r="E103" s="71" t="s">
        <v>32</v>
      </c>
      <c r="F103" s="142" t="s">
        <v>24</v>
      </c>
      <c r="G103" s="180" t="s">
        <v>14</v>
      </c>
      <c r="H103" s="138" t="s">
        <v>14</v>
      </c>
      <c r="I103" s="138" t="s">
        <v>14</v>
      </c>
      <c r="J103" s="138" t="s">
        <v>14</v>
      </c>
      <c r="K103" s="138" t="s">
        <v>14</v>
      </c>
      <c r="L103" s="139" t="s">
        <v>23</v>
      </c>
      <c r="M103" s="138" t="s">
        <v>14</v>
      </c>
      <c r="N103" s="138" t="s">
        <v>14</v>
      </c>
      <c r="O103" s="138" t="s">
        <v>14</v>
      </c>
      <c r="P103" s="138" t="s">
        <v>14</v>
      </c>
      <c r="Q103" s="138" t="s">
        <v>14</v>
      </c>
      <c r="R103" s="138" t="s">
        <v>14</v>
      </c>
      <c r="S103" s="139" t="s">
        <v>23</v>
      </c>
      <c r="T103" s="138" t="s">
        <v>14</v>
      </c>
      <c r="U103" s="138" t="s">
        <v>14</v>
      </c>
      <c r="V103" s="138" t="s">
        <v>14</v>
      </c>
      <c r="W103" s="138" t="s">
        <v>14</v>
      </c>
      <c r="X103" s="138" t="s">
        <v>14</v>
      </c>
      <c r="Y103" s="138" t="s">
        <v>14</v>
      </c>
      <c r="Z103" s="139" t="s">
        <v>23</v>
      </c>
      <c r="AA103" s="138" t="s">
        <v>14</v>
      </c>
      <c r="AB103" s="138" t="s">
        <v>14</v>
      </c>
      <c r="AC103" s="138" t="s">
        <v>14</v>
      </c>
      <c r="AD103" s="138" t="s">
        <v>14</v>
      </c>
      <c r="AE103" s="138" t="s">
        <v>14</v>
      </c>
      <c r="AF103" s="138" t="s">
        <v>14</v>
      </c>
      <c r="AG103" s="139" t="s">
        <v>23</v>
      </c>
      <c r="AH103" s="138" t="s">
        <v>14</v>
      </c>
      <c r="AI103" s="138" t="s">
        <v>14</v>
      </c>
      <c r="AJ103" s="138" t="s">
        <v>14</v>
      </c>
      <c r="AK103" s="30">
        <f>COUNTIF($F103:$AJ103,$C$128)</f>
        <v>26</v>
      </c>
      <c r="AL103" s="30">
        <f>COUNTIF($F103:$AJ103,$C$129)</f>
        <v>0</v>
      </c>
      <c r="AM103" s="30">
        <f>COUNTIF($F103:$AJ103,$C$130)</f>
        <v>0</v>
      </c>
      <c r="AN103" s="30">
        <f>COUNTIF($F103:$AJ103,$C$131)</f>
        <v>0</v>
      </c>
      <c r="AO103" s="30">
        <f>COUNTIF($F103:$AJ103,$C$132)</f>
        <v>0</v>
      </c>
      <c r="AP103" s="30">
        <f>COUNTIF($F103:$AJ103,$C$133)</f>
        <v>0</v>
      </c>
      <c r="AQ103" s="30">
        <f>COUNTIF($F103:$AJ103,$C$134)</f>
        <v>0</v>
      </c>
      <c r="AR103" s="30">
        <f>COUNTIF($F103:$AJ103,$C$135)</f>
        <v>0</v>
      </c>
      <c r="AS103" s="30">
        <f>COUNTIF($F103:$AJ103,$C$136)</f>
        <v>0</v>
      </c>
      <c r="AT103" s="30">
        <f>COUNTIF($F103:$AJ103,$C$137)</f>
        <v>4</v>
      </c>
      <c r="AU103" s="30">
        <f>COUNTIF($F103:$AJ103,$C$138)</f>
        <v>1</v>
      </c>
      <c r="AV103" s="30">
        <f>COUNTIF($F103:$AJ103,$C$139)</f>
        <v>0</v>
      </c>
      <c r="AW103" s="30">
        <f>COUNTIF($F103:$AJ103,$C$140)</f>
        <v>0</v>
      </c>
      <c r="AX103" s="30">
        <f>COUNTIF($F103:$AJ103,$C$141)</f>
        <v>0</v>
      </c>
      <c r="AY103" s="82">
        <f>COUNTA(F103:AJ103)</f>
        <v>31</v>
      </c>
      <c r="AZ103" s="54">
        <f>AK103+AU103</f>
        <v>27</v>
      </c>
    </row>
    <row r="104" spans="1:52">
      <c r="A104" s="429"/>
      <c r="B104" s="60"/>
      <c r="C104" s="61"/>
      <c r="D104" s="84"/>
      <c r="E104" s="73" t="s">
        <v>34</v>
      </c>
      <c r="F104" s="226"/>
      <c r="G104" s="26">
        <v>1</v>
      </c>
      <c r="H104" s="25">
        <v>1</v>
      </c>
      <c r="I104" s="25"/>
      <c r="J104" s="25">
        <v>1</v>
      </c>
      <c r="K104" s="25">
        <v>1</v>
      </c>
      <c r="L104" s="25"/>
      <c r="M104" s="25">
        <v>1</v>
      </c>
      <c r="N104" s="25">
        <v>1</v>
      </c>
      <c r="O104" s="25">
        <v>1</v>
      </c>
      <c r="P104" s="25">
        <v>1</v>
      </c>
      <c r="Q104" s="25">
        <v>1</v>
      </c>
      <c r="R104" s="25">
        <v>1</v>
      </c>
      <c r="S104" s="25"/>
      <c r="T104" s="25">
        <v>1</v>
      </c>
      <c r="U104" s="25">
        <v>1</v>
      </c>
      <c r="V104" s="25">
        <v>1</v>
      </c>
      <c r="W104" s="25">
        <v>1</v>
      </c>
      <c r="X104" s="25">
        <v>1</v>
      </c>
      <c r="Y104" s="25">
        <v>1</v>
      </c>
      <c r="Z104" s="25"/>
      <c r="AA104" s="25">
        <v>1</v>
      </c>
      <c r="AB104" s="25">
        <v>1</v>
      </c>
      <c r="AC104" s="25">
        <v>1</v>
      </c>
      <c r="AD104" s="25">
        <v>1</v>
      </c>
      <c r="AE104" s="25">
        <v>1</v>
      </c>
      <c r="AF104" s="25">
        <v>1</v>
      </c>
      <c r="AG104" s="25"/>
      <c r="AH104" s="25">
        <v>1</v>
      </c>
      <c r="AI104" s="25">
        <v>1</v>
      </c>
      <c r="AJ104" s="24">
        <v>1</v>
      </c>
      <c r="AK104" s="459">
        <f>SUM(F104:AJ104)</f>
        <v>25</v>
      </c>
      <c r="AL104" s="445"/>
      <c r="AM104" s="445"/>
      <c r="AN104" s="445"/>
      <c r="AO104" s="445"/>
      <c r="AP104" s="445"/>
      <c r="AQ104" s="445"/>
      <c r="AR104" s="445"/>
      <c r="AS104" s="445"/>
      <c r="AT104" s="445"/>
      <c r="AU104" s="445"/>
      <c r="AV104" s="445"/>
      <c r="AW104" s="445"/>
      <c r="AX104" s="445"/>
      <c r="AY104" s="446"/>
      <c r="AZ104" s="54"/>
    </row>
    <row r="105" spans="1:52">
      <c r="A105" s="430">
        <v>51</v>
      </c>
      <c r="B105" s="67">
        <v>14</v>
      </c>
      <c r="C105" s="56" t="s">
        <v>90</v>
      </c>
      <c r="D105" s="83" t="s">
        <v>84</v>
      </c>
      <c r="E105" s="71" t="s">
        <v>32</v>
      </c>
      <c r="F105" s="142" t="s">
        <v>24</v>
      </c>
      <c r="G105" s="180" t="s">
        <v>14</v>
      </c>
      <c r="H105" s="260" t="s">
        <v>23</v>
      </c>
      <c r="I105" s="138" t="s">
        <v>14</v>
      </c>
      <c r="J105" s="138" t="s">
        <v>14</v>
      </c>
      <c r="K105" s="138" t="s">
        <v>14</v>
      </c>
      <c r="L105" s="138" t="s">
        <v>14</v>
      </c>
      <c r="M105" s="138" t="s">
        <v>14</v>
      </c>
      <c r="N105" s="138" t="s">
        <v>14</v>
      </c>
      <c r="O105" s="139" t="s">
        <v>23</v>
      </c>
      <c r="P105" s="138" t="s">
        <v>14</v>
      </c>
      <c r="Q105" s="138" t="s">
        <v>14</v>
      </c>
      <c r="R105" s="138" t="s">
        <v>14</v>
      </c>
      <c r="S105" s="138" t="s">
        <v>14</v>
      </c>
      <c r="T105" s="138" t="s">
        <v>14</v>
      </c>
      <c r="U105" s="138" t="s">
        <v>14</v>
      </c>
      <c r="V105" s="139" t="s">
        <v>23</v>
      </c>
      <c r="W105" s="138" t="s">
        <v>14</v>
      </c>
      <c r="X105" s="138" t="s">
        <v>14</v>
      </c>
      <c r="Y105" s="138" t="s">
        <v>14</v>
      </c>
      <c r="Z105" s="138" t="s">
        <v>14</v>
      </c>
      <c r="AA105" s="138" t="s">
        <v>14</v>
      </c>
      <c r="AB105" s="148" t="s">
        <v>22</v>
      </c>
      <c r="AC105" s="148" t="s">
        <v>22</v>
      </c>
      <c r="AD105" s="148" t="s">
        <v>22</v>
      </c>
      <c r="AE105" s="148" t="s">
        <v>22</v>
      </c>
      <c r="AF105" s="148" t="s">
        <v>22</v>
      </c>
      <c r="AG105" s="138" t="s">
        <v>14</v>
      </c>
      <c r="AH105" s="138" t="s">
        <v>14</v>
      </c>
      <c r="AI105" s="138" t="s">
        <v>14</v>
      </c>
      <c r="AJ105" s="139" t="s">
        <v>23</v>
      </c>
      <c r="AK105" s="30">
        <f>COUNTIF($F105:$AJ105,$C$128)</f>
        <v>21</v>
      </c>
      <c r="AL105" s="30">
        <f>COUNTIF($F105:$AJ105,$C$129)</f>
        <v>0</v>
      </c>
      <c r="AM105" s="30">
        <f>COUNTIF($F105:$AJ105,$C$130)</f>
        <v>0</v>
      </c>
      <c r="AN105" s="30">
        <f>COUNTIF($F105:$AJ105,$C$131)</f>
        <v>0</v>
      </c>
      <c r="AO105" s="30">
        <f>COUNTIF($F105:$AJ105,$C$132)</f>
        <v>0</v>
      </c>
      <c r="AP105" s="30">
        <f>COUNTIF($F105:$AJ105,$C$133)</f>
        <v>0</v>
      </c>
      <c r="AQ105" s="30">
        <f>COUNTIF($F105:$AJ105,$C$134)</f>
        <v>0</v>
      </c>
      <c r="AR105" s="30">
        <f>COUNTIF($F105:$AJ105,$C$135)</f>
        <v>0</v>
      </c>
      <c r="AS105" s="30">
        <f>COUNTIF($F105:$AJ105,$C$136)</f>
        <v>5</v>
      </c>
      <c r="AT105" s="30">
        <f>COUNTIF($F105:$AJ105,$C$137)</f>
        <v>4</v>
      </c>
      <c r="AU105" s="30">
        <f>COUNTIF($F105:$AJ105,$C$138)</f>
        <v>1</v>
      </c>
      <c r="AV105" s="30">
        <f>COUNTIF($F105:$AJ105,$C$139)</f>
        <v>0</v>
      </c>
      <c r="AW105" s="30">
        <f>COUNTIF($F105:$AJ105,$C$140)</f>
        <v>0</v>
      </c>
      <c r="AX105" s="30">
        <f>COUNTIF($F105:$AJ105,$C$141)</f>
        <v>0</v>
      </c>
      <c r="AY105" s="82">
        <f>COUNTA(F105:AJ105)</f>
        <v>31</v>
      </c>
      <c r="AZ105" s="54">
        <f>AK105+AU105</f>
        <v>22</v>
      </c>
    </row>
    <row r="106" spans="1:52">
      <c r="A106" s="429"/>
      <c r="B106" s="60"/>
      <c r="C106" s="61"/>
      <c r="D106" s="84"/>
      <c r="E106" s="73" t="s">
        <v>34</v>
      </c>
      <c r="F106" s="225"/>
      <c r="G106" s="27"/>
      <c r="H106" s="45"/>
      <c r="I106" s="45"/>
      <c r="J106" s="45"/>
      <c r="K106" s="45"/>
      <c r="L106" s="45"/>
      <c r="M106" s="45"/>
      <c r="N106" s="45"/>
      <c r="O106" s="45"/>
      <c r="P106" s="24"/>
      <c r="Q106" s="23"/>
      <c r="R106" s="23"/>
      <c r="S106" s="45"/>
      <c r="T106" s="23"/>
      <c r="U106" s="24"/>
      <c r="V106" s="24"/>
      <c r="W106" s="24"/>
      <c r="X106" s="23"/>
      <c r="Y106" s="24"/>
      <c r="Z106" s="24"/>
      <c r="AA106" s="24"/>
      <c r="AB106" s="24"/>
      <c r="AC106" s="24"/>
      <c r="AD106" s="24"/>
      <c r="AE106" s="23"/>
      <c r="AF106" s="23"/>
      <c r="AG106" s="45"/>
      <c r="AH106" s="23"/>
      <c r="AI106" s="24"/>
      <c r="AJ106" s="24"/>
      <c r="AK106" s="459">
        <f>SUM(F106:AJ106)</f>
        <v>0</v>
      </c>
      <c r="AL106" s="445"/>
      <c r="AM106" s="445"/>
      <c r="AN106" s="445"/>
      <c r="AO106" s="445"/>
      <c r="AP106" s="445"/>
      <c r="AQ106" s="445"/>
      <c r="AR106" s="445"/>
      <c r="AS106" s="445"/>
      <c r="AT106" s="445"/>
      <c r="AU106" s="445"/>
      <c r="AV106" s="445"/>
      <c r="AW106" s="445"/>
      <c r="AX106" s="445"/>
      <c r="AY106" s="446"/>
      <c r="AZ106" s="54"/>
    </row>
    <row r="107" spans="1:52">
      <c r="A107" s="430">
        <v>52</v>
      </c>
      <c r="B107" s="67">
        <v>132</v>
      </c>
      <c r="C107" s="56" t="s">
        <v>91</v>
      </c>
      <c r="D107" s="83" t="s">
        <v>84</v>
      </c>
      <c r="E107" s="71" t="s">
        <v>32</v>
      </c>
      <c r="F107" s="224" t="s">
        <v>18</v>
      </c>
      <c r="G107" s="180" t="s">
        <v>14</v>
      </c>
      <c r="H107" s="138" t="s">
        <v>14</v>
      </c>
      <c r="I107" s="139" t="s">
        <v>23</v>
      </c>
      <c r="J107" s="138" t="s">
        <v>14</v>
      </c>
      <c r="K107" s="138" t="s">
        <v>14</v>
      </c>
      <c r="L107" s="138" t="s">
        <v>14</v>
      </c>
      <c r="M107" s="138" t="s">
        <v>14</v>
      </c>
      <c r="N107" s="138" t="s">
        <v>14</v>
      </c>
      <c r="O107" s="138" t="s">
        <v>14</v>
      </c>
      <c r="P107" s="139" t="s">
        <v>23</v>
      </c>
      <c r="Q107" s="138" t="s">
        <v>14</v>
      </c>
      <c r="R107" s="138" t="s">
        <v>14</v>
      </c>
      <c r="S107" s="138" t="s">
        <v>14</v>
      </c>
      <c r="T107" s="138" t="s">
        <v>14</v>
      </c>
      <c r="U107" s="138" t="s">
        <v>14</v>
      </c>
      <c r="V107" s="138" t="s">
        <v>14</v>
      </c>
      <c r="W107" s="139" t="s">
        <v>23</v>
      </c>
      <c r="X107" s="138" t="s">
        <v>14</v>
      </c>
      <c r="Y107" s="138" t="s">
        <v>14</v>
      </c>
      <c r="Z107" s="138" t="s">
        <v>14</v>
      </c>
      <c r="AA107" s="138" t="s">
        <v>14</v>
      </c>
      <c r="AB107" s="138" t="s">
        <v>14</v>
      </c>
      <c r="AC107" s="138" t="s">
        <v>14</v>
      </c>
      <c r="AD107" s="261" t="s">
        <v>23</v>
      </c>
      <c r="AE107" s="138" t="s">
        <v>14</v>
      </c>
      <c r="AF107" s="138" t="s">
        <v>14</v>
      </c>
      <c r="AG107" s="138" t="s">
        <v>14</v>
      </c>
      <c r="AH107" s="138" t="s">
        <v>14</v>
      </c>
      <c r="AI107" s="138" t="s">
        <v>14</v>
      </c>
      <c r="AJ107" s="138" t="s">
        <v>14</v>
      </c>
      <c r="AK107" s="30">
        <f>COUNTIF($F107:$AJ107,$C$128)</f>
        <v>26</v>
      </c>
      <c r="AL107" s="30">
        <f>COUNTIF($F107:$AJ107,$C$129)</f>
        <v>0</v>
      </c>
      <c r="AM107" s="30">
        <f>COUNTIF($F107:$AJ107,$C$130)</f>
        <v>0</v>
      </c>
      <c r="AN107" s="30">
        <f>COUNTIF($F107:$AJ107,$C$131)</f>
        <v>0</v>
      </c>
      <c r="AO107" s="30">
        <f>COUNTIF($F107:$AJ107,$C$132)</f>
        <v>1</v>
      </c>
      <c r="AP107" s="30">
        <f>COUNTIF($F107:$AJ107,$C$133)</f>
        <v>0</v>
      </c>
      <c r="AQ107" s="30">
        <f>COUNTIF($F107:$AJ107,$C$134)</f>
        <v>0</v>
      </c>
      <c r="AR107" s="7">
        <f>COUNTIF($F107:$AJ107,$C$135)</f>
        <v>0</v>
      </c>
      <c r="AS107" s="30">
        <f>COUNTIF($F107:$AJ107,$C$136)</f>
        <v>0</v>
      </c>
      <c r="AT107" s="30">
        <f>COUNTIF($F107:$AJ107,$C$137)</f>
        <v>4</v>
      </c>
      <c r="AU107" s="30">
        <f>COUNTIF($F107:$AJ107,$C$138)</f>
        <v>0</v>
      </c>
      <c r="AV107" s="30">
        <f>COUNTIF($F107:$AJ107,$C$139)</f>
        <v>0</v>
      </c>
      <c r="AW107" s="30">
        <f>COUNTIF($F107:$AJ107,$C$140)</f>
        <v>0</v>
      </c>
      <c r="AX107" s="30">
        <f>COUNTIF($F107:$AJ107,$C$141)</f>
        <v>0</v>
      </c>
      <c r="AY107" s="82">
        <f>COUNTA(F107:AJ107)</f>
        <v>31</v>
      </c>
      <c r="AZ107" s="54">
        <f>AK107+AU107</f>
        <v>26</v>
      </c>
    </row>
    <row r="108" spans="1:52">
      <c r="A108" s="429"/>
      <c r="B108" s="60"/>
      <c r="C108" s="61"/>
      <c r="D108" s="84"/>
      <c r="E108" s="73" t="s">
        <v>34</v>
      </c>
      <c r="F108" s="145"/>
      <c r="G108" s="27"/>
      <c r="H108" s="45"/>
      <c r="I108" s="45"/>
      <c r="J108" s="45"/>
      <c r="K108" s="45"/>
      <c r="L108" s="45"/>
      <c r="M108" s="45"/>
      <c r="N108" s="45"/>
      <c r="O108" s="45"/>
      <c r="P108" s="24"/>
      <c r="Q108" s="23"/>
      <c r="R108" s="25"/>
      <c r="S108" s="25"/>
      <c r="T108" s="24"/>
      <c r="U108" s="24"/>
      <c r="V108" s="24"/>
      <c r="W108" s="24"/>
      <c r="X108" s="23"/>
      <c r="Y108" s="25"/>
      <c r="Z108" s="25"/>
      <c r="AA108" s="24"/>
      <c r="AB108" s="24"/>
      <c r="AC108" s="24"/>
      <c r="AD108" s="24"/>
      <c r="AE108" s="23"/>
      <c r="AF108" s="25"/>
      <c r="AG108" s="25"/>
      <c r="AH108" s="24"/>
      <c r="AI108" s="24"/>
      <c r="AJ108" s="24"/>
      <c r="AK108" s="459">
        <f>SUM(F108:AJ108)</f>
        <v>0</v>
      </c>
      <c r="AL108" s="445"/>
      <c r="AM108" s="445"/>
      <c r="AN108" s="445"/>
      <c r="AO108" s="445"/>
      <c r="AP108" s="445"/>
      <c r="AQ108" s="445"/>
      <c r="AR108" s="445"/>
      <c r="AS108" s="445"/>
      <c r="AT108" s="445"/>
      <c r="AU108" s="445"/>
      <c r="AV108" s="445"/>
      <c r="AW108" s="445"/>
      <c r="AX108" s="445"/>
      <c r="AY108" s="446"/>
      <c r="AZ108" s="54"/>
    </row>
    <row r="109" spans="1:52">
      <c r="A109" s="430">
        <v>53</v>
      </c>
      <c r="B109" s="471">
        <v>133</v>
      </c>
      <c r="C109" s="473" t="s">
        <v>92</v>
      </c>
      <c r="D109" s="475" t="s">
        <v>84</v>
      </c>
      <c r="E109" s="71" t="s">
        <v>32</v>
      </c>
      <c r="F109" s="142" t="s">
        <v>24</v>
      </c>
      <c r="G109" s="180" t="s">
        <v>14</v>
      </c>
      <c r="H109" s="138" t="s">
        <v>14</v>
      </c>
      <c r="I109" s="138" t="s">
        <v>14</v>
      </c>
      <c r="J109" s="139" t="s">
        <v>23</v>
      </c>
      <c r="K109" s="138" t="s">
        <v>14</v>
      </c>
      <c r="L109" s="138" t="s">
        <v>14</v>
      </c>
      <c r="M109" s="138" t="s">
        <v>14</v>
      </c>
      <c r="N109" s="138" t="s">
        <v>14</v>
      </c>
      <c r="O109" s="138" t="s">
        <v>14</v>
      </c>
      <c r="P109" s="138" t="s">
        <v>14</v>
      </c>
      <c r="Q109" s="139" t="s">
        <v>23</v>
      </c>
      <c r="R109" s="138" t="s">
        <v>14</v>
      </c>
      <c r="S109" s="138" t="s">
        <v>14</v>
      </c>
      <c r="T109" s="138" t="s">
        <v>14</v>
      </c>
      <c r="U109" s="138" t="s">
        <v>14</v>
      </c>
      <c r="V109" s="138" t="s">
        <v>14</v>
      </c>
      <c r="W109" s="138" t="s">
        <v>14</v>
      </c>
      <c r="X109" s="139" t="s">
        <v>23</v>
      </c>
      <c r="Y109" s="138" t="s">
        <v>14</v>
      </c>
      <c r="Z109" s="138" t="s">
        <v>14</v>
      </c>
      <c r="AA109" s="138" t="s">
        <v>14</v>
      </c>
      <c r="AB109" s="138" t="s">
        <v>14</v>
      </c>
      <c r="AC109" s="138" t="s">
        <v>14</v>
      </c>
      <c r="AD109" s="138" t="s">
        <v>14</v>
      </c>
      <c r="AE109" s="139" t="s">
        <v>23</v>
      </c>
      <c r="AF109" s="138" t="s">
        <v>14</v>
      </c>
      <c r="AG109" s="138" t="s">
        <v>14</v>
      </c>
      <c r="AH109" s="138" t="s">
        <v>14</v>
      </c>
      <c r="AI109" s="138" t="s">
        <v>14</v>
      </c>
      <c r="AJ109" s="138" t="s">
        <v>14</v>
      </c>
      <c r="AK109" s="30">
        <f>COUNTIF($F109:$AJ109,$C$128)</f>
        <v>26</v>
      </c>
      <c r="AL109" s="30">
        <f>COUNTIF($F109:$AJ109,$C$129)</f>
        <v>0</v>
      </c>
      <c r="AM109" s="30">
        <f>COUNTIF($F109:$AJ109,$C$130)</f>
        <v>0</v>
      </c>
      <c r="AN109" s="30">
        <f>COUNTIF($F109:$AJ109,$C$131)</f>
        <v>0</v>
      </c>
      <c r="AO109" s="30">
        <f>COUNTIF($F109:$AJ109,$C$132)</f>
        <v>0</v>
      </c>
      <c r="AP109" s="30">
        <f>COUNTIF($F109:$AJ109,$C$133)</f>
        <v>0</v>
      </c>
      <c r="AQ109" s="30">
        <f>COUNTIF($F109:$AJ109,$C$134)</f>
        <v>0</v>
      </c>
      <c r="AR109" s="30">
        <f>COUNTIF($F109:$AJ109,$C$135)</f>
        <v>0</v>
      </c>
      <c r="AS109" s="30">
        <f>COUNTIF($F109:$AJ109,$C$136)</f>
        <v>0</v>
      </c>
      <c r="AT109" s="30">
        <f>COUNTIF($F109:$AJ109,$C$137)</f>
        <v>4</v>
      </c>
      <c r="AU109" s="30">
        <f>COUNTIF($F109:$AJ109,$C$138)</f>
        <v>1</v>
      </c>
      <c r="AV109" s="30">
        <f>COUNTIF($F109:$AJ109,$C$139)</f>
        <v>0</v>
      </c>
      <c r="AW109" s="30">
        <f>COUNTIF($F109:$AJ109,$C$140)</f>
        <v>0</v>
      </c>
      <c r="AX109" s="30">
        <f>COUNTIF($F109:$AJ109,$C$141)</f>
        <v>0</v>
      </c>
      <c r="AY109" s="82">
        <f>COUNTA(F109:AJ109)</f>
        <v>31</v>
      </c>
      <c r="AZ109" s="54">
        <f>AK109+AU109</f>
        <v>27</v>
      </c>
    </row>
    <row r="110" spans="1:52">
      <c r="A110" s="468"/>
      <c r="B110" s="472"/>
      <c r="C110" s="474"/>
      <c r="D110" s="476"/>
      <c r="E110" s="77" t="s">
        <v>34</v>
      </c>
      <c r="F110" s="227"/>
      <c r="G110" s="39">
        <v>1</v>
      </c>
      <c r="H110" s="37">
        <v>1</v>
      </c>
      <c r="I110" s="37">
        <v>1</v>
      </c>
      <c r="J110" s="37"/>
      <c r="K110" s="37">
        <v>1</v>
      </c>
      <c r="L110" s="37">
        <v>1</v>
      </c>
      <c r="M110" s="37">
        <v>1</v>
      </c>
      <c r="N110" s="37">
        <v>1</v>
      </c>
      <c r="O110" s="37">
        <v>1</v>
      </c>
      <c r="P110" s="37">
        <v>1</v>
      </c>
      <c r="Q110" s="94"/>
      <c r="R110" s="37">
        <v>1</v>
      </c>
      <c r="S110" s="37">
        <v>1</v>
      </c>
      <c r="T110" s="37">
        <v>1</v>
      </c>
      <c r="U110" s="37">
        <v>1</v>
      </c>
      <c r="V110" s="37">
        <v>1</v>
      </c>
      <c r="W110" s="37">
        <v>1</v>
      </c>
      <c r="X110" s="37"/>
      <c r="Y110" s="37">
        <v>1</v>
      </c>
      <c r="Z110" s="37">
        <v>1</v>
      </c>
      <c r="AA110" s="37">
        <v>1</v>
      </c>
      <c r="AB110" s="42">
        <v>1</v>
      </c>
      <c r="AC110" s="42">
        <v>1</v>
      </c>
      <c r="AD110" s="42">
        <v>1</v>
      </c>
      <c r="AE110" s="94"/>
      <c r="AF110" s="94">
        <v>1</v>
      </c>
      <c r="AG110" s="126">
        <v>1</v>
      </c>
      <c r="AH110" s="94">
        <v>1</v>
      </c>
      <c r="AI110" s="42">
        <v>1</v>
      </c>
      <c r="AJ110" s="42">
        <v>1</v>
      </c>
      <c r="AK110" s="477">
        <f>SUM(F110:AJ110)</f>
        <v>26</v>
      </c>
      <c r="AL110" s="461"/>
      <c r="AM110" s="461"/>
      <c r="AN110" s="461"/>
      <c r="AO110" s="461"/>
      <c r="AP110" s="461"/>
      <c r="AQ110" s="461"/>
      <c r="AR110" s="461"/>
      <c r="AS110" s="461"/>
      <c r="AT110" s="461"/>
      <c r="AU110" s="461"/>
      <c r="AV110" s="461"/>
      <c r="AW110" s="461"/>
      <c r="AX110" s="461"/>
      <c r="AY110" s="478"/>
      <c r="AZ110" s="54"/>
    </row>
    <row r="111" spans="1:52">
      <c r="A111" s="466">
        <v>54</v>
      </c>
      <c r="B111" s="186">
        <v>71</v>
      </c>
      <c r="C111" s="159" t="s">
        <v>93</v>
      </c>
      <c r="D111" s="159" t="s">
        <v>94</v>
      </c>
      <c r="E111" s="232" t="s">
        <v>32</v>
      </c>
      <c r="F111" s="228" t="s">
        <v>24</v>
      </c>
      <c r="G111" s="180" t="s">
        <v>14</v>
      </c>
      <c r="H111" s="259" t="s">
        <v>23</v>
      </c>
      <c r="I111" s="138" t="s">
        <v>14</v>
      </c>
      <c r="J111" s="138" t="s">
        <v>14</v>
      </c>
      <c r="K111" s="138" t="s">
        <v>14</v>
      </c>
      <c r="L111" s="138" t="s">
        <v>14</v>
      </c>
      <c r="M111" s="138" t="s">
        <v>14</v>
      </c>
      <c r="N111" s="138" t="s">
        <v>14</v>
      </c>
      <c r="O111" s="139" t="s">
        <v>23</v>
      </c>
      <c r="P111" s="138" t="s">
        <v>14</v>
      </c>
      <c r="Q111" s="138" t="s">
        <v>14</v>
      </c>
      <c r="R111" s="138" t="s">
        <v>14</v>
      </c>
      <c r="S111" s="138" t="s">
        <v>14</v>
      </c>
      <c r="T111" s="138" t="s">
        <v>14</v>
      </c>
      <c r="U111" s="138" t="s">
        <v>14</v>
      </c>
      <c r="V111" s="139" t="s">
        <v>23</v>
      </c>
      <c r="W111" s="138" t="s">
        <v>14</v>
      </c>
      <c r="X111" s="138" t="s">
        <v>14</v>
      </c>
      <c r="Y111" s="138" t="s">
        <v>14</v>
      </c>
      <c r="Z111" s="138" t="s">
        <v>14</v>
      </c>
      <c r="AA111" s="138" t="s">
        <v>14</v>
      </c>
      <c r="AB111" s="138" t="s">
        <v>14</v>
      </c>
      <c r="AC111" s="139" t="s">
        <v>23</v>
      </c>
      <c r="AD111" s="138" t="s">
        <v>14</v>
      </c>
      <c r="AE111" s="138" t="s">
        <v>14</v>
      </c>
      <c r="AF111" s="138" t="s">
        <v>14</v>
      </c>
      <c r="AG111" s="138" t="s">
        <v>14</v>
      </c>
      <c r="AH111" s="138" t="s">
        <v>14</v>
      </c>
      <c r="AI111" s="138" t="s">
        <v>14</v>
      </c>
      <c r="AJ111" s="139" t="s">
        <v>23</v>
      </c>
      <c r="AK111" s="199">
        <f>COUNTIF($F111:$AJ111,$C$128)</f>
        <v>25</v>
      </c>
      <c r="AL111" s="190">
        <f>COUNTIF($F111:$AJ111,$C$129)</f>
        <v>0</v>
      </c>
      <c r="AM111" s="190">
        <f>COUNTIF($F111:$AJ111,$C$130)</f>
        <v>0</v>
      </c>
      <c r="AN111" s="190">
        <f>COUNTIF($F111:$AJ111,$C$131)</f>
        <v>0</v>
      </c>
      <c r="AO111" s="190">
        <f>COUNTIF($F111:$AJ111,$C$132)</f>
        <v>0</v>
      </c>
      <c r="AP111" s="190">
        <f>COUNTIF($F111:$AJ111,$C$133)</f>
        <v>0</v>
      </c>
      <c r="AQ111" s="190">
        <f>COUNTIF($F111:$AJ111,$C$134)</f>
        <v>0</v>
      </c>
      <c r="AR111" s="191">
        <f>COUNTIF($F111:$AJ111,$C$135)</f>
        <v>0</v>
      </c>
      <c r="AS111" s="191">
        <f>COUNTIF($F111:$AJ111,$C$136)</f>
        <v>0</v>
      </c>
      <c r="AT111" s="190">
        <f>COUNTIF($F111:$AJ111,$C$137)</f>
        <v>5</v>
      </c>
      <c r="AU111" s="190">
        <f>COUNTIF($F111:$AJ111,$C$138)</f>
        <v>1</v>
      </c>
      <c r="AV111" s="190">
        <f>COUNTIF($F111:$AJ111,$C$139)</f>
        <v>0</v>
      </c>
      <c r="AW111" s="190">
        <f>COUNTIF($F111:$AJ111,$C$140)</f>
        <v>0</v>
      </c>
      <c r="AX111" s="190">
        <f>COUNTIF($F111:$AJ111,$C$141)</f>
        <v>0</v>
      </c>
      <c r="AY111" s="218">
        <f>COUNTA(F111:AJ111)</f>
        <v>31</v>
      </c>
      <c r="AZ111" s="54">
        <f>AK111+AU111</f>
        <v>26</v>
      </c>
    </row>
    <row r="112" spans="1:52" ht="17.25" customHeight="1">
      <c r="A112" s="467"/>
      <c r="B112" s="192"/>
      <c r="C112" s="161"/>
      <c r="D112" s="64"/>
      <c r="E112" s="233" t="s">
        <v>34</v>
      </c>
      <c r="F112" s="229"/>
      <c r="G112" s="193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203"/>
      <c r="AK112" s="460">
        <f>SUM(F112:AJ112)</f>
        <v>0</v>
      </c>
      <c r="AL112" s="461"/>
      <c r="AM112" s="462"/>
      <c r="AN112" s="462"/>
      <c r="AO112" s="462"/>
      <c r="AP112" s="462"/>
      <c r="AQ112" s="462"/>
      <c r="AR112" s="462"/>
      <c r="AS112" s="462"/>
      <c r="AT112" s="462"/>
      <c r="AU112" s="462"/>
      <c r="AV112" s="462"/>
      <c r="AW112" s="462"/>
      <c r="AX112" s="462"/>
      <c r="AY112" s="463"/>
      <c r="AZ112" s="54"/>
    </row>
    <row r="113" spans="1:52">
      <c r="A113" s="468">
        <v>55</v>
      </c>
      <c r="B113" s="85">
        <v>131</v>
      </c>
      <c r="C113" s="163" t="s">
        <v>95</v>
      </c>
      <c r="D113" s="171" t="s">
        <v>94</v>
      </c>
      <c r="E113" s="71" t="s">
        <v>32</v>
      </c>
      <c r="F113" s="142" t="s">
        <v>24</v>
      </c>
      <c r="G113" s="195" t="s">
        <v>23</v>
      </c>
      <c r="H113" s="138" t="s">
        <v>14</v>
      </c>
      <c r="I113" s="138" t="s">
        <v>14</v>
      </c>
      <c r="J113" s="138" t="s">
        <v>14</v>
      </c>
      <c r="K113" s="138" t="s">
        <v>14</v>
      </c>
      <c r="L113" s="138" t="s">
        <v>14</v>
      </c>
      <c r="M113" s="138" t="s">
        <v>14</v>
      </c>
      <c r="N113" s="139" t="s">
        <v>23</v>
      </c>
      <c r="O113" s="138" t="s">
        <v>14</v>
      </c>
      <c r="P113" s="138" t="s">
        <v>14</v>
      </c>
      <c r="Q113" s="138" t="s">
        <v>14</v>
      </c>
      <c r="R113" s="138" t="s">
        <v>14</v>
      </c>
      <c r="S113" s="138" t="s">
        <v>14</v>
      </c>
      <c r="T113" s="138" t="s">
        <v>14</v>
      </c>
      <c r="U113" s="139" t="s">
        <v>23</v>
      </c>
      <c r="V113" s="138" t="s">
        <v>14</v>
      </c>
      <c r="W113" s="138" t="s">
        <v>14</v>
      </c>
      <c r="X113" s="138" t="s">
        <v>14</v>
      </c>
      <c r="Y113" s="138" t="s">
        <v>14</v>
      </c>
      <c r="Z113" s="138" t="s">
        <v>14</v>
      </c>
      <c r="AA113" s="138" t="s">
        <v>14</v>
      </c>
      <c r="AB113" s="139" t="s">
        <v>23</v>
      </c>
      <c r="AC113" s="138" t="s">
        <v>14</v>
      </c>
      <c r="AD113" s="138" t="s">
        <v>14</v>
      </c>
      <c r="AE113" s="138" t="s">
        <v>14</v>
      </c>
      <c r="AF113" s="138" t="s">
        <v>14</v>
      </c>
      <c r="AG113" s="138" t="s">
        <v>14</v>
      </c>
      <c r="AH113" s="138" t="s">
        <v>14</v>
      </c>
      <c r="AI113" s="139" t="s">
        <v>23</v>
      </c>
      <c r="AJ113" s="138" t="s">
        <v>14</v>
      </c>
      <c r="AK113" s="205">
        <f>COUNTIF($F113:$AJ113,$C$128)</f>
        <v>25</v>
      </c>
      <c r="AL113" s="204">
        <f>COUNTIF($F113:$AJ113,$C$129)</f>
        <v>0</v>
      </c>
      <c r="AM113" s="200">
        <f>COUNTIF($F113:$AJ113,$C$130)</f>
        <v>0</v>
      </c>
      <c r="AN113" s="201">
        <f>COUNTIF($F113:$AJ113,$C$131)</f>
        <v>0</v>
      </c>
      <c r="AO113" s="201">
        <f>COUNTIF($F113:$AJ113,$C$132)</f>
        <v>0</v>
      </c>
      <c r="AP113" s="201">
        <f>COUNTIF($F113:$AJ113,$C$133)</f>
        <v>0</v>
      </c>
      <c r="AQ113" s="201">
        <f>COUNTIF($F113:$AJ113,$C$134)</f>
        <v>0</v>
      </c>
      <c r="AR113" s="201">
        <f>COUNTIF($F113:$AJ113,$C$135)</f>
        <v>0</v>
      </c>
      <c r="AS113" s="201">
        <f>COUNTIF($F113:$AJ113,$C$136)</f>
        <v>0</v>
      </c>
      <c r="AT113" s="201">
        <f>COUNTIF($F113:$AJ113,$C$137)</f>
        <v>5</v>
      </c>
      <c r="AU113" s="201">
        <f>COUNTIF($F113:$AJ113,$C$138)</f>
        <v>1</v>
      </c>
      <c r="AV113" s="201">
        <f>COUNTIF($F113:$AJ113,$C$139)</f>
        <v>0</v>
      </c>
      <c r="AW113" s="201">
        <f>COUNTIF($F113:$AJ113,$C$140)</f>
        <v>0</v>
      </c>
      <c r="AX113" s="201">
        <f>COUNTIF($F113:$AJ113,$C$141)</f>
        <v>0</v>
      </c>
      <c r="AY113" s="219">
        <f>COUNTA(F113:AJ113)</f>
        <v>31</v>
      </c>
      <c r="AZ113" s="54">
        <f>AK113+AU113</f>
        <v>26</v>
      </c>
    </row>
    <row r="114" spans="1:52">
      <c r="A114" s="469"/>
      <c r="B114" s="150"/>
      <c r="C114" s="151"/>
      <c r="D114" s="220"/>
      <c r="E114" s="234" t="s">
        <v>34</v>
      </c>
      <c r="F114" s="230"/>
      <c r="G114" s="152"/>
      <c r="H114" s="152"/>
      <c r="I114" s="41"/>
      <c r="J114" s="134"/>
      <c r="K114" s="101"/>
      <c r="L114" s="134"/>
      <c r="M114" s="10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135"/>
      <c r="AJ114" s="154"/>
      <c r="AK114" s="443">
        <f>SUM(F114:AJ114)</f>
        <v>0</v>
      </c>
      <c r="AL114" s="443"/>
      <c r="AM114" s="443"/>
      <c r="AN114" s="443"/>
      <c r="AO114" s="443"/>
      <c r="AP114" s="443"/>
      <c r="AQ114" s="443"/>
      <c r="AR114" s="443"/>
      <c r="AS114" s="443"/>
      <c r="AT114" s="443"/>
      <c r="AU114" s="443"/>
      <c r="AV114" s="443"/>
      <c r="AW114" s="443"/>
      <c r="AX114" s="443"/>
      <c r="AY114" s="444"/>
      <c r="AZ114" s="54"/>
    </row>
    <row r="115" spans="1:52">
      <c r="A115" s="468">
        <v>56</v>
      </c>
      <c r="B115" s="64">
        <v>125</v>
      </c>
      <c r="C115" s="64" t="s">
        <v>96</v>
      </c>
      <c r="D115" s="64" t="s">
        <v>94</v>
      </c>
      <c r="E115" s="153" t="s">
        <v>32</v>
      </c>
      <c r="F115" s="142" t="s">
        <v>24</v>
      </c>
      <c r="G115" s="180" t="s">
        <v>14</v>
      </c>
      <c r="H115" s="138" t="s">
        <v>14</v>
      </c>
      <c r="I115" s="217" t="s">
        <v>23</v>
      </c>
      <c r="J115" s="138" t="s">
        <v>14</v>
      </c>
      <c r="K115" s="138" t="s">
        <v>14</v>
      </c>
      <c r="L115" s="138" t="s">
        <v>14</v>
      </c>
      <c r="M115" s="138" t="s">
        <v>14</v>
      </c>
      <c r="N115" s="138" t="s">
        <v>14</v>
      </c>
      <c r="O115" s="138" t="s">
        <v>14</v>
      </c>
      <c r="P115" s="217" t="s">
        <v>23</v>
      </c>
      <c r="Q115" s="138" t="s">
        <v>14</v>
      </c>
      <c r="R115" s="138" t="s">
        <v>14</v>
      </c>
      <c r="S115" s="138" t="s">
        <v>14</v>
      </c>
      <c r="T115" s="138" t="s">
        <v>14</v>
      </c>
      <c r="U115" s="138" t="s">
        <v>14</v>
      </c>
      <c r="V115" s="138" t="s">
        <v>14</v>
      </c>
      <c r="W115" s="217" t="s">
        <v>23</v>
      </c>
      <c r="X115" s="138" t="s">
        <v>14</v>
      </c>
      <c r="Y115" s="138" t="s">
        <v>14</v>
      </c>
      <c r="Z115" s="138" t="s">
        <v>14</v>
      </c>
      <c r="AA115" s="138" t="s">
        <v>14</v>
      </c>
      <c r="AB115" s="138" t="s">
        <v>14</v>
      </c>
      <c r="AC115" s="138" t="s">
        <v>14</v>
      </c>
      <c r="AD115" s="217" t="s">
        <v>23</v>
      </c>
      <c r="AE115" s="138" t="s">
        <v>14</v>
      </c>
      <c r="AF115" s="138" t="s">
        <v>14</v>
      </c>
      <c r="AG115" s="138" t="s">
        <v>14</v>
      </c>
      <c r="AH115" s="138" t="s">
        <v>14</v>
      </c>
      <c r="AI115" s="138" t="s">
        <v>14</v>
      </c>
      <c r="AJ115" s="138" t="s">
        <v>14</v>
      </c>
      <c r="AK115" s="157">
        <f>COUNTIF($F115:$AJ115,$C$128)</f>
        <v>26</v>
      </c>
      <c r="AL115" s="136">
        <f>COUNTIF($F115:$AJ115,$C$129)</f>
        <v>0</v>
      </c>
      <c r="AM115" s="136">
        <f>COUNTIF($F115:$AJ115,$C$130)</f>
        <v>0</v>
      </c>
      <c r="AN115" s="136">
        <f>COUNTIF($F115:$AJ115,$C$131)</f>
        <v>0</v>
      </c>
      <c r="AO115" s="136">
        <f>COUNTIF($F115:$AJ115,$C$132)</f>
        <v>0</v>
      </c>
      <c r="AP115" s="136">
        <f>COUNTIF($F115:$AJ115,$C$133)</f>
        <v>0</v>
      </c>
      <c r="AQ115" s="136">
        <f>COUNTIF($F115:$AJ115,$C$134)</f>
        <v>0</v>
      </c>
      <c r="AR115" s="136">
        <f>COUNTIF($F115:$AJ115,$C$135)</f>
        <v>0</v>
      </c>
      <c r="AS115" s="136">
        <f>COUNTIF($F115:$AJ115,$C$136)</f>
        <v>0</v>
      </c>
      <c r="AT115" s="136">
        <f>COUNTIF($F115:$AJ115,$C$137)</f>
        <v>4</v>
      </c>
      <c r="AU115" s="136">
        <f>COUNTIF($F115:$AJ115,$C$138)</f>
        <v>1</v>
      </c>
      <c r="AV115" s="136">
        <f>COUNTIF($F115:$AJ115,$C$139)</f>
        <v>0</v>
      </c>
      <c r="AW115" s="136">
        <f>COUNTIF($F115:$AJ115,$C$140)</f>
        <v>0</v>
      </c>
      <c r="AX115" s="136">
        <f>COUNTIF($F115:$AJ115,$C$141)</f>
        <v>0</v>
      </c>
      <c r="AY115" s="137">
        <f>COUNTA(F115:AJ115)</f>
        <v>31</v>
      </c>
      <c r="AZ115" s="54">
        <f>AK115+AU115</f>
        <v>27</v>
      </c>
    </row>
    <row r="116" spans="1:52">
      <c r="A116" s="469"/>
      <c r="B116" s="131"/>
      <c r="C116" s="131"/>
      <c r="D116" s="132"/>
      <c r="E116" s="133" t="s">
        <v>34</v>
      </c>
      <c r="F116" s="146"/>
      <c r="G116" s="134"/>
      <c r="H116" s="134"/>
      <c r="I116" s="134"/>
      <c r="J116" s="134"/>
      <c r="K116" s="134"/>
      <c r="L116" s="134"/>
      <c r="M116" s="134"/>
      <c r="N116" s="134"/>
      <c r="O116" s="134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135"/>
      <c r="AJ116" s="154"/>
      <c r="AK116" s="464">
        <f>SUM(F116:AJ116)</f>
        <v>0</v>
      </c>
      <c r="AL116" s="464"/>
      <c r="AM116" s="464"/>
      <c r="AN116" s="464"/>
      <c r="AO116" s="464"/>
      <c r="AP116" s="464"/>
      <c r="AQ116" s="464"/>
      <c r="AR116" s="464"/>
      <c r="AS116" s="464"/>
      <c r="AT116" s="464"/>
      <c r="AU116" s="464"/>
      <c r="AV116" s="464"/>
      <c r="AW116" s="464"/>
      <c r="AX116" s="464"/>
      <c r="AY116" s="465"/>
      <c r="AZ116" s="54"/>
    </row>
    <row r="117" spans="1:52">
      <c r="A117" s="470">
        <v>57</v>
      </c>
      <c r="B117" s="87">
        <v>128</v>
      </c>
      <c r="C117" s="85" t="s">
        <v>97</v>
      </c>
      <c r="D117" s="90" t="s">
        <v>98</v>
      </c>
      <c r="E117" s="71" t="s">
        <v>32</v>
      </c>
      <c r="F117" s="182" t="s">
        <v>18</v>
      </c>
      <c r="G117" s="180" t="s">
        <v>14</v>
      </c>
      <c r="H117" s="217" t="s">
        <v>23</v>
      </c>
      <c r="I117" s="217" t="s">
        <v>23</v>
      </c>
      <c r="J117" s="138" t="s">
        <v>14</v>
      </c>
      <c r="K117" s="138" t="s">
        <v>14</v>
      </c>
      <c r="L117" s="138" t="s">
        <v>14</v>
      </c>
      <c r="M117" s="138" t="s">
        <v>14</v>
      </c>
      <c r="N117" s="138" t="s">
        <v>14</v>
      </c>
      <c r="O117" s="217" t="s">
        <v>23</v>
      </c>
      <c r="P117" s="217" t="s">
        <v>23</v>
      </c>
      <c r="Q117" s="138" t="s">
        <v>14</v>
      </c>
      <c r="R117" s="138" t="s">
        <v>14</v>
      </c>
      <c r="S117" s="138" t="s">
        <v>14</v>
      </c>
      <c r="T117" s="138" t="s">
        <v>14</v>
      </c>
      <c r="U117" s="138" t="s">
        <v>14</v>
      </c>
      <c r="V117" s="217" t="s">
        <v>23</v>
      </c>
      <c r="W117" s="217" t="s">
        <v>23</v>
      </c>
      <c r="X117" s="138" t="s">
        <v>14</v>
      </c>
      <c r="Y117" s="138" t="s">
        <v>14</v>
      </c>
      <c r="Z117" s="138" t="s">
        <v>14</v>
      </c>
      <c r="AA117" s="138" t="s">
        <v>14</v>
      </c>
      <c r="AB117" s="138" t="s">
        <v>14</v>
      </c>
      <c r="AC117" s="217" t="s">
        <v>23</v>
      </c>
      <c r="AD117" s="217" t="s">
        <v>23</v>
      </c>
      <c r="AE117" s="138" t="s">
        <v>14</v>
      </c>
      <c r="AF117" s="138" t="s">
        <v>14</v>
      </c>
      <c r="AG117" s="138" t="s">
        <v>14</v>
      </c>
      <c r="AH117" s="138" t="s">
        <v>14</v>
      </c>
      <c r="AI117" s="138" t="s">
        <v>14</v>
      </c>
      <c r="AJ117" s="217" t="s">
        <v>23</v>
      </c>
      <c r="AK117" s="157">
        <f>COUNTIF($F117:$AJ117,$C$128)</f>
        <v>21</v>
      </c>
      <c r="AL117" s="136">
        <f>COUNTIF($F117:$AJ117,$C$129)</f>
        <v>0</v>
      </c>
      <c r="AM117" s="136">
        <f>COUNTIF($F117:$AJ117,$C$130)</f>
        <v>0</v>
      </c>
      <c r="AN117" s="136">
        <f>COUNTIF($F117:$AJ117,$C$131)</f>
        <v>0</v>
      </c>
      <c r="AO117" s="136">
        <f>COUNTIF($F117:$AJ117,$C$132)</f>
        <v>1</v>
      </c>
      <c r="AP117" s="136">
        <f>COUNTIF($F117:$AJ117,$C$133)</f>
        <v>0</v>
      </c>
      <c r="AQ117" s="136">
        <f>COUNTIF($F117:$AJ117,$C$134)</f>
        <v>0</v>
      </c>
      <c r="AR117" s="136">
        <f>COUNTIF($F117:$AJ117,$C$135)</f>
        <v>0</v>
      </c>
      <c r="AS117" s="136">
        <f>COUNTIF($F117:$AJ117,$C$136)</f>
        <v>0</v>
      </c>
      <c r="AT117" s="136">
        <f>COUNTIF($F117:$AJ117,$C$137)</f>
        <v>9</v>
      </c>
      <c r="AU117" s="136">
        <f>COUNTIF($F117:$AJ117,$C$138)</f>
        <v>0</v>
      </c>
      <c r="AV117" s="136">
        <f>COUNTIF($F117:$AJ117,$C$139)</f>
        <v>0</v>
      </c>
      <c r="AW117" s="136">
        <f>COUNTIF($F117:$AJ117,$C$140)</f>
        <v>0</v>
      </c>
      <c r="AX117" s="136">
        <f>COUNTIF($F117:$AJ117,$C$141)</f>
        <v>0</v>
      </c>
      <c r="AY117" s="137">
        <f>COUNTA(F117:AJ117)</f>
        <v>31</v>
      </c>
      <c r="AZ117" s="54">
        <f>AK117+AU117</f>
        <v>21</v>
      </c>
    </row>
    <row r="118" spans="1:52">
      <c r="A118" s="450"/>
      <c r="B118" s="86"/>
      <c r="C118" s="87"/>
      <c r="D118" s="88"/>
      <c r="E118" s="73" t="s">
        <v>34</v>
      </c>
      <c r="F118" s="183"/>
      <c r="G118" s="124"/>
      <c r="H118" s="23"/>
      <c r="I118" s="23"/>
      <c r="J118" s="23"/>
      <c r="K118" s="25"/>
      <c r="L118" s="25"/>
      <c r="M118" s="25"/>
      <c r="N118" s="24"/>
      <c r="O118" s="23"/>
      <c r="P118" s="26"/>
      <c r="Q118" s="26"/>
      <c r="R118" s="25"/>
      <c r="S118" s="25"/>
      <c r="T118" s="25"/>
      <c r="U118" s="24"/>
      <c r="V118" s="23"/>
      <c r="W118" s="26"/>
      <c r="X118" s="26"/>
      <c r="Y118" s="26"/>
      <c r="Z118" s="26"/>
      <c r="AA118" s="26"/>
      <c r="AB118" s="24"/>
      <c r="AC118" s="23"/>
      <c r="AD118" s="26"/>
      <c r="AE118" s="26"/>
      <c r="AF118" s="24"/>
      <c r="AG118" s="24"/>
      <c r="AH118" s="24"/>
      <c r="AI118" s="24"/>
      <c r="AJ118" s="26"/>
      <c r="AK118" s="445">
        <f ca="1">SUM(F118:AK118)</f>
        <v>0</v>
      </c>
      <c r="AL118" s="445"/>
      <c r="AM118" s="445"/>
      <c r="AN118" s="445"/>
      <c r="AO118" s="445"/>
      <c r="AP118" s="445"/>
      <c r="AQ118" s="445"/>
      <c r="AR118" s="445"/>
      <c r="AS118" s="445"/>
      <c r="AT118" s="445"/>
      <c r="AU118" s="445"/>
      <c r="AV118" s="445"/>
      <c r="AW118" s="445"/>
      <c r="AX118" s="445"/>
      <c r="AY118" s="446"/>
      <c r="AZ118" s="54"/>
    </row>
    <row r="119" spans="1:52">
      <c r="A119" s="449">
        <v>58</v>
      </c>
      <c r="B119" s="89">
        <v>129</v>
      </c>
      <c r="C119" s="90" t="s">
        <v>99</v>
      </c>
      <c r="D119" s="56" t="s">
        <v>98</v>
      </c>
      <c r="E119" s="71" t="s">
        <v>32</v>
      </c>
      <c r="F119" s="182" t="s">
        <v>18</v>
      </c>
      <c r="G119" s="180" t="s">
        <v>14</v>
      </c>
      <c r="H119" s="139" t="s">
        <v>23</v>
      </c>
      <c r="I119" s="139" t="s">
        <v>23</v>
      </c>
      <c r="J119" s="138" t="s">
        <v>14</v>
      </c>
      <c r="K119" s="138" t="s">
        <v>14</v>
      </c>
      <c r="L119" s="138" t="s">
        <v>14</v>
      </c>
      <c r="M119" s="138" t="s">
        <v>14</v>
      </c>
      <c r="N119" s="138" t="s">
        <v>14</v>
      </c>
      <c r="O119" s="139" t="s">
        <v>23</v>
      </c>
      <c r="P119" s="139" t="s">
        <v>23</v>
      </c>
      <c r="Q119" s="138" t="s">
        <v>14</v>
      </c>
      <c r="R119" s="138" t="s">
        <v>14</v>
      </c>
      <c r="S119" s="138" t="s">
        <v>14</v>
      </c>
      <c r="T119" s="138" t="s">
        <v>14</v>
      </c>
      <c r="U119" s="138" t="s">
        <v>14</v>
      </c>
      <c r="V119" s="139" t="s">
        <v>23</v>
      </c>
      <c r="W119" s="139" t="s">
        <v>23</v>
      </c>
      <c r="X119" s="138" t="s">
        <v>14</v>
      </c>
      <c r="Y119" s="138" t="s">
        <v>14</v>
      </c>
      <c r="Z119" s="138" t="s">
        <v>14</v>
      </c>
      <c r="AA119" s="138" t="s">
        <v>14</v>
      </c>
      <c r="AB119" s="138" t="s">
        <v>14</v>
      </c>
      <c r="AC119" s="139" t="s">
        <v>23</v>
      </c>
      <c r="AD119" s="139" t="s">
        <v>23</v>
      </c>
      <c r="AE119" s="138" t="s">
        <v>14</v>
      </c>
      <c r="AF119" s="138" t="s">
        <v>14</v>
      </c>
      <c r="AG119" s="138" t="s">
        <v>14</v>
      </c>
      <c r="AH119" s="138" t="s">
        <v>14</v>
      </c>
      <c r="AI119" s="138" t="s">
        <v>14</v>
      </c>
      <c r="AJ119" s="139" t="s">
        <v>23</v>
      </c>
      <c r="AK119" s="158">
        <f>COUNTIF($F119:$AJ119,$C$128)</f>
        <v>21</v>
      </c>
      <c r="AL119" s="91">
        <f>COUNTIF($F119:$AJ119,$C$129)</f>
        <v>0</v>
      </c>
      <c r="AM119" s="91">
        <f>COUNTIF($F119:$AJ119,$C$130)</f>
        <v>0</v>
      </c>
      <c r="AN119" s="91">
        <f>COUNTIF($F119:$AJ119,$C$131)</f>
        <v>0</v>
      </c>
      <c r="AO119" s="91">
        <f>COUNTIF($F119:$AJ119,$C$132)</f>
        <v>1</v>
      </c>
      <c r="AP119" s="91">
        <f>COUNTIF($F119:$AJ119,$C$133)</f>
        <v>0</v>
      </c>
      <c r="AQ119" s="91">
        <f>COUNTIF($F119:$AJ119,$C$134)</f>
        <v>0</v>
      </c>
      <c r="AR119" s="91">
        <f>COUNTIF($F119:$AJ119,$C$135)</f>
        <v>0</v>
      </c>
      <c r="AS119" s="91">
        <f>COUNTIF($F119:$AJ119,$C$136)</f>
        <v>0</v>
      </c>
      <c r="AT119" s="91">
        <f>COUNTIF($F119:$AJ119,$C$137)</f>
        <v>9</v>
      </c>
      <c r="AU119" s="91">
        <f>COUNTIF($F119:$AJ119,$C$138)</f>
        <v>0</v>
      </c>
      <c r="AV119" s="91">
        <f>COUNTIF($F119:$AJ119,$C$139)</f>
        <v>0</v>
      </c>
      <c r="AW119" s="91">
        <f>COUNTIF($F119:$AJ119,$C$140)</f>
        <v>0</v>
      </c>
      <c r="AX119" s="91">
        <f>COUNTIF($F119:$AJ119,$C$141)</f>
        <v>0</v>
      </c>
      <c r="AY119" s="92">
        <f>COUNTA(F119:AJ119)</f>
        <v>31</v>
      </c>
      <c r="AZ119" s="54">
        <f>AK119+AU119</f>
        <v>21</v>
      </c>
    </row>
    <row r="120" spans="1:52">
      <c r="A120" s="450"/>
      <c r="B120" s="93"/>
      <c r="C120" s="90"/>
      <c r="D120" s="64"/>
      <c r="E120" s="77" t="s">
        <v>34</v>
      </c>
      <c r="F120" s="184"/>
      <c r="G120" s="181"/>
      <c r="H120" s="94"/>
      <c r="I120" s="94"/>
      <c r="J120" s="94"/>
      <c r="K120" s="39"/>
      <c r="L120" s="39"/>
      <c r="M120" s="39"/>
      <c r="N120" s="37"/>
      <c r="O120" s="94"/>
      <c r="P120" s="39"/>
      <c r="Q120" s="39"/>
      <c r="R120" s="39"/>
      <c r="S120" s="39"/>
      <c r="T120" s="39"/>
      <c r="U120" s="37"/>
      <c r="V120" s="94"/>
      <c r="W120" s="39"/>
      <c r="X120" s="39"/>
      <c r="Y120" s="39"/>
      <c r="Z120" s="39"/>
      <c r="AA120" s="37"/>
      <c r="AB120" s="37"/>
      <c r="AC120" s="94"/>
      <c r="AD120" s="37"/>
      <c r="AE120" s="37"/>
      <c r="AF120" s="37"/>
      <c r="AG120" s="37"/>
      <c r="AH120" s="37"/>
      <c r="AI120" s="37"/>
      <c r="AJ120" s="37"/>
      <c r="AK120" s="447">
        <f ca="1">SUM(F120:AK120)</f>
        <v>0</v>
      </c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  <c r="AW120" s="447"/>
      <c r="AX120" s="447"/>
      <c r="AY120" s="448"/>
      <c r="AZ120" s="54"/>
    </row>
    <row r="121" spans="1:52">
      <c r="A121" s="449">
        <v>59</v>
      </c>
      <c r="B121" s="451">
        <v>130</v>
      </c>
      <c r="C121" s="453" t="s">
        <v>100</v>
      </c>
      <c r="D121" s="455" t="s">
        <v>98</v>
      </c>
      <c r="E121" s="95" t="s">
        <v>32</v>
      </c>
      <c r="F121" s="182" t="s">
        <v>18</v>
      </c>
      <c r="G121" s="180" t="s">
        <v>14</v>
      </c>
      <c r="H121" s="139" t="s">
        <v>23</v>
      </c>
      <c r="I121" s="139" t="s">
        <v>23</v>
      </c>
      <c r="J121" s="138" t="s">
        <v>14</v>
      </c>
      <c r="K121" s="138" t="s">
        <v>14</v>
      </c>
      <c r="L121" s="138" t="s">
        <v>14</v>
      </c>
      <c r="M121" s="138" t="s">
        <v>14</v>
      </c>
      <c r="N121" s="138" t="s">
        <v>14</v>
      </c>
      <c r="O121" s="139" t="s">
        <v>23</v>
      </c>
      <c r="P121" s="139" t="s">
        <v>23</v>
      </c>
      <c r="Q121" s="138" t="s">
        <v>14</v>
      </c>
      <c r="R121" s="138" t="s">
        <v>14</v>
      </c>
      <c r="S121" s="138" t="s">
        <v>14</v>
      </c>
      <c r="T121" s="138" t="s">
        <v>14</v>
      </c>
      <c r="U121" s="138" t="s">
        <v>14</v>
      </c>
      <c r="V121" s="139" t="s">
        <v>23</v>
      </c>
      <c r="W121" s="139" t="s">
        <v>23</v>
      </c>
      <c r="X121" s="138" t="s">
        <v>14</v>
      </c>
      <c r="Y121" s="138" t="s">
        <v>14</v>
      </c>
      <c r="Z121" s="138" t="s">
        <v>14</v>
      </c>
      <c r="AA121" s="138" t="s">
        <v>14</v>
      </c>
      <c r="AB121" s="138" t="s">
        <v>14</v>
      </c>
      <c r="AC121" s="139" t="s">
        <v>23</v>
      </c>
      <c r="AD121" s="139" t="s">
        <v>23</v>
      </c>
      <c r="AE121" s="138" t="s">
        <v>14</v>
      </c>
      <c r="AF121" s="138" t="s">
        <v>14</v>
      </c>
      <c r="AG121" s="138" t="s">
        <v>14</v>
      </c>
      <c r="AH121" s="138" t="s">
        <v>14</v>
      </c>
      <c r="AI121" s="138" t="s">
        <v>14</v>
      </c>
      <c r="AJ121" s="139" t="s">
        <v>23</v>
      </c>
      <c r="AK121" s="156">
        <f>COUNTIF($F121:$AJ121,$C$130)</f>
        <v>0</v>
      </c>
      <c r="AL121" s="96">
        <f>COUNTIF($F121:$AJ121,$C$131)</f>
        <v>0</v>
      </c>
      <c r="AM121" s="97">
        <f>COUNTIF($F121:$AJ121,$C$132)</f>
        <v>1</v>
      </c>
      <c r="AN121" s="97">
        <f>COUNTIF($F121:$AJ121,$C$133)</f>
        <v>0</v>
      </c>
      <c r="AO121" s="97">
        <f>COUNTIF($F121:$AJ121,$C$134)</f>
        <v>0</v>
      </c>
      <c r="AP121" s="97">
        <f>COUNTIF($F121:$AJ121,$C$135)</f>
        <v>0</v>
      </c>
      <c r="AQ121" s="97">
        <f>COUNTIF($F121:$AJ121,$C$136)</f>
        <v>0</v>
      </c>
      <c r="AR121" s="97">
        <f>COUNTIF($F121:$AJ121,$C$137)</f>
        <v>9</v>
      </c>
      <c r="AS121" s="97">
        <f>COUNTIF($F121:$AJ121,$C$138)</f>
        <v>0</v>
      </c>
      <c r="AT121" s="97">
        <f>COUNTIF($F121:$AJ121,$C$139)</f>
        <v>0</v>
      </c>
      <c r="AU121" s="97">
        <f>COUNTIF($F121:$AJ121,$C$140)</f>
        <v>0</v>
      </c>
      <c r="AV121" s="97">
        <f>COUNTIF($F121:$AJ121,$C$141)</f>
        <v>0</v>
      </c>
      <c r="AW121" s="97">
        <f>COUNTIF($F121:$AJ121,$C$142)</f>
        <v>0</v>
      </c>
      <c r="AX121" s="97">
        <f>COUNTIF($F121:$AJ121,$C$143)</f>
        <v>0</v>
      </c>
      <c r="AY121" s="98">
        <f>COUNTA(F121:AJ121)</f>
        <v>31</v>
      </c>
      <c r="AZ121" s="54">
        <f t="shared" ref="AZ120:AZ123" si="2">AK121+AU121</f>
        <v>0</v>
      </c>
    </row>
    <row r="122" spans="1:52">
      <c r="A122" s="450"/>
      <c r="B122" s="452"/>
      <c r="C122" s="454"/>
      <c r="D122" s="456"/>
      <c r="E122" s="99" t="s">
        <v>34</v>
      </c>
      <c r="F122" s="185"/>
      <c r="G122" s="100"/>
      <c r="H122" s="36"/>
      <c r="I122" s="36"/>
      <c r="J122" s="36"/>
      <c r="K122" s="35"/>
      <c r="L122" s="35"/>
      <c r="M122" s="36"/>
      <c r="N122" s="36"/>
      <c r="O122" s="36"/>
      <c r="P122" s="36"/>
      <c r="Q122" s="36"/>
      <c r="R122" s="35"/>
      <c r="S122" s="35"/>
      <c r="T122" s="41"/>
      <c r="U122" s="41"/>
      <c r="V122" s="41"/>
      <c r="W122" s="41"/>
      <c r="X122" s="101"/>
      <c r="Y122" s="35"/>
      <c r="Z122" s="35"/>
      <c r="AA122" s="41"/>
      <c r="AB122" s="41"/>
      <c r="AC122" s="41"/>
      <c r="AD122" s="41"/>
      <c r="AE122" s="101"/>
      <c r="AF122" s="35"/>
      <c r="AG122" s="35"/>
      <c r="AH122" s="35"/>
      <c r="AI122" s="35"/>
      <c r="AJ122" s="154"/>
      <c r="AK122" s="457">
        <f ca="1">SUM(F122:AK122)</f>
        <v>0</v>
      </c>
      <c r="AL122" s="457"/>
      <c r="AM122" s="457"/>
      <c r="AN122" s="457"/>
      <c r="AO122" s="457"/>
      <c r="AP122" s="457"/>
      <c r="AQ122" s="457"/>
      <c r="AR122" s="457"/>
      <c r="AS122" s="457"/>
      <c r="AT122" s="457"/>
      <c r="AU122" s="457"/>
      <c r="AV122" s="457"/>
      <c r="AW122" s="457"/>
      <c r="AX122" s="457"/>
      <c r="AY122" s="458"/>
      <c r="AZ122" s="54"/>
    </row>
    <row r="123" spans="1:52">
      <c r="A123" s="8"/>
      <c r="B123" s="9"/>
      <c r="C123" s="10"/>
      <c r="D123" s="8"/>
      <c r="E123" s="11" t="s">
        <v>101</v>
      </c>
      <c r="F123" s="12"/>
      <c r="G123" s="12">
        <f>COUNTIF(G5:G86,"P")</f>
        <v>37</v>
      </c>
      <c r="H123" s="12">
        <f t="shared" ref="H123:AJ123" si="3">COUNTIF(H5:H86,"P")</f>
        <v>38</v>
      </c>
      <c r="I123" s="12">
        <f t="shared" si="3"/>
        <v>36</v>
      </c>
      <c r="J123" s="12">
        <f t="shared" si="3"/>
        <v>37</v>
      </c>
      <c r="K123" s="12">
        <f t="shared" si="3"/>
        <v>36</v>
      </c>
      <c r="L123" s="12">
        <f t="shared" si="3"/>
        <v>31</v>
      </c>
      <c r="M123" s="12">
        <f t="shared" si="3"/>
        <v>32</v>
      </c>
      <c r="N123" s="12">
        <f t="shared" si="3"/>
        <v>35</v>
      </c>
      <c r="O123" s="12">
        <f t="shared" si="3"/>
        <v>36</v>
      </c>
      <c r="P123" s="12">
        <f t="shared" si="3"/>
        <v>30</v>
      </c>
      <c r="Q123" s="12">
        <f t="shared" si="3"/>
        <v>36</v>
      </c>
      <c r="R123" s="12">
        <f t="shared" si="3"/>
        <v>35</v>
      </c>
      <c r="S123" s="12">
        <f t="shared" si="3"/>
        <v>34</v>
      </c>
      <c r="T123" s="12">
        <f t="shared" si="3"/>
        <v>35</v>
      </c>
      <c r="U123" s="12">
        <f t="shared" si="3"/>
        <v>33</v>
      </c>
      <c r="V123" s="12">
        <f t="shared" si="3"/>
        <v>35</v>
      </c>
      <c r="W123" s="12">
        <f t="shared" si="3"/>
        <v>33</v>
      </c>
      <c r="X123" s="12">
        <f t="shared" si="3"/>
        <v>31</v>
      </c>
      <c r="Y123" s="12">
        <f t="shared" si="3"/>
        <v>37</v>
      </c>
      <c r="Z123" s="12">
        <f t="shared" si="3"/>
        <v>33</v>
      </c>
      <c r="AA123" s="12">
        <f t="shared" si="3"/>
        <v>38</v>
      </c>
      <c r="AB123" s="12">
        <f t="shared" si="3"/>
        <v>36</v>
      </c>
      <c r="AC123" s="12">
        <f t="shared" si="3"/>
        <v>32</v>
      </c>
      <c r="AD123" s="12">
        <f t="shared" si="3"/>
        <v>30</v>
      </c>
      <c r="AE123" s="12">
        <f t="shared" si="3"/>
        <v>34</v>
      </c>
      <c r="AF123" s="12">
        <f t="shared" si="3"/>
        <v>31</v>
      </c>
      <c r="AG123" s="12">
        <f t="shared" si="3"/>
        <v>35</v>
      </c>
      <c r="AH123" s="12">
        <f t="shared" si="3"/>
        <v>35</v>
      </c>
      <c r="AI123" s="12">
        <f t="shared" si="3"/>
        <v>31</v>
      </c>
      <c r="AJ123" s="12">
        <f t="shared" si="3"/>
        <v>31</v>
      </c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54"/>
    </row>
    <row r="124" spans="1:52">
      <c r="A124" s="8"/>
      <c r="B124" s="9"/>
      <c r="C124" s="10"/>
      <c r="D124" s="8"/>
      <c r="E124" s="11" t="s">
        <v>102</v>
      </c>
      <c r="F124" s="12"/>
      <c r="G124" s="12">
        <f>COUNTIF(G89:G114,"P")</f>
        <v>10</v>
      </c>
      <c r="H124" s="12">
        <f t="shared" ref="H124:AJ124" si="4">COUNTIF(H89:H114,"P")</f>
        <v>9</v>
      </c>
      <c r="I124" s="12">
        <f t="shared" si="4"/>
        <v>9</v>
      </c>
      <c r="J124" s="12">
        <f t="shared" si="4"/>
        <v>12</v>
      </c>
      <c r="K124" s="12">
        <f t="shared" si="4"/>
        <v>12</v>
      </c>
      <c r="L124" s="12">
        <f t="shared" si="4"/>
        <v>11</v>
      </c>
      <c r="M124" s="12">
        <f t="shared" si="4"/>
        <v>12</v>
      </c>
      <c r="N124" s="12">
        <f t="shared" si="4"/>
        <v>10</v>
      </c>
      <c r="O124" s="12">
        <f t="shared" si="4"/>
        <v>9</v>
      </c>
      <c r="P124" s="12">
        <f t="shared" si="4"/>
        <v>9</v>
      </c>
      <c r="Q124" s="12">
        <f t="shared" si="4"/>
        <v>11</v>
      </c>
      <c r="R124" s="12">
        <f t="shared" si="4"/>
        <v>11</v>
      </c>
      <c r="S124" s="12">
        <f t="shared" si="4"/>
        <v>10</v>
      </c>
      <c r="T124" s="12">
        <f t="shared" si="4"/>
        <v>11</v>
      </c>
      <c r="U124" s="12">
        <f t="shared" si="4"/>
        <v>10</v>
      </c>
      <c r="V124" s="12">
        <f t="shared" si="4"/>
        <v>9</v>
      </c>
      <c r="W124" s="12">
        <f t="shared" si="4"/>
        <v>9</v>
      </c>
      <c r="X124" s="12">
        <f t="shared" si="4"/>
        <v>11</v>
      </c>
      <c r="Y124" s="12">
        <f t="shared" si="4"/>
        <v>11</v>
      </c>
      <c r="Z124" s="12">
        <f t="shared" si="4"/>
        <v>10</v>
      </c>
      <c r="AA124" s="12">
        <f t="shared" si="4"/>
        <v>11</v>
      </c>
      <c r="AB124" s="12">
        <f t="shared" si="4"/>
        <v>9</v>
      </c>
      <c r="AC124" s="12">
        <f t="shared" si="4"/>
        <v>9</v>
      </c>
      <c r="AD124" s="12">
        <f t="shared" si="4"/>
        <v>8</v>
      </c>
      <c r="AE124" s="12">
        <f t="shared" si="4"/>
        <v>10</v>
      </c>
      <c r="AF124" s="12">
        <f t="shared" si="4"/>
        <v>10</v>
      </c>
      <c r="AG124" s="12">
        <f t="shared" si="4"/>
        <v>10</v>
      </c>
      <c r="AH124" s="12">
        <f t="shared" si="4"/>
        <v>12</v>
      </c>
      <c r="AI124" s="12">
        <f t="shared" si="4"/>
        <v>10</v>
      </c>
      <c r="AJ124" s="12">
        <f t="shared" si="4"/>
        <v>7</v>
      </c>
      <c r="AK124" s="33"/>
      <c r="AL124" s="33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</row>
    <row r="125" spans="1:52">
      <c r="A125" s="8"/>
      <c r="B125" s="9"/>
      <c r="C125" s="10"/>
      <c r="D125" s="8"/>
      <c r="E125" s="11"/>
      <c r="F125" s="12"/>
      <c r="G125" s="12"/>
      <c r="H125" s="5"/>
      <c r="I125" s="12"/>
      <c r="J125" s="102"/>
      <c r="K125" s="12"/>
      <c r="L125" s="103"/>
      <c r="M125" s="103"/>
      <c r="N125" s="102"/>
      <c r="O125" s="103"/>
      <c r="P125" s="19"/>
      <c r="Q125" s="19"/>
      <c r="R125" s="19"/>
      <c r="S125" s="19"/>
      <c r="T125" s="19"/>
      <c r="U125" s="19"/>
      <c r="V125" s="19"/>
      <c r="W125" s="19"/>
      <c r="X125" s="19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33"/>
      <c r="AL125" s="33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</row>
    <row r="126" spans="1:52">
      <c r="A126" s="2"/>
      <c r="B126" s="13" t="s">
        <v>103</v>
      </c>
      <c r="C126" s="14" t="s">
        <v>104</v>
      </c>
      <c r="D126" s="14"/>
      <c r="E126" s="14"/>
      <c r="F126" s="15"/>
      <c r="G126" s="15"/>
      <c r="H126" s="15"/>
      <c r="I126" s="15"/>
      <c r="J126" s="104"/>
      <c r="K126" s="5"/>
      <c r="L126" s="5"/>
      <c r="M126" s="5"/>
      <c r="N126" s="104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440" t="s">
        <v>105</v>
      </c>
      <c r="AL126" s="441"/>
      <c r="AM126" s="441"/>
      <c r="AN126" s="441"/>
      <c r="AO126" s="441"/>
      <c r="AP126" s="441"/>
      <c r="AQ126" s="441"/>
      <c r="AR126" s="441"/>
      <c r="AS126" s="441"/>
      <c r="AT126" s="441"/>
      <c r="AU126" s="441"/>
      <c r="AV126" s="441"/>
      <c r="AW126" s="441"/>
      <c r="AX126" s="441"/>
      <c r="AY126" s="442"/>
    </row>
    <row r="127" spans="1:52">
      <c r="A127" s="2"/>
      <c r="B127" s="105" t="s">
        <v>106</v>
      </c>
      <c r="C127" s="106" t="s">
        <v>107</v>
      </c>
      <c r="D127" s="107" t="s">
        <v>108</v>
      </c>
      <c r="E127" s="16"/>
      <c r="F127" s="17"/>
      <c r="G127" s="5"/>
      <c r="H127" s="5"/>
      <c r="I127" s="5"/>
      <c r="J127" s="104"/>
      <c r="K127" s="5"/>
      <c r="L127" s="5"/>
      <c r="M127" s="5"/>
      <c r="N127" s="10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437">
        <f>AU5+AU7+AU9+AU11+AU13+AU15+AU17+AU19+AU21+AU23+AU25+AU27+AU29+AU31+AU33+AU35+AU37+AU39+AU41+AU43+AU45+AU47+AU49+AU51+AU53+AU55+AU57+AU59+AU61+AU63+AU65+AU67+AU69+AU71+AU73+AU75+AU77+AU79+AU81+AU83+AU85+AU87</f>
        <v>64</v>
      </c>
      <c r="AL127" s="438"/>
      <c r="AM127" s="438"/>
      <c r="AN127" s="438"/>
      <c r="AO127" s="438"/>
      <c r="AP127" s="438"/>
      <c r="AQ127" s="438"/>
      <c r="AR127" s="438"/>
      <c r="AS127" s="438"/>
      <c r="AT127" s="438"/>
      <c r="AU127" s="438"/>
      <c r="AV127" s="438"/>
      <c r="AW127" s="438"/>
      <c r="AX127" s="438"/>
      <c r="AY127" s="439"/>
    </row>
    <row r="128" spans="1:52">
      <c r="A128" s="2"/>
      <c r="B128" s="108" t="s">
        <v>109</v>
      </c>
      <c r="C128" s="109" t="s">
        <v>14</v>
      </c>
      <c r="D128" s="105" t="s">
        <v>110</v>
      </c>
      <c r="E128" s="18"/>
      <c r="F128" s="5"/>
      <c r="G128" s="5"/>
      <c r="H128" s="5"/>
      <c r="I128" s="5"/>
      <c r="J128" s="104"/>
      <c r="K128" s="5"/>
      <c r="L128" s="5"/>
      <c r="M128" s="5"/>
      <c r="N128" s="104"/>
      <c r="O128" s="5"/>
      <c r="P128" s="5"/>
      <c r="Q128" s="110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</row>
    <row r="129" spans="1:51">
      <c r="A129" s="2"/>
      <c r="B129" s="108" t="s">
        <v>111</v>
      </c>
      <c r="C129" s="111" t="s">
        <v>15</v>
      </c>
      <c r="D129" s="112" t="s">
        <v>112</v>
      </c>
      <c r="E129" s="18"/>
      <c r="F129" s="5"/>
      <c r="G129" s="5"/>
      <c r="H129" s="5"/>
      <c r="I129" s="5"/>
      <c r="J129" s="104"/>
      <c r="K129" s="5"/>
      <c r="L129" s="5"/>
      <c r="M129" s="5"/>
      <c r="N129" s="104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440" t="s">
        <v>113</v>
      </c>
      <c r="AL129" s="441"/>
      <c r="AM129" s="441"/>
      <c r="AN129" s="441"/>
      <c r="AO129" s="441"/>
      <c r="AP129" s="441"/>
      <c r="AQ129" s="441"/>
      <c r="AR129" s="441"/>
      <c r="AS129" s="441"/>
      <c r="AT129" s="441"/>
      <c r="AU129" s="441"/>
      <c r="AV129" s="441"/>
      <c r="AW129" s="441"/>
      <c r="AX129" s="441"/>
      <c r="AY129" s="442"/>
    </row>
    <row r="130" spans="1:51">
      <c r="A130" s="2"/>
      <c r="B130" s="108" t="s">
        <v>114</v>
      </c>
      <c r="C130" s="113" t="s">
        <v>16</v>
      </c>
      <c r="D130" s="112" t="s">
        <v>115</v>
      </c>
      <c r="E130" s="18"/>
      <c r="F130" s="5"/>
      <c r="G130" s="5"/>
      <c r="H130" s="5"/>
      <c r="I130" s="5"/>
      <c r="J130" s="104"/>
      <c r="K130" s="5"/>
      <c r="L130" s="5"/>
      <c r="M130" s="5"/>
      <c r="N130" s="104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434">
        <f>AU89+AU91+AU93+AU95+AU97+AU99+AU101+AU103+AU105+AU107+AU109+AU111+AU115+AU117+AU119+AU121</f>
        <v>9</v>
      </c>
      <c r="AL130" s="435"/>
      <c r="AM130" s="435"/>
      <c r="AN130" s="435"/>
      <c r="AO130" s="435"/>
      <c r="AP130" s="435"/>
      <c r="AQ130" s="435"/>
      <c r="AR130" s="435"/>
      <c r="AS130" s="435"/>
      <c r="AT130" s="435"/>
      <c r="AU130" s="435"/>
      <c r="AV130" s="435"/>
      <c r="AW130" s="435"/>
      <c r="AX130" s="435"/>
      <c r="AY130" s="436"/>
    </row>
    <row r="131" spans="1:51">
      <c r="A131" s="2"/>
      <c r="B131" s="108" t="s">
        <v>116</v>
      </c>
      <c r="C131" s="75" t="s">
        <v>17</v>
      </c>
      <c r="D131" s="112" t="s">
        <v>117</v>
      </c>
      <c r="E131" s="18"/>
      <c r="F131" s="5"/>
      <c r="G131" s="5"/>
      <c r="H131" s="5"/>
      <c r="I131" s="5"/>
      <c r="J131" s="104"/>
      <c r="K131" s="19"/>
      <c r="L131" s="19"/>
      <c r="M131" s="19"/>
      <c r="N131" s="114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20"/>
      <c r="AE131" s="5"/>
      <c r="AF131" s="5"/>
      <c r="AG131" s="5"/>
      <c r="AH131" s="5"/>
      <c r="AI131" s="5"/>
      <c r="AJ131" s="5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</row>
    <row r="132" spans="1:51">
      <c r="A132" s="2"/>
      <c r="B132" s="108" t="s">
        <v>118</v>
      </c>
      <c r="C132" s="115" t="s">
        <v>18</v>
      </c>
      <c r="D132" s="112" t="s">
        <v>119</v>
      </c>
      <c r="E132" s="18"/>
      <c r="F132" s="5"/>
      <c r="G132" s="5"/>
      <c r="H132" s="5"/>
      <c r="I132" s="5"/>
      <c r="J132" s="104"/>
      <c r="K132" s="19"/>
      <c r="L132" s="19"/>
      <c r="M132" s="19"/>
      <c r="N132" s="114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20"/>
      <c r="AE132" s="5"/>
      <c r="AF132" s="5"/>
      <c r="AG132" s="5"/>
      <c r="AH132" s="5"/>
      <c r="AI132" s="5"/>
      <c r="AJ132" s="5"/>
      <c r="AK132" s="440" t="s">
        <v>120</v>
      </c>
      <c r="AL132" s="441"/>
      <c r="AM132" s="441"/>
      <c r="AN132" s="441"/>
      <c r="AO132" s="441"/>
      <c r="AP132" s="441"/>
      <c r="AQ132" s="441"/>
      <c r="AR132" s="441"/>
      <c r="AS132" s="441"/>
      <c r="AT132" s="441"/>
      <c r="AU132" s="441"/>
      <c r="AV132" s="441"/>
      <c r="AW132" s="441"/>
      <c r="AX132" s="441"/>
      <c r="AY132" s="442"/>
    </row>
    <row r="133" spans="1:51">
      <c r="A133" s="2"/>
      <c r="B133" s="108" t="s">
        <v>121</v>
      </c>
      <c r="C133" s="76" t="s">
        <v>19</v>
      </c>
      <c r="D133" s="112" t="s">
        <v>122</v>
      </c>
      <c r="E133" s="18"/>
      <c r="F133" s="5"/>
      <c r="G133" s="5"/>
      <c r="H133" s="5"/>
      <c r="I133" s="5"/>
      <c r="J133" s="104"/>
      <c r="K133" s="21"/>
      <c r="L133" s="21"/>
      <c r="M133" s="21"/>
      <c r="N133" s="11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5"/>
      <c r="AE133" s="5"/>
      <c r="AF133" s="5"/>
      <c r="AG133" s="5"/>
      <c r="AH133" s="5"/>
      <c r="AI133" s="5"/>
      <c r="AJ133" s="5"/>
      <c r="AK133" s="437">
        <f>AU113</f>
        <v>1</v>
      </c>
      <c r="AL133" s="438"/>
      <c r="AM133" s="438"/>
      <c r="AN133" s="438"/>
      <c r="AO133" s="438"/>
      <c r="AP133" s="438"/>
      <c r="AQ133" s="438"/>
      <c r="AR133" s="438"/>
      <c r="AS133" s="438"/>
      <c r="AT133" s="438"/>
      <c r="AU133" s="438"/>
      <c r="AV133" s="438"/>
      <c r="AW133" s="438"/>
      <c r="AX133" s="438"/>
      <c r="AY133" s="439"/>
    </row>
    <row r="134" spans="1:51">
      <c r="A134" s="2"/>
      <c r="B134" s="108" t="s">
        <v>123</v>
      </c>
      <c r="C134" s="117" t="s">
        <v>20</v>
      </c>
      <c r="D134" s="112" t="s">
        <v>124</v>
      </c>
      <c r="E134" s="18"/>
      <c r="F134" s="5"/>
      <c r="G134" s="5"/>
      <c r="H134" s="5"/>
      <c r="I134" s="5"/>
      <c r="J134" s="104"/>
      <c r="K134" s="5"/>
      <c r="L134" s="5"/>
      <c r="M134" s="5"/>
      <c r="N134" s="10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38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</row>
    <row r="135" spans="1:51">
      <c r="A135" s="2"/>
      <c r="B135" s="108" t="s">
        <v>125</v>
      </c>
      <c r="C135" s="118" t="s">
        <v>21</v>
      </c>
      <c r="D135" s="112" t="s">
        <v>126</v>
      </c>
      <c r="E135" s="18"/>
      <c r="F135" s="5"/>
      <c r="G135" s="5"/>
      <c r="H135" s="5"/>
      <c r="I135" s="5"/>
      <c r="J135" s="104"/>
      <c r="K135" s="5"/>
      <c r="L135" s="5"/>
      <c r="M135" s="5"/>
      <c r="N135" s="10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38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</row>
    <row r="136" spans="1:51">
      <c r="A136" s="2"/>
      <c r="B136" s="108" t="s">
        <v>127</v>
      </c>
      <c r="C136" s="119" t="s">
        <v>22</v>
      </c>
      <c r="D136" s="112" t="s">
        <v>128</v>
      </c>
      <c r="E136" s="18"/>
      <c r="F136" s="5"/>
      <c r="G136" s="5"/>
      <c r="H136" s="5"/>
      <c r="I136" s="5"/>
      <c r="J136" s="104"/>
      <c r="K136" s="5"/>
      <c r="L136" s="5"/>
      <c r="M136" s="5"/>
      <c r="N136" s="10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431" t="s">
        <v>129</v>
      </c>
      <c r="AL136" s="432"/>
      <c r="AM136" s="432"/>
      <c r="AN136" s="432"/>
      <c r="AO136" s="432"/>
      <c r="AP136" s="432"/>
      <c r="AQ136" s="432"/>
      <c r="AR136" s="432"/>
      <c r="AS136" s="432"/>
      <c r="AT136" s="432"/>
      <c r="AU136" s="432"/>
      <c r="AV136" s="432"/>
      <c r="AW136" s="432"/>
      <c r="AX136" s="432"/>
      <c r="AY136" s="433"/>
    </row>
    <row r="137" spans="1:51">
      <c r="A137" s="2"/>
      <c r="B137" s="108" t="s">
        <v>130</v>
      </c>
      <c r="C137" s="120" t="s">
        <v>23</v>
      </c>
      <c r="D137" s="112" t="s">
        <v>131</v>
      </c>
      <c r="E137" s="18"/>
      <c r="F137" s="5"/>
      <c r="G137" s="5"/>
      <c r="H137" s="5"/>
      <c r="I137" s="5"/>
      <c r="J137" s="104"/>
      <c r="K137" s="5"/>
      <c r="L137" s="5"/>
      <c r="M137" s="5"/>
      <c r="N137" s="10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434">
        <f>AK6+AK8+AK10+AK12+AK14+AK16+AK18+AK20+AK22+AK24+AK26+AK28+AK30+AK32+AK34+AK36+AK38+AK40+AK42+AK44+AK46+AK48+AK50+AK52+AK54+AK56+AK58+AK60+AK62+AK64+AK66+AK68+AK70+AK72+AK74+AK76++AK78+AK80+AK82+AK84+AK86+AK88</f>
        <v>472</v>
      </c>
      <c r="AL137" s="435"/>
      <c r="AM137" s="435"/>
      <c r="AN137" s="435"/>
      <c r="AO137" s="435"/>
      <c r="AP137" s="435"/>
      <c r="AQ137" s="435"/>
      <c r="AR137" s="435"/>
      <c r="AS137" s="435"/>
      <c r="AT137" s="435"/>
      <c r="AU137" s="435"/>
      <c r="AV137" s="435"/>
      <c r="AW137" s="435"/>
      <c r="AX137" s="435"/>
      <c r="AY137" s="436"/>
    </row>
    <row r="138" spans="1:51">
      <c r="A138" s="2"/>
      <c r="B138" s="108" t="s">
        <v>132</v>
      </c>
      <c r="C138" s="121" t="s">
        <v>24</v>
      </c>
      <c r="D138" s="112" t="s">
        <v>133</v>
      </c>
      <c r="E138" s="18"/>
      <c r="F138" s="5"/>
      <c r="G138" s="5"/>
      <c r="H138" s="5"/>
      <c r="I138" s="5"/>
      <c r="J138" s="104"/>
      <c r="K138" s="5"/>
      <c r="L138" s="5"/>
      <c r="M138" s="5"/>
      <c r="N138" s="10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</row>
    <row r="139" spans="1:51">
      <c r="A139" s="2"/>
      <c r="B139" s="108" t="s">
        <v>134</v>
      </c>
      <c r="C139" s="113" t="s">
        <v>25</v>
      </c>
      <c r="D139" s="112" t="s">
        <v>135</v>
      </c>
      <c r="E139" s="18"/>
      <c r="F139" s="5"/>
      <c r="G139" s="5"/>
      <c r="H139" s="5"/>
      <c r="I139" s="5"/>
      <c r="J139" s="104"/>
      <c r="K139" s="5"/>
      <c r="L139" s="5"/>
      <c r="M139" s="5"/>
      <c r="N139" s="104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431" t="s">
        <v>136</v>
      </c>
      <c r="AL139" s="432"/>
      <c r="AM139" s="432"/>
      <c r="AN139" s="432"/>
      <c r="AO139" s="432"/>
      <c r="AP139" s="432"/>
      <c r="AQ139" s="432"/>
      <c r="AR139" s="432"/>
      <c r="AS139" s="432"/>
      <c r="AT139" s="432"/>
      <c r="AU139" s="432"/>
      <c r="AV139" s="432"/>
      <c r="AW139" s="432"/>
      <c r="AX139" s="432"/>
      <c r="AY139" s="433"/>
    </row>
    <row r="140" spans="1:51">
      <c r="A140" s="2"/>
      <c r="B140" s="108" t="s">
        <v>137</v>
      </c>
      <c r="C140" s="113" t="s">
        <v>26</v>
      </c>
      <c r="D140" s="112" t="s">
        <v>138</v>
      </c>
      <c r="E140" s="18"/>
      <c r="F140" s="5"/>
      <c r="G140" s="5"/>
      <c r="H140" s="5"/>
      <c r="I140" s="5"/>
      <c r="J140" s="104"/>
      <c r="K140" s="5"/>
      <c r="L140" s="5"/>
      <c r="M140" s="5"/>
      <c r="N140" s="10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434">
        <f ca="1">AK90+AK92+AK94+AK96+AK98+AK100+AK102+AK104+AK106+AK108+AK110+AK112+AK118+AK120+AK122</f>
        <v>0</v>
      </c>
      <c r="AL140" s="435"/>
      <c r="AM140" s="435"/>
      <c r="AN140" s="435"/>
      <c r="AO140" s="435"/>
      <c r="AP140" s="435"/>
      <c r="AQ140" s="435"/>
      <c r="AR140" s="435"/>
      <c r="AS140" s="435"/>
      <c r="AT140" s="435"/>
      <c r="AU140" s="435"/>
      <c r="AV140" s="435"/>
      <c r="AW140" s="435"/>
      <c r="AX140" s="435"/>
      <c r="AY140" s="436"/>
    </row>
    <row r="141" spans="1:51">
      <c r="B141" s="108" t="s">
        <v>139</v>
      </c>
      <c r="C141" s="122" t="s">
        <v>27</v>
      </c>
      <c r="D141" s="54" t="s">
        <v>140</v>
      </c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</row>
    <row r="142" spans="1:51">
      <c r="B142" s="108" t="s">
        <v>141</v>
      </c>
      <c r="C142" s="113" t="s">
        <v>28</v>
      </c>
      <c r="D142" s="112" t="s">
        <v>142</v>
      </c>
      <c r="AK142" s="431" t="s">
        <v>143</v>
      </c>
      <c r="AL142" s="432"/>
      <c r="AM142" s="432"/>
      <c r="AN142" s="432"/>
      <c r="AO142" s="432"/>
      <c r="AP142" s="432"/>
      <c r="AQ142" s="432"/>
      <c r="AR142" s="432"/>
      <c r="AS142" s="432"/>
      <c r="AT142" s="432"/>
      <c r="AU142" s="432"/>
      <c r="AV142" s="432"/>
      <c r="AW142" s="432"/>
      <c r="AX142" s="432"/>
      <c r="AY142" s="433"/>
    </row>
    <row r="143" spans="1:51">
      <c r="D143" s="22"/>
      <c r="AK143" s="437">
        <f>AK114</f>
        <v>0</v>
      </c>
      <c r="AL143" s="438"/>
      <c r="AM143" s="438"/>
      <c r="AN143" s="438"/>
      <c r="AO143" s="438"/>
      <c r="AP143" s="438"/>
      <c r="AQ143" s="438"/>
      <c r="AR143" s="438"/>
      <c r="AS143" s="438"/>
      <c r="AT143" s="438"/>
      <c r="AU143" s="438"/>
      <c r="AV143" s="438"/>
      <c r="AW143" s="438"/>
      <c r="AX143" s="438"/>
      <c r="AY143" s="439"/>
    </row>
  </sheetData>
  <mergeCells count="138">
    <mergeCell ref="A9:A10"/>
    <mergeCell ref="AK10:AY10"/>
    <mergeCell ref="A11:A12"/>
    <mergeCell ref="AK12:AY12"/>
    <mergeCell ref="A13:A14"/>
    <mergeCell ref="AK14:AY14"/>
    <mergeCell ref="A1:AY1"/>
    <mergeCell ref="E2:AJ2"/>
    <mergeCell ref="A5:A6"/>
    <mergeCell ref="AK6:AY6"/>
    <mergeCell ref="A7:A8"/>
    <mergeCell ref="AK8:AY8"/>
    <mergeCell ref="A21:A22"/>
    <mergeCell ref="AK22:AY22"/>
    <mergeCell ref="A23:A24"/>
    <mergeCell ref="AK24:AY24"/>
    <mergeCell ref="A25:A26"/>
    <mergeCell ref="AK26:AY26"/>
    <mergeCell ref="A15:A16"/>
    <mergeCell ref="AK16:AY16"/>
    <mergeCell ref="A17:A18"/>
    <mergeCell ref="AK18:AY18"/>
    <mergeCell ref="A19:A20"/>
    <mergeCell ref="AK20:AY20"/>
    <mergeCell ref="A35:A36"/>
    <mergeCell ref="AK36:AY36"/>
    <mergeCell ref="A37:A38"/>
    <mergeCell ref="AK38:AY38"/>
    <mergeCell ref="A39:A40"/>
    <mergeCell ref="AK40:AY40"/>
    <mergeCell ref="A27:A28"/>
    <mergeCell ref="AK28:AY28"/>
    <mergeCell ref="A29:A30"/>
    <mergeCell ref="AK30:AY30"/>
    <mergeCell ref="A33:A34"/>
    <mergeCell ref="AK34:AY34"/>
    <mergeCell ref="AK32:AY32"/>
    <mergeCell ref="A31:A32"/>
    <mergeCell ref="A47:A48"/>
    <mergeCell ref="AK48:AY48"/>
    <mergeCell ref="A49:A50"/>
    <mergeCell ref="AK50:AY50"/>
    <mergeCell ref="A51:A52"/>
    <mergeCell ref="AK52:AY52"/>
    <mergeCell ref="A41:A42"/>
    <mergeCell ref="AK42:AY42"/>
    <mergeCell ref="A43:A44"/>
    <mergeCell ref="AK44:AY44"/>
    <mergeCell ref="A45:A46"/>
    <mergeCell ref="AK46:AY46"/>
    <mergeCell ref="A59:A60"/>
    <mergeCell ref="AK60:AY60"/>
    <mergeCell ref="A61:A62"/>
    <mergeCell ref="AK62:AY62"/>
    <mergeCell ref="A63:A64"/>
    <mergeCell ref="AK64:AY64"/>
    <mergeCell ref="A53:A54"/>
    <mergeCell ref="AK54:AY54"/>
    <mergeCell ref="A55:A56"/>
    <mergeCell ref="AK56:AY56"/>
    <mergeCell ref="A57:A58"/>
    <mergeCell ref="AK58:AY58"/>
    <mergeCell ref="AK80:AY80"/>
    <mergeCell ref="AK82:AY82"/>
    <mergeCell ref="AK84:AY84"/>
    <mergeCell ref="AK86:AY86"/>
    <mergeCell ref="AK90:AY90"/>
    <mergeCell ref="AK92:AY92"/>
    <mergeCell ref="AK76:AY76"/>
    <mergeCell ref="AK78:AY78"/>
    <mergeCell ref="A65:A66"/>
    <mergeCell ref="AK66:AY66"/>
    <mergeCell ref="AK68:AY68"/>
    <mergeCell ref="AK70:AY70"/>
    <mergeCell ref="AK72:AY72"/>
    <mergeCell ref="AK74:AY74"/>
    <mergeCell ref="AK88:AY88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K106:AY106"/>
    <mergeCell ref="A109:A110"/>
    <mergeCell ref="B109:B110"/>
    <mergeCell ref="C109:C110"/>
    <mergeCell ref="D109:D110"/>
    <mergeCell ref="AK110:AY110"/>
    <mergeCell ref="AK94:AY94"/>
    <mergeCell ref="AK96:AY96"/>
    <mergeCell ref="AK98:AY98"/>
    <mergeCell ref="AK100:AY100"/>
    <mergeCell ref="AK102:AY102"/>
    <mergeCell ref="AK104:AY104"/>
    <mergeCell ref="A103:A104"/>
    <mergeCell ref="A105:A106"/>
    <mergeCell ref="AK114:AY114"/>
    <mergeCell ref="AK118:AY118"/>
    <mergeCell ref="AK120:AY120"/>
    <mergeCell ref="A121:A122"/>
    <mergeCell ref="B121:B122"/>
    <mergeCell ref="C121:C122"/>
    <mergeCell ref="D121:D122"/>
    <mergeCell ref="AK122:AY122"/>
    <mergeCell ref="AK108:AY108"/>
    <mergeCell ref="AK112:AY112"/>
    <mergeCell ref="AK116:AY116"/>
    <mergeCell ref="A107:A108"/>
    <mergeCell ref="A111:A112"/>
    <mergeCell ref="A115:A116"/>
    <mergeCell ref="A113:A114"/>
    <mergeCell ref="A117:A118"/>
    <mergeCell ref="A119:A120"/>
    <mergeCell ref="AK136:AY136"/>
    <mergeCell ref="AK137:AY137"/>
    <mergeCell ref="AK139:AY139"/>
    <mergeCell ref="AK140:AY140"/>
    <mergeCell ref="AK142:AY142"/>
    <mergeCell ref="AK143:AY143"/>
    <mergeCell ref="AK126:AY126"/>
    <mergeCell ref="AK127:AY127"/>
    <mergeCell ref="AK129:AY129"/>
    <mergeCell ref="AK130:AY130"/>
    <mergeCell ref="AK132:AY132"/>
    <mergeCell ref="AK133:AY133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</mergeCells>
  <conditionalFormatting sqref="G123:AJ123">
    <cfRule type="cellIs" dxfId="8" priority="1" operator="greaterThan">
      <formula>36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A6CA-EDBA-48C6-B047-2DC6B90AA7DC}">
  <dimension ref="A1:BC143"/>
  <sheetViews>
    <sheetView topLeftCell="A36" workbookViewId="0">
      <selection activeCell="Z32" sqref="Z32"/>
    </sheetView>
  </sheetViews>
  <sheetFormatPr defaultRowHeight="15"/>
  <cols>
    <col min="1" max="1" width="6.42578125" customWidth="1"/>
    <col min="2" max="2" width="7.140625" customWidth="1"/>
    <col min="3" max="3" width="15.5703125" customWidth="1"/>
    <col min="4" max="4" width="16.85546875" customWidth="1"/>
    <col min="5" max="5" width="10.28515625" customWidth="1"/>
    <col min="6" max="6" width="4.28515625" customWidth="1"/>
    <col min="7" max="7" width="4.7109375" customWidth="1"/>
    <col min="8" max="8" width="4.5703125" customWidth="1"/>
    <col min="9" max="48" width="5.28515625" customWidth="1"/>
    <col min="50" max="50" width="14.5703125" style="54" customWidth="1"/>
    <col min="51" max="52" width="11.42578125" bestFit="1" customWidth="1"/>
  </cols>
  <sheetData>
    <row r="1" spans="1:55">
      <c r="A1" s="493" t="s">
        <v>0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5"/>
    </row>
    <row r="2" spans="1:55">
      <c r="A2" s="1"/>
      <c r="B2" s="2"/>
      <c r="C2" s="2"/>
      <c r="D2" s="2"/>
      <c r="E2" s="502">
        <v>46054</v>
      </c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497"/>
      <c r="U2" s="497"/>
      <c r="V2" s="497"/>
      <c r="W2" s="497"/>
      <c r="X2" s="497"/>
      <c r="Y2" s="498"/>
      <c r="Z2" s="497"/>
      <c r="AA2" s="497"/>
      <c r="AB2" s="498"/>
      <c r="AC2" s="498"/>
      <c r="AD2" s="497"/>
      <c r="AE2" s="498"/>
      <c r="AF2" s="498"/>
      <c r="AG2" s="503"/>
      <c r="AH2" s="215"/>
      <c r="AI2" s="212"/>
      <c r="AJ2" s="215"/>
      <c r="AK2" s="214"/>
      <c r="AL2" s="214"/>
      <c r="AM2" s="212"/>
      <c r="AN2" s="215"/>
      <c r="AO2" s="212"/>
      <c r="AP2" s="213"/>
      <c r="AQ2" s="216"/>
      <c r="AR2" s="216"/>
      <c r="AS2" s="216"/>
      <c r="AT2" s="216"/>
      <c r="AU2" s="216"/>
      <c r="AV2" s="211"/>
    </row>
    <row r="3" spans="1:55">
      <c r="A3" s="3"/>
      <c r="B3" s="4"/>
      <c r="C3" s="4"/>
      <c r="D3" s="4"/>
      <c r="E3" s="264" t="s">
        <v>1</v>
      </c>
      <c r="F3" s="271">
        <v>1</v>
      </c>
      <c r="G3" s="272">
        <v>2</v>
      </c>
      <c r="H3" s="273">
        <v>3</v>
      </c>
      <c r="I3" s="271">
        <v>4</v>
      </c>
      <c r="J3" s="272">
        <v>5</v>
      </c>
      <c r="K3" s="273">
        <v>6</v>
      </c>
      <c r="L3" s="271">
        <v>7</v>
      </c>
      <c r="M3" s="265">
        <v>8</v>
      </c>
      <c r="N3" s="273">
        <v>9</v>
      </c>
      <c r="O3" s="271">
        <v>10</v>
      </c>
      <c r="P3" s="265">
        <v>11</v>
      </c>
      <c r="Q3" s="273">
        <v>12</v>
      </c>
      <c r="R3" s="271">
        <v>13</v>
      </c>
      <c r="S3" s="274">
        <v>14</v>
      </c>
      <c r="T3" s="275">
        <v>15</v>
      </c>
      <c r="U3" s="271">
        <v>16</v>
      </c>
      <c r="V3" s="274">
        <v>17</v>
      </c>
      <c r="W3" s="340">
        <v>18</v>
      </c>
      <c r="X3" s="341">
        <v>19</v>
      </c>
      <c r="Y3" s="342">
        <v>20</v>
      </c>
      <c r="Z3" s="340">
        <v>21</v>
      </c>
      <c r="AA3" s="341">
        <v>22</v>
      </c>
      <c r="AB3" s="343">
        <v>23</v>
      </c>
      <c r="AC3" s="344">
        <v>24</v>
      </c>
      <c r="AD3" s="345">
        <v>25</v>
      </c>
      <c r="AE3" s="343">
        <v>26</v>
      </c>
      <c r="AF3" s="344">
        <v>27</v>
      </c>
      <c r="AG3" s="345">
        <v>28</v>
      </c>
      <c r="AH3" s="5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</row>
    <row r="4" spans="1:55">
      <c r="A4" s="6" t="s">
        <v>2</v>
      </c>
      <c r="B4" s="6" t="s">
        <v>3</v>
      </c>
      <c r="C4" s="6" t="s">
        <v>4</v>
      </c>
      <c r="D4" s="6" t="s">
        <v>5</v>
      </c>
      <c r="E4" s="266" t="s">
        <v>6</v>
      </c>
      <c r="F4" s="267" t="s">
        <v>10</v>
      </c>
      <c r="G4" s="268" t="s">
        <v>11</v>
      </c>
      <c r="H4" s="269" t="s">
        <v>12</v>
      </c>
      <c r="I4" s="269" t="s">
        <v>13</v>
      </c>
      <c r="J4" s="269" t="s">
        <v>7</v>
      </c>
      <c r="K4" s="269" t="s">
        <v>8</v>
      </c>
      <c r="L4" s="269" t="s">
        <v>9</v>
      </c>
      <c r="M4" s="269" t="s">
        <v>10</v>
      </c>
      <c r="N4" s="269" t="s">
        <v>11</v>
      </c>
      <c r="O4" s="269" t="s">
        <v>12</v>
      </c>
      <c r="P4" s="269" t="s">
        <v>13</v>
      </c>
      <c r="Q4" s="269" t="s">
        <v>7</v>
      </c>
      <c r="R4" s="269" t="s">
        <v>8</v>
      </c>
      <c r="S4" s="269" t="s">
        <v>9</v>
      </c>
      <c r="T4" s="269" t="s">
        <v>10</v>
      </c>
      <c r="U4" s="269" t="s">
        <v>11</v>
      </c>
      <c r="V4" s="269" t="s">
        <v>12</v>
      </c>
      <c r="W4" s="269" t="s">
        <v>13</v>
      </c>
      <c r="X4" s="269" t="s">
        <v>7</v>
      </c>
      <c r="Y4" s="269" t="s">
        <v>8</v>
      </c>
      <c r="Z4" s="269" t="s">
        <v>9</v>
      </c>
      <c r="AA4" s="269" t="s">
        <v>10</v>
      </c>
      <c r="AB4" s="269" t="s">
        <v>11</v>
      </c>
      <c r="AC4" s="269" t="s">
        <v>12</v>
      </c>
      <c r="AD4" s="269" t="s">
        <v>13</v>
      </c>
      <c r="AE4" s="269" t="s">
        <v>7</v>
      </c>
      <c r="AF4" s="269" t="s">
        <v>8</v>
      </c>
      <c r="AG4" s="270" t="s">
        <v>9</v>
      </c>
      <c r="AH4" s="206" t="s">
        <v>14</v>
      </c>
      <c r="AI4" s="207" t="s">
        <v>15</v>
      </c>
      <c r="AJ4" s="207" t="s">
        <v>16</v>
      </c>
      <c r="AK4" s="207" t="s">
        <v>17</v>
      </c>
      <c r="AL4" s="207" t="s">
        <v>18</v>
      </c>
      <c r="AM4" s="207" t="s">
        <v>19</v>
      </c>
      <c r="AN4" s="207" t="s">
        <v>20</v>
      </c>
      <c r="AO4" s="207" t="s">
        <v>21</v>
      </c>
      <c r="AP4" s="207" t="s">
        <v>22</v>
      </c>
      <c r="AQ4" s="207" t="s">
        <v>23</v>
      </c>
      <c r="AR4" s="207" t="s">
        <v>24</v>
      </c>
      <c r="AS4" s="207" t="s">
        <v>25</v>
      </c>
      <c r="AT4" s="207" t="s">
        <v>26</v>
      </c>
      <c r="AU4" s="207" t="s">
        <v>27</v>
      </c>
      <c r="AV4" s="208" t="s">
        <v>28</v>
      </c>
      <c r="AW4" s="54" t="s">
        <v>29</v>
      </c>
      <c r="AX4" s="54" t="s">
        <v>144</v>
      </c>
      <c r="AZ4" s="338" t="s">
        <v>33</v>
      </c>
      <c r="BA4">
        <f>42*4</f>
        <v>168</v>
      </c>
    </row>
    <row r="5" spans="1:55">
      <c r="A5" s="449">
        <v>1</v>
      </c>
      <c r="B5" s="55">
        <v>97</v>
      </c>
      <c r="C5" s="56" t="s">
        <v>30</v>
      </c>
      <c r="D5" s="57" t="s">
        <v>31</v>
      </c>
      <c r="E5" s="58" t="s">
        <v>32</v>
      </c>
      <c r="F5" s="123" t="s">
        <v>14</v>
      </c>
      <c r="G5" s="123" t="s">
        <v>14</v>
      </c>
      <c r="H5" s="123" t="s">
        <v>14</v>
      </c>
      <c r="I5" s="123" t="s">
        <v>14</v>
      </c>
      <c r="J5" s="123" t="s">
        <v>14</v>
      </c>
      <c r="K5" s="123" t="s">
        <v>14</v>
      </c>
      <c r="L5" s="123" t="s">
        <v>23</v>
      </c>
      <c r="M5" s="123" t="s">
        <v>14</v>
      </c>
      <c r="N5" s="123" t="s">
        <v>14</v>
      </c>
      <c r="O5" s="123" t="s">
        <v>14</v>
      </c>
      <c r="P5" s="123" t="s">
        <v>23</v>
      </c>
      <c r="Q5" s="123" t="s">
        <v>14</v>
      </c>
      <c r="R5" s="123" t="s">
        <v>14</v>
      </c>
      <c r="S5" s="123" t="s">
        <v>14</v>
      </c>
      <c r="T5" s="123" t="s">
        <v>14</v>
      </c>
      <c r="U5" s="123" t="s">
        <v>14</v>
      </c>
      <c r="V5" s="123" t="s">
        <v>14</v>
      </c>
      <c r="W5" s="123" t="s">
        <v>23</v>
      </c>
      <c r="X5" s="123" t="s">
        <v>14</v>
      </c>
      <c r="Y5" s="123" t="s">
        <v>14</v>
      </c>
      <c r="Z5" s="123" t="s">
        <v>14</v>
      </c>
      <c r="AA5" s="123" t="s">
        <v>14</v>
      </c>
      <c r="AB5" s="123" t="s">
        <v>14</v>
      </c>
      <c r="AC5" s="123" t="s">
        <v>19</v>
      </c>
      <c r="AD5" s="123" t="s">
        <v>19</v>
      </c>
      <c r="AE5" s="123" t="s">
        <v>19</v>
      </c>
      <c r="AF5" s="123" t="s">
        <v>23</v>
      </c>
      <c r="AG5" s="123" t="s">
        <v>14</v>
      </c>
      <c r="AH5" s="157">
        <f>COUNTIF($F5:$AG5,$C$128)</f>
        <v>21</v>
      </c>
      <c r="AI5" s="136">
        <f>COUNTIF($F5:$AG5,$C$129)</f>
        <v>0</v>
      </c>
      <c r="AJ5" s="136">
        <f>COUNTIF($F5:$AG5,$C$130)</f>
        <v>0</v>
      </c>
      <c r="AK5" s="136">
        <f>COUNTIF($F5:$AG5,$C$131)</f>
        <v>0</v>
      </c>
      <c r="AL5" s="136">
        <f>COUNTIF($F5:$AG5,$C$132)</f>
        <v>0</v>
      </c>
      <c r="AM5" s="136">
        <f>COUNTIF($F5:$AG5,$C$133)</f>
        <v>3</v>
      </c>
      <c r="AN5" s="136">
        <f>COUNTIF($F5:$AG5,$C$134)</f>
        <v>0</v>
      </c>
      <c r="AO5" s="136">
        <f>COUNTIF($F5:$AG5,$C$135)</f>
        <v>0</v>
      </c>
      <c r="AP5" s="210">
        <f>COUNTIF($F5:$AG5,$C$136)</f>
        <v>0</v>
      </c>
      <c r="AQ5" s="136">
        <f>COUNTIF($F5:$AG5,$C$137)</f>
        <v>4</v>
      </c>
      <c r="AR5" s="136">
        <f>COUNTIF($F5:$AG5,$C$138)</f>
        <v>0</v>
      </c>
      <c r="AS5" s="136">
        <f>COUNTIF($F5:$AG5,$C$139)</f>
        <v>0</v>
      </c>
      <c r="AT5" s="136">
        <f>COUNTIF($F5:$AG5,$C$140)</f>
        <v>0</v>
      </c>
      <c r="AU5" s="136">
        <f>COUNTIF($F5:$AG5,$C$141)</f>
        <v>0</v>
      </c>
      <c r="AV5" s="136">
        <f>COUNTA(F5:AG5)</f>
        <v>28</v>
      </c>
      <c r="AW5" s="54">
        <f>AH5+AR5</f>
        <v>21</v>
      </c>
      <c r="AX5" s="54" cm="1">
        <f t="array" ref="AX5">IFERROR(
COUNTA(F5:AG5)-MAX(IF(TRIM(F5:AG5)="OD",COLUMN(F5:AG5)-COLUMN(F5)+1)),"")</f>
        <v>1</v>
      </c>
      <c r="AZ5" t="s">
        <v>35</v>
      </c>
      <c r="BA5">
        <f>SUM(AQ5,AQ7,AQ9,AQ11,AQ13,AQ15,AQ17,AQ19,AQ21,AQ23,AQ25,AQ27,AQ29,AQ31,AQ33,AQ35,AQ37,AQ39,AQ41,AQ43,AQ45,AQ47,AQ49,AQ51,AQ53,AQ55,AQ57,AQ59,AQ61,AQ63,AQ65,AQ67,AQ69,AQ71,AQ73,AQ75,AQ77,AQ79,AQ81,AQ83,AQ85,AQ87)</f>
        <v>155</v>
      </c>
      <c r="BC5" t="s">
        <v>36</v>
      </c>
    </row>
    <row r="6" spans="1:55">
      <c r="A6" s="450"/>
      <c r="B6" s="60"/>
      <c r="C6" s="61"/>
      <c r="D6" s="62"/>
      <c r="E6" s="63" t="s">
        <v>34</v>
      </c>
      <c r="F6" s="249"/>
      <c r="G6" s="123"/>
      <c r="H6" s="26"/>
      <c r="I6" s="26">
        <v>1</v>
      </c>
      <c r="J6" s="123"/>
      <c r="K6" s="26">
        <v>3</v>
      </c>
      <c r="L6" s="44"/>
      <c r="M6" s="44"/>
      <c r="N6" s="123"/>
      <c r="O6" s="44"/>
      <c r="P6" s="26"/>
      <c r="Q6" s="26">
        <v>1</v>
      </c>
      <c r="R6" s="26"/>
      <c r="S6" s="26">
        <v>2</v>
      </c>
      <c r="T6" s="26"/>
      <c r="U6" s="26"/>
      <c r="V6" s="26"/>
      <c r="W6" s="26"/>
      <c r="X6" s="26"/>
      <c r="Y6" s="26"/>
      <c r="Z6" s="26"/>
      <c r="AA6" s="25"/>
      <c r="AB6" s="25">
        <v>3</v>
      </c>
      <c r="AC6" s="24"/>
      <c r="AD6" s="24"/>
      <c r="AE6" s="24"/>
      <c r="AF6" s="25"/>
      <c r="AG6" s="25"/>
      <c r="AH6" s="492">
        <f>SUM(F6:AG6)</f>
        <v>10</v>
      </c>
      <c r="AI6" s="445"/>
      <c r="AJ6" s="445"/>
      <c r="AK6" s="445"/>
      <c r="AL6" s="445"/>
      <c r="AM6" s="445"/>
      <c r="AN6" s="445"/>
      <c r="AO6" s="445"/>
      <c r="AP6" s="445"/>
      <c r="AQ6" s="445"/>
      <c r="AR6" s="445"/>
      <c r="AS6" s="445"/>
      <c r="AT6" s="445"/>
      <c r="AU6" s="445"/>
      <c r="AV6" s="479"/>
      <c r="AW6" s="54"/>
      <c r="AZ6" t="s">
        <v>38</v>
      </c>
      <c r="BA6">
        <f>BA4-BA5</f>
        <v>13</v>
      </c>
      <c r="BB6">
        <v>150</v>
      </c>
      <c r="BC6">
        <f>BA6*BB6</f>
        <v>1950</v>
      </c>
    </row>
    <row r="7" spans="1:55">
      <c r="A7" s="449">
        <v>2</v>
      </c>
      <c r="B7" s="55">
        <v>76</v>
      </c>
      <c r="C7" s="64" t="s">
        <v>37</v>
      </c>
      <c r="D7" s="65" t="s">
        <v>31</v>
      </c>
      <c r="E7" s="58" t="s">
        <v>32</v>
      </c>
      <c r="F7" s="123" t="s">
        <v>14</v>
      </c>
      <c r="G7" s="123" t="s">
        <v>14</v>
      </c>
      <c r="H7" s="123" t="s">
        <v>14</v>
      </c>
      <c r="I7" s="123" t="s">
        <v>23</v>
      </c>
      <c r="J7" s="123" t="s">
        <v>14</v>
      </c>
      <c r="K7" s="123" t="s">
        <v>14</v>
      </c>
      <c r="L7" s="123" t="s">
        <v>14</v>
      </c>
      <c r="M7" s="123" t="s">
        <v>14</v>
      </c>
      <c r="N7" s="123" t="s">
        <v>14</v>
      </c>
      <c r="O7" s="123" t="s">
        <v>14</v>
      </c>
      <c r="P7" s="123" t="s">
        <v>14</v>
      </c>
      <c r="Q7" s="123" t="s">
        <v>14</v>
      </c>
      <c r="R7" s="123" t="s">
        <v>14</v>
      </c>
      <c r="S7" s="123" t="s">
        <v>23</v>
      </c>
      <c r="T7" s="123" t="s">
        <v>14</v>
      </c>
      <c r="U7" s="123" t="s">
        <v>14</v>
      </c>
      <c r="V7" s="123" t="s">
        <v>14</v>
      </c>
      <c r="W7" s="123" t="s">
        <v>14</v>
      </c>
      <c r="X7" s="123" t="s">
        <v>14</v>
      </c>
      <c r="Y7" s="123" t="s">
        <v>14</v>
      </c>
      <c r="Z7" s="123" t="s">
        <v>14</v>
      </c>
      <c r="AA7" s="123" t="s">
        <v>14</v>
      </c>
      <c r="AB7" s="123" t="s">
        <v>14</v>
      </c>
      <c r="AC7" s="123" t="s">
        <v>23</v>
      </c>
      <c r="AD7" s="123" t="s">
        <v>14</v>
      </c>
      <c r="AE7" s="123" t="s">
        <v>14</v>
      </c>
      <c r="AF7" s="123" t="s">
        <v>14</v>
      </c>
      <c r="AG7" s="123" t="s">
        <v>23</v>
      </c>
      <c r="AH7" s="59">
        <f>COUNTIF($F7:$AG7,$C$128)</f>
        <v>24</v>
      </c>
      <c r="AI7" s="30">
        <f>COUNTIF($F7:$AG7,$C$129)</f>
        <v>0</v>
      </c>
      <c r="AJ7" s="30">
        <f>COUNTIF($F7:$AG7,$C$130)</f>
        <v>0</v>
      </c>
      <c r="AK7" s="30">
        <f>COUNTIF($F7:$AG7,$C$131)</f>
        <v>0</v>
      </c>
      <c r="AL7" s="30">
        <f>COUNTIF($F7:$AG7,$C$132)</f>
        <v>0</v>
      </c>
      <c r="AM7" s="30">
        <f>COUNTIF($F7:$AG7,$C$133)</f>
        <v>0</v>
      </c>
      <c r="AN7" s="30">
        <f>COUNTIF($F7:$AG7,$C$134)</f>
        <v>0</v>
      </c>
      <c r="AO7" s="30">
        <f>COUNTIF($F7:$AG7,$C$135)</f>
        <v>0</v>
      </c>
      <c r="AP7" s="7">
        <f>COUNTIF($F7:$AG7,$C$136)</f>
        <v>0</v>
      </c>
      <c r="AQ7" s="136">
        <f>COUNTIF($F7:$AG7,$C$137)</f>
        <v>4</v>
      </c>
      <c r="AR7" s="30">
        <f>COUNTIF($F7:$AG7,$C$138)</f>
        <v>0</v>
      </c>
      <c r="AS7" s="30">
        <f>COUNTIF($F7:$AG7,$C$139)</f>
        <v>0</v>
      </c>
      <c r="AT7" s="30">
        <f>COUNTIF($F7:$AG7,$C$140)</f>
        <v>0</v>
      </c>
      <c r="AU7" s="30">
        <f>COUNTIF($F7:$AG7,$C$141)</f>
        <v>0</v>
      </c>
      <c r="AV7" s="30">
        <f>COUNTA(F7:AG7)</f>
        <v>28</v>
      </c>
      <c r="AW7" s="54">
        <f>AH7+AR7</f>
        <v>24</v>
      </c>
      <c r="AX7" s="54" cm="1">
        <f t="array" ref="AX7">IFERROR(
COUNTA(F7:AG7)-MAX(IF(TRIM(F7:AG7)="OD",COLUMN(F7:AG7)-COLUMN(F7)+1)),"")</f>
        <v>0</v>
      </c>
    </row>
    <row r="8" spans="1:55">
      <c r="A8" s="450"/>
      <c r="B8" s="60"/>
      <c r="C8" s="61"/>
      <c r="D8" s="62"/>
      <c r="E8" s="66" t="s">
        <v>34</v>
      </c>
      <c r="F8" s="249">
        <v>3</v>
      </c>
      <c r="G8" s="123">
        <v>4</v>
      </c>
      <c r="H8" s="26"/>
      <c r="I8" s="26"/>
      <c r="J8" s="123"/>
      <c r="K8" s="26"/>
      <c r="L8" s="44"/>
      <c r="M8" s="44"/>
      <c r="N8" s="123"/>
      <c r="O8" s="44"/>
      <c r="P8" s="26"/>
      <c r="Q8" s="26"/>
      <c r="R8" s="26"/>
      <c r="S8" s="26"/>
      <c r="T8" s="26"/>
      <c r="U8" s="26"/>
      <c r="V8" s="26"/>
      <c r="W8" s="26">
        <v>3</v>
      </c>
      <c r="X8" s="26">
        <v>3</v>
      </c>
      <c r="Y8" s="26">
        <v>3</v>
      </c>
      <c r="Z8" s="26">
        <v>3</v>
      </c>
      <c r="AA8" s="25">
        <v>3</v>
      </c>
      <c r="AB8" s="25">
        <v>3</v>
      </c>
      <c r="AC8" s="25"/>
      <c r="AD8" s="25">
        <v>3</v>
      </c>
      <c r="AE8" s="25">
        <v>3</v>
      </c>
      <c r="AF8" s="25">
        <v>3</v>
      </c>
      <c r="AG8" s="25"/>
      <c r="AH8" s="492">
        <f>SUM(F8:AG8)</f>
        <v>34</v>
      </c>
      <c r="AI8" s="445"/>
      <c r="AJ8" s="445"/>
      <c r="AK8" s="445"/>
      <c r="AL8" s="445"/>
      <c r="AM8" s="445"/>
      <c r="AN8" s="445"/>
      <c r="AO8" s="445"/>
      <c r="AP8" s="445"/>
      <c r="AQ8" s="445"/>
      <c r="AR8" s="445"/>
      <c r="AS8" s="445"/>
      <c r="AT8" s="445"/>
      <c r="AU8" s="445"/>
      <c r="AV8" s="479"/>
      <c r="AW8" s="54"/>
      <c r="AZ8" s="346" t="s">
        <v>145</v>
      </c>
    </row>
    <row r="9" spans="1:55">
      <c r="A9" s="449">
        <v>3</v>
      </c>
      <c r="B9" s="67">
        <v>79</v>
      </c>
      <c r="C9" s="56" t="s">
        <v>39</v>
      </c>
      <c r="D9" s="57" t="s">
        <v>31</v>
      </c>
      <c r="E9" s="58" t="s">
        <v>32</v>
      </c>
      <c r="F9" s="123" t="s">
        <v>23</v>
      </c>
      <c r="G9" s="123" t="s">
        <v>14</v>
      </c>
      <c r="H9" s="123" t="s">
        <v>14</v>
      </c>
      <c r="I9" s="123" t="s">
        <v>14</v>
      </c>
      <c r="J9" s="123" t="s">
        <v>14</v>
      </c>
      <c r="K9" s="123" t="s">
        <v>14</v>
      </c>
      <c r="L9" s="123" t="s">
        <v>14</v>
      </c>
      <c r="M9" s="123" t="s">
        <v>23</v>
      </c>
      <c r="N9" s="123" t="s">
        <v>14</v>
      </c>
      <c r="O9" s="123" t="s">
        <v>14</v>
      </c>
      <c r="P9" s="123" t="s">
        <v>14</v>
      </c>
      <c r="Q9" s="123" t="s">
        <v>14</v>
      </c>
      <c r="R9" s="123" t="s">
        <v>14</v>
      </c>
      <c r="S9" s="123" t="s">
        <v>14</v>
      </c>
      <c r="T9" s="123" t="s">
        <v>23</v>
      </c>
      <c r="U9" s="123" t="s">
        <v>14</v>
      </c>
      <c r="V9" s="123" t="s">
        <v>14</v>
      </c>
      <c r="W9" s="123" t="s">
        <v>14</v>
      </c>
      <c r="X9" s="123" t="s">
        <v>14</v>
      </c>
      <c r="Y9" s="123" t="s">
        <v>14</v>
      </c>
      <c r="Z9" s="123" t="s">
        <v>14</v>
      </c>
      <c r="AA9" s="123" t="s">
        <v>14</v>
      </c>
      <c r="AB9" s="123" t="s">
        <v>14</v>
      </c>
      <c r="AC9" s="123" t="s">
        <v>23</v>
      </c>
      <c r="AD9" s="123" t="s">
        <v>14</v>
      </c>
      <c r="AE9" s="123" t="s">
        <v>14</v>
      </c>
      <c r="AF9" s="123" t="s">
        <v>14</v>
      </c>
      <c r="AG9" s="123" t="s">
        <v>14</v>
      </c>
      <c r="AH9" s="59">
        <f>COUNTIF($F9:$AG9,$C$128)</f>
        <v>24</v>
      </c>
      <c r="AI9" s="30">
        <f>COUNTIF($F9:$AG9,$C$129)</f>
        <v>0</v>
      </c>
      <c r="AJ9" s="30">
        <f>COUNTIF($F9:$AG9,$C$130)</f>
        <v>0</v>
      </c>
      <c r="AK9" s="30">
        <f>COUNTIF($F9:$AG9,$C$131)</f>
        <v>0</v>
      </c>
      <c r="AL9" s="30">
        <f>COUNTIF($F9:$AG9,$C$132)</f>
        <v>0</v>
      </c>
      <c r="AM9" s="30">
        <f>COUNTIF($F9:$AG9,$C$133)</f>
        <v>0</v>
      </c>
      <c r="AN9" s="30">
        <f>COUNTIF($F9:$AG9,$C$134)</f>
        <v>0</v>
      </c>
      <c r="AO9" s="30">
        <f>COUNTIF($F9:$AG9,$C$135)</f>
        <v>0</v>
      </c>
      <c r="AP9" s="30">
        <f>COUNTIF($F9:$AG9,$C$136)</f>
        <v>0</v>
      </c>
      <c r="AQ9" s="30">
        <f>COUNTIF($F9:$AG9,$C$137)</f>
        <v>4</v>
      </c>
      <c r="AR9" s="30">
        <f>COUNTIF($F9:$AG9,$C$138)</f>
        <v>0</v>
      </c>
      <c r="AS9" s="30">
        <f>COUNTIF($F9:$AG9,$C$139)</f>
        <v>0</v>
      </c>
      <c r="AT9" s="30">
        <f>COUNTIF($F9:$AG9,$C$140)</f>
        <v>0</v>
      </c>
      <c r="AU9" s="30">
        <f>COUNTIF($F9:$AG9,$C$141)</f>
        <v>0</v>
      </c>
      <c r="AV9" s="30">
        <f>COUNTA(F9:AG9)</f>
        <v>28</v>
      </c>
      <c r="AW9" s="54">
        <f>AH9+AR9</f>
        <v>24</v>
      </c>
      <c r="AX9" s="54" cm="1">
        <f t="array" ref="AX9">IFERROR(
COUNTA(F9:AG9)-MAX(IF(TRIM(F9:AG9)="OD",COLUMN(F9:AG9)-COLUMN(F9)+1)),"")</f>
        <v>4</v>
      </c>
      <c r="AZ9" s="338" t="s">
        <v>146</v>
      </c>
      <c r="BC9" s="338" t="s">
        <v>147</v>
      </c>
    </row>
    <row r="10" spans="1:55">
      <c r="A10" s="450"/>
      <c r="B10" s="60"/>
      <c r="C10" s="61"/>
      <c r="D10" s="62"/>
      <c r="E10" s="66" t="s">
        <v>34</v>
      </c>
      <c r="F10" s="249"/>
      <c r="G10" s="123"/>
      <c r="H10" s="26"/>
      <c r="I10" s="26"/>
      <c r="J10" s="123"/>
      <c r="K10" s="26"/>
      <c r="L10" s="44"/>
      <c r="M10" s="26"/>
      <c r="N10" s="123"/>
      <c r="O10" s="44"/>
      <c r="P10" s="26"/>
      <c r="Q10" s="26"/>
      <c r="R10" s="26"/>
      <c r="S10" s="26"/>
      <c r="T10" s="26"/>
      <c r="U10" s="26"/>
      <c r="V10" s="26"/>
      <c r="W10" s="26">
        <v>3</v>
      </c>
      <c r="X10" s="26">
        <v>3</v>
      </c>
      <c r="Y10" s="26">
        <v>3</v>
      </c>
      <c r="Z10" s="26">
        <v>3</v>
      </c>
      <c r="AA10" s="25">
        <v>3</v>
      </c>
      <c r="AB10" s="25">
        <v>3</v>
      </c>
      <c r="AC10" s="25"/>
      <c r="AD10" s="25">
        <v>3</v>
      </c>
      <c r="AE10" s="25">
        <v>3</v>
      </c>
      <c r="AF10" s="25">
        <v>3</v>
      </c>
      <c r="AG10" s="25">
        <v>3</v>
      </c>
      <c r="AH10" s="492">
        <f>SUM(F10:AG10)</f>
        <v>30</v>
      </c>
      <c r="AI10" s="445"/>
      <c r="AJ10" s="445"/>
      <c r="AK10" s="445"/>
      <c r="AL10" s="445"/>
      <c r="AM10" s="445"/>
      <c r="AN10" s="445"/>
      <c r="AO10" s="445"/>
      <c r="AP10" s="445"/>
      <c r="AQ10" s="445"/>
      <c r="AR10" s="445"/>
      <c r="AS10" s="445"/>
      <c r="AT10" s="445"/>
      <c r="AU10" s="445"/>
      <c r="AV10" s="479"/>
      <c r="AW10" s="54"/>
      <c r="AZ10" s="338" t="str" cm="1">
        <f t="array" ref="AZ10:AZ11">_xlfn._xlws.FILTER(C5:C100,AX5:AX100=6,"Aucun chauffeur &gt; 6 jours")</f>
        <v>USMAN</v>
      </c>
      <c r="BC10" s="338" t="str" cm="1">
        <f t="array" ref="BC10:BC12">_xlfn._xlws.FILTER(C5:C100,AX5:AX100&gt;=7,"Aucun chauffeur &gt; 6 jours")</f>
        <v xml:space="preserve">RAJAN </v>
      </c>
    </row>
    <row r="11" spans="1:55">
      <c r="A11" s="449">
        <v>4</v>
      </c>
      <c r="B11" s="67">
        <v>33</v>
      </c>
      <c r="C11" s="56" t="s">
        <v>40</v>
      </c>
      <c r="D11" s="57" t="s">
        <v>31</v>
      </c>
      <c r="E11" s="58" t="s">
        <v>32</v>
      </c>
      <c r="F11" s="123" t="s">
        <v>14</v>
      </c>
      <c r="G11" s="123" t="s">
        <v>14</v>
      </c>
      <c r="H11" s="123" t="s">
        <v>14</v>
      </c>
      <c r="I11" s="123" t="s">
        <v>14</v>
      </c>
      <c r="J11" s="123" t="s">
        <v>14</v>
      </c>
      <c r="K11" s="123" t="s">
        <v>14</v>
      </c>
      <c r="L11" s="123" t="s">
        <v>23</v>
      </c>
      <c r="M11" s="123" t="s">
        <v>14</v>
      </c>
      <c r="N11" s="123" t="s">
        <v>14</v>
      </c>
      <c r="O11" s="123" t="s">
        <v>14</v>
      </c>
      <c r="P11" s="123" t="s">
        <v>14</v>
      </c>
      <c r="Q11" s="123" t="s">
        <v>14</v>
      </c>
      <c r="R11" s="123" t="s">
        <v>14</v>
      </c>
      <c r="S11" s="123" t="s">
        <v>23</v>
      </c>
      <c r="T11" s="123" t="s">
        <v>14</v>
      </c>
      <c r="U11" s="123" t="s">
        <v>14</v>
      </c>
      <c r="V11" s="123" t="s">
        <v>14</v>
      </c>
      <c r="W11" s="123" t="s">
        <v>14</v>
      </c>
      <c r="X11" s="123" t="s">
        <v>14</v>
      </c>
      <c r="Y11" s="123" t="s">
        <v>14</v>
      </c>
      <c r="Z11" s="123" t="s">
        <v>23</v>
      </c>
      <c r="AA11" s="123" t="s">
        <v>14</v>
      </c>
      <c r="AB11" s="123" t="s">
        <v>14</v>
      </c>
      <c r="AC11" s="123" t="s">
        <v>14</v>
      </c>
      <c r="AD11" s="123" t="s">
        <v>14</v>
      </c>
      <c r="AE11" s="123" t="s">
        <v>14</v>
      </c>
      <c r="AF11" s="123" t="s">
        <v>23</v>
      </c>
      <c r="AG11" s="123" t="s">
        <v>14</v>
      </c>
      <c r="AH11" s="59">
        <f>COUNTIF($F11:$AG11,$C$128)</f>
        <v>24</v>
      </c>
      <c r="AI11" s="30">
        <f>COUNTIF($F11:$AG11,$C$129)</f>
        <v>0</v>
      </c>
      <c r="AJ11" s="30">
        <f>COUNTIF($F11:$AG11,$C$130)</f>
        <v>0</v>
      </c>
      <c r="AK11" s="30">
        <f>COUNTIF($F11:$AG11,$C$131)</f>
        <v>0</v>
      </c>
      <c r="AL11" s="30">
        <f>COUNTIF($F11:$AG11,$C$132)</f>
        <v>0</v>
      </c>
      <c r="AM11" s="30">
        <f>COUNTIF($F11:$AG11,$C$133)</f>
        <v>0</v>
      </c>
      <c r="AN11" s="30">
        <f>COUNTIF($F11:$AG11,$C$134)</f>
        <v>0</v>
      </c>
      <c r="AO11" s="30">
        <f>COUNTIF($F11:$AG11,$C$135)</f>
        <v>0</v>
      </c>
      <c r="AP11" s="7">
        <f>COUNTIF($F11:$AG11,$C$136)</f>
        <v>0</v>
      </c>
      <c r="AQ11" s="30">
        <f>COUNTIF($F11:$AG11,$C$137)</f>
        <v>4</v>
      </c>
      <c r="AR11" s="30">
        <f>COUNTIF($F11:$AG11,$C$138)</f>
        <v>0</v>
      </c>
      <c r="AS11" s="30">
        <f>COUNTIF($F11:$AG11,$C$139)</f>
        <v>0</v>
      </c>
      <c r="AT11" s="30">
        <f>COUNTIF($F11:$AG11,$C$140)</f>
        <v>0</v>
      </c>
      <c r="AU11" s="30">
        <f>COUNTIF($F11:$AG11,$C$141)</f>
        <v>0</v>
      </c>
      <c r="AV11" s="30">
        <f>COUNTA(F11:AG11)</f>
        <v>28</v>
      </c>
      <c r="AW11" s="54">
        <f>AH11+AR11</f>
        <v>24</v>
      </c>
      <c r="AX11" s="54" cm="1">
        <f t="array" ref="AX11">IFERROR(
COUNTA(F11:AG11)-MAX(IF(TRIM(F11:AG11)="OD",COLUMN(F11:AG11)-COLUMN(F11)+1)),"")</f>
        <v>1</v>
      </c>
      <c r="AZ11" t="str">
        <v>UMER</v>
      </c>
      <c r="BC11" t="str">
        <v>SIRAJUDHEEN</v>
      </c>
    </row>
    <row r="12" spans="1:55">
      <c r="A12" s="450"/>
      <c r="B12" s="60"/>
      <c r="C12" s="61"/>
      <c r="D12" s="62"/>
      <c r="E12" s="66" t="s">
        <v>34</v>
      </c>
      <c r="F12" s="249">
        <v>3</v>
      </c>
      <c r="G12" s="123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>
        <v>3</v>
      </c>
      <c r="X12" s="26">
        <v>3</v>
      </c>
      <c r="Y12" s="26">
        <v>3</v>
      </c>
      <c r="Z12" s="26"/>
      <c r="AA12" s="25">
        <v>3</v>
      </c>
      <c r="AB12" s="25">
        <v>3</v>
      </c>
      <c r="AC12" s="25">
        <v>3</v>
      </c>
      <c r="AD12" s="25">
        <v>3</v>
      </c>
      <c r="AE12" s="25">
        <v>3</v>
      </c>
      <c r="AF12" s="25"/>
      <c r="AG12" s="25">
        <v>3</v>
      </c>
      <c r="AH12" s="492">
        <f>SUM(F12:AG12)</f>
        <v>30</v>
      </c>
      <c r="AI12" s="445"/>
      <c r="AJ12" s="445"/>
      <c r="AK12" s="445"/>
      <c r="AL12" s="445"/>
      <c r="AM12" s="445"/>
      <c r="AN12" s="445"/>
      <c r="AO12" s="445"/>
      <c r="AP12" s="445"/>
      <c r="AQ12" s="445"/>
      <c r="AR12" s="445"/>
      <c r="AS12" s="445"/>
      <c r="AT12" s="445"/>
      <c r="AU12" s="445"/>
      <c r="AV12" s="479"/>
      <c r="AW12" s="54"/>
      <c r="BC12" t="str">
        <v>WAHID</v>
      </c>
    </row>
    <row r="13" spans="1:55">
      <c r="A13" s="449">
        <v>5</v>
      </c>
      <c r="B13" s="67">
        <v>41</v>
      </c>
      <c r="C13" s="56" t="s">
        <v>41</v>
      </c>
      <c r="D13" s="57" t="s">
        <v>31</v>
      </c>
      <c r="E13" s="58" t="s">
        <v>32</v>
      </c>
      <c r="F13" s="123" t="s">
        <v>14</v>
      </c>
      <c r="G13" s="123" t="s">
        <v>14</v>
      </c>
      <c r="H13" s="123" t="s">
        <v>14</v>
      </c>
      <c r="I13" s="123" t="s">
        <v>14</v>
      </c>
      <c r="J13" s="123" t="s">
        <v>14</v>
      </c>
      <c r="K13" s="123" t="s">
        <v>23</v>
      </c>
      <c r="L13" s="123" t="s">
        <v>14</v>
      </c>
      <c r="M13" s="123" t="s">
        <v>14</v>
      </c>
      <c r="N13" s="123" t="s">
        <v>14</v>
      </c>
      <c r="O13" s="123" t="s">
        <v>14</v>
      </c>
      <c r="P13" s="123" t="s">
        <v>14</v>
      </c>
      <c r="Q13" s="123" t="s">
        <v>14</v>
      </c>
      <c r="R13" s="123" t="s">
        <v>23</v>
      </c>
      <c r="S13" s="123" t="s">
        <v>14</v>
      </c>
      <c r="T13" s="123" t="s">
        <v>14</v>
      </c>
      <c r="U13" s="123" t="s">
        <v>14</v>
      </c>
      <c r="V13" s="123" t="s">
        <v>14</v>
      </c>
      <c r="W13" s="123" t="s">
        <v>14</v>
      </c>
      <c r="X13" s="123" t="s">
        <v>14</v>
      </c>
      <c r="Y13" s="123" t="s">
        <v>14</v>
      </c>
      <c r="Z13" s="123" t="s">
        <v>23</v>
      </c>
      <c r="AA13" s="123" t="s">
        <v>14</v>
      </c>
      <c r="AB13" s="123" t="s">
        <v>14</v>
      </c>
      <c r="AC13" s="123" t="s">
        <v>14</v>
      </c>
      <c r="AD13" s="123" t="s">
        <v>23</v>
      </c>
      <c r="AE13" s="123" t="s">
        <v>14</v>
      </c>
      <c r="AF13" s="123" t="s">
        <v>14</v>
      </c>
      <c r="AG13" s="123" t="s">
        <v>14</v>
      </c>
      <c r="AH13" s="59">
        <f>COUNTIF($F13:$AG13,$C$128)</f>
        <v>24</v>
      </c>
      <c r="AI13" s="30">
        <f>COUNTIF($F13:$AG13,$C$129)</f>
        <v>0</v>
      </c>
      <c r="AJ13" s="30">
        <f>COUNTIF($F13:$AG13,$C$130)</f>
        <v>0</v>
      </c>
      <c r="AK13" s="30">
        <f>COUNTIF($F13:$AG13,$C$131)</f>
        <v>0</v>
      </c>
      <c r="AL13" s="30">
        <f>COUNTIF($F13:$AG13,$C$132)</f>
        <v>0</v>
      </c>
      <c r="AM13" s="30">
        <f>COUNTIF($F13:$AG13,$C$133)</f>
        <v>0</v>
      </c>
      <c r="AN13" s="30">
        <f>COUNTIF($F13:$AG13,$C$134)</f>
        <v>0</v>
      </c>
      <c r="AO13" s="30">
        <f>COUNTIF($F13:$AG13,$C$135)</f>
        <v>0</v>
      </c>
      <c r="AP13" s="30">
        <f>COUNTIF($F13:$AG13,$C$136)</f>
        <v>0</v>
      </c>
      <c r="AQ13" s="30">
        <f>COUNTIF($F13:$AG13,$C$137)</f>
        <v>4</v>
      </c>
      <c r="AR13" s="30">
        <f>COUNTIF($F13:$AG13,$C$138)</f>
        <v>0</v>
      </c>
      <c r="AS13" s="30">
        <f>COUNTIF($F13:$AG13,$C$139)</f>
        <v>0</v>
      </c>
      <c r="AT13" s="30">
        <f>COUNTIF($F13:$AG13,$C$140)</f>
        <v>0</v>
      </c>
      <c r="AU13" s="30">
        <f>COUNTIF($F13:$AG13,$C$141)</f>
        <v>0</v>
      </c>
      <c r="AV13" s="30">
        <f>COUNTA(F13:AG13)</f>
        <v>28</v>
      </c>
      <c r="AW13" s="54">
        <f>AH13+AR13</f>
        <v>24</v>
      </c>
      <c r="AX13" s="54" cm="1">
        <f t="array" ref="AX13">IFERROR(
COUNTA(F13:AG13)-MAX(IF(TRIM(F13:AG13)="OD",COLUMN(F13:AG13)-COLUMN(F13)+1)),"")</f>
        <v>3</v>
      </c>
    </row>
    <row r="14" spans="1:55">
      <c r="A14" s="450"/>
      <c r="B14" s="60"/>
      <c r="C14" s="61"/>
      <c r="D14" s="62"/>
      <c r="E14" s="66" t="s">
        <v>34</v>
      </c>
      <c r="F14" s="249"/>
      <c r="G14" s="123"/>
      <c r="H14" s="26"/>
      <c r="I14" s="26"/>
      <c r="J14" s="123"/>
      <c r="K14" s="26"/>
      <c r="L14" s="44"/>
      <c r="M14" s="44"/>
      <c r="N14" s="123"/>
      <c r="O14" s="44"/>
      <c r="P14" s="26"/>
      <c r="Q14" s="26">
        <v>2</v>
      </c>
      <c r="R14" s="26"/>
      <c r="S14" s="26">
        <v>1</v>
      </c>
      <c r="T14" s="26"/>
      <c r="U14" s="26"/>
      <c r="V14" s="26"/>
      <c r="W14" s="26">
        <v>3</v>
      </c>
      <c r="X14" s="26">
        <v>5</v>
      </c>
      <c r="Y14" s="26">
        <v>4</v>
      </c>
      <c r="Z14" s="26"/>
      <c r="AA14" s="25">
        <v>4</v>
      </c>
      <c r="AB14" s="25">
        <v>5</v>
      </c>
      <c r="AC14" s="25">
        <v>3</v>
      </c>
      <c r="AD14" s="25"/>
      <c r="AE14" s="25">
        <v>3</v>
      </c>
      <c r="AF14" s="25">
        <v>3</v>
      </c>
      <c r="AG14" s="25">
        <v>3</v>
      </c>
      <c r="AH14" s="492">
        <f>SUM(F14:AG14)</f>
        <v>36</v>
      </c>
      <c r="AI14" s="445"/>
      <c r="AJ14" s="445"/>
      <c r="AK14" s="445"/>
      <c r="AL14" s="445"/>
      <c r="AM14" s="445"/>
      <c r="AN14" s="445"/>
      <c r="AO14" s="445"/>
      <c r="AP14" s="445"/>
      <c r="AQ14" s="445"/>
      <c r="AR14" s="445"/>
      <c r="AS14" s="445"/>
      <c r="AT14" s="445"/>
      <c r="AU14" s="445"/>
      <c r="AV14" s="479"/>
      <c r="AW14" s="54"/>
    </row>
    <row r="15" spans="1:55">
      <c r="A15" s="449">
        <v>6</v>
      </c>
      <c r="B15" s="67">
        <v>85</v>
      </c>
      <c r="C15" s="56" t="s">
        <v>42</v>
      </c>
      <c r="D15" s="57" t="s">
        <v>31</v>
      </c>
      <c r="E15" s="68" t="s">
        <v>32</v>
      </c>
      <c r="F15" s="123" t="s">
        <v>14</v>
      </c>
      <c r="G15" s="123" t="s">
        <v>14</v>
      </c>
      <c r="H15" s="123" t="s">
        <v>14</v>
      </c>
      <c r="I15" s="123" t="s">
        <v>14</v>
      </c>
      <c r="J15" s="123" t="s">
        <v>14</v>
      </c>
      <c r="K15" s="123" t="s">
        <v>14</v>
      </c>
      <c r="L15" s="123" t="s">
        <v>14</v>
      </c>
      <c r="M15" s="123" t="s">
        <v>14</v>
      </c>
      <c r="N15" s="123" t="s">
        <v>23</v>
      </c>
      <c r="O15" s="123" t="s">
        <v>14</v>
      </c>
      <c r="P15" s="123" t="s">
        <v>14</v>
      </c>
      <c r="Q15" s="123" t="s">
        <v>14</v>
      </c>
      <c r="R15" s="123" t="s">
        <v>14</v>
      </c>
      <c r="S15" s="123" t="s">
        <v>14</v>
      </c>
      <c r="T15" s="123" t="s">
        <v>14</v>
      </c>
      <c r="U15" s="123" t="s">
        <v>23</v>
      </c>
      <c r="V15" s="123" t="s">
        <v>14</v>
      </c>
      <c r="W15" s="123" t="s">
        <v>14</v>
      </c>
      <c r="X15" s="123" t="s">
        <v>14</v>
      </c>
      <c r="Y15" s="123" t="s">
        <v>14</v>
      </c>
      <c r="Z15" s="123" t="s">
        <v>14</v>
      </c>
      <c r="AA15" s="123" t="s">
        <v>23</v>
      </c>
      <c r="AB15" s="123" t="s">
        <v>14</v>
      </c>
      <c r="AC15" s="123" t="s">
        <v>14</v>
      </c>
      <c r="AD15" s="123" t="s">
        <v>14</v>
      </c>
      <c r="AE15" s="123" t="s">
        <v>23</v>
      </c>
      <c r="AF15" s="123" t="s">
        <v>14</v>
      </c>
      <c r="AG15" s="123" t="s">
        <v>14</v>
      </c>
      <c r="AH15" s="59">
        <f>COUNTIF($F15:$AG15,$C$128)</f>
        <v>24</v>
      </c>
      <c r="AI15" s="30">
        <f>COUNTIF($F15:$AG15,$C$129)</f>
        <v>0</v>
      </c>
      <c r="AJ15" s="30">
        <f>COUNTIF($F15:$AG15,$C$130)</f>
        <v>0</v>
      </c>
      <c r="AK15" s="30">
        <f>COUNTIF($F15:$AG15,$C$131)</f>
        <v>0</v>
      </c>
      <c r="AL15" s="30">
        <f>COUNTIF($F15:$AG15,$C$132)</f>
        <v>0</v>
      </c>
      <c r="AM15" s="30">
        <f>COUNTIF($F15:$AG15,$C$133)</f>
        <v>0</v>
      </c>
      <c r="AN15" s="30">
        <f>COUNTIF($F15:$AG15,$C$134)</f>
        <v>0</v>
      </c>
      <c r="AO15" s="7">
        <f>COUNTIF($F15:$AG15,$C$135)</f>
        <v>0</v>
      </c>
      <c r="AP15" s="7">
        <f>COUNTIF($F15:$AG15,$C$136)</f>
        <v>0</v>
      </c>
      <c r="AQ15" s="30">
        <f>COUNTIF($F15:$AG15,$C$137)</f>
        <v>4</v>
      </c>
      <c r="AR15" s="30">
        <f>COUNTIF($F15:$AG15,$C$138)</f>
        <v>0</v>
      </c>
      <c r="AS15" s="30">
        <f>COUNTIF($F15:$AG15,$C$139)</f>
        <v>0</v>
      </c>
      <c r="AT15" s="30">
        <f>COUNTIF($F15:$AG15,$C$140)</f>
        <v>0</v>
      </c>
      <c r="AU15" s="30">
        <f>COUNTIF($F15:$AG15,$C$141)</f>
        <v>0</v>
      </c>
      <c r="AV15" s="30">
        <f>COUNTA(F15:AG15)</f>
        <v>28</v>
      </c>
      <c r="AW15" s="54">
        <f>AH15+AR15</f>
        <v>24</v>
      </c>
      <c r="AX15" s="54" cm="1">
        <f t="array" ref="AX15">IFERROR(
COUNTA(F15:AG15)-MAX(IF(TRIM(F15:AG15)="OD",COLUMN(F15:AG15)-COLUMN(F15)+1)),"")</f>
        <v>2</v>
      </c>
    </row>
    <row r="16" spans="1:55">
      <c r="A16" s="450"/>
      <c r="B16" s="60"/>
      <c r="C16" s="61"/>
      <c r="D16" s="61"/>
      <c r="E16" s="69" t="s">
        <v>34</v>
      </c>
      <c r="F16" s="249"/>
      <c r="G16" s="123"/>
      <c r="H16" s="26">
        <v>2</v>
      </c>
      <c r="I16" s="26">
        <v>3</v>
      </c>
      <c r="J16" s="26">
        <v>4</v>
      </c>
      <c r="K16" s="26">
        <v>1</v>
      </c>
      <c r="L16" s="26"/>
      <c r="M16" s="26"/>
      <c r="N16" s="26"/>
      <c r="O16" s="26"/>
      <c r="P16" s="26">
        <v>1</v>
      </c>
      <c r="Q16" s="26"/>
      <c r="R16" s="26"/>
      <c r="S16" s="26">
        <v>2</v>
      </c>
      <c r="T16" s="26">
        <v>1</v>
      </c>
      <c r="U16" s="26"/>
      <c r="V16" s="26"/>
      <c r="W16" s="26"/>
      <c r="X16" s="26"/>
      <c r="Y16" s="26">
        <v>1</v>
      </c>
      <c r="Z16" s="26">
        <v>3</v>
      </c>
      <c r="AA16" s="25"/>
      <c r="AB16" s="25"/>
      <c r="AC16" s="25"/>
      <c r="AD16" s="25"/>
      <c r="AE16" s="25"/>
      <c r="AF16" s="25">
        <v>3</v>
      </c>
      <c r="AG16" s="25">
        <v>3</v>
      </c>
      <c r="AH16" s="459">
        <f>SUM(F16:AG16)</f>
        <v>24</v>
      </c>
      <c r="AI16" s="445"/>
      <c r="AJ16" s="445"/>
      <c r="AK16" s="445"/>
      <c r="AL16" s="445"/>
      <c r="AM16" s="445"/>
      <c r="AN16" s="445"/>
      <c r="AO16" s="445"/>
      <c r="AP16" s="445"/>
      <c r="AQ16" s="445"/>
      <c r="AR16" s="445"/>
      <c r="AS16" s="445"/>
      <c r="AT16" s="445"/>
      <c r="AU16" s="445"/>
      <c r="AV16" s="479"/>
      <c r="AW16" s="54"/>
    </row>
    <row r="17" spans="1:50">
      <c r="A17" s="449">
        <v>7</v>
      </c>
      <c r="B17" s="67">
        <v>91</v>
      </c>
      <c r="C17" s="70" t="s">
        <v>43</v>
      </c>
      <c r="D17" s="56" t="s">
        <v>31</v>
      </c>
      <c r="E17" s="71" t="s">
        <v>32</v>
      </c>
      <c r="F17" s="123" t="s">
        <v>14</v>
      </c>
      <c r="G17" s="123" t="s">
        <v>14</v>
      </c>
      <c r="H17" s="123" t="s">
        <v>14</v>
      </c>
      <c r="I17" s="123" t="s">
        <v>14</v>
      </c>
      <c r="J17" s="123" t="s">
        <v>23</v>
      </c>
      <c r="K17" s="123" t="s">
        <v>14</v>
      </c>
      <c r="L17" s="123" t="s">
        <v>14</v>
      </c>
      <c r="M17" s="123" t="s">
        <v>14</v>
      </c>
      <c r="N17" s="123" t="s">
        <v>14</v>
      </c>
      <c r="O17" s="123" t="s">
        <v>14</v>
      </c>
      <c r="P17" s="123" t="s">
        <v>14</v>
      </c>
      <c r="Q17" s="123" t="s">
        <v>14</v>
      </c>
      <c r="R17" s="123" t="s">
        <v>23</v>
      </c>
      <c r="S17" s="123" t="s">
        <v>14</v>
      </c>
      <c r="T17" s="123" t="s">
        <v>14</v>
      </c>
      <c r="U17" s="123" t="s">
        <v>14</v>
      </c>
      <c r="V17" s="123" t="s">
        <v>14</v>
      </c>
      <c r="W17" s="123" t="s">
        <v>14</v>
      </c>
      <c r="X17" s="123" t="s">
        <v>14</v>
      </c>
      <c r="Y17" s="123" t="s">
        <v>14</v>
      </c>
      <c r="Z17" s="123" t="s">
        <v>23</v>
      </c>
      <c r="AA17" s="123" t="s">
        <v>14</v>
      </c>
      <c r="AB17" s="123" t="s">
        <v>14</v>
      </c>
      <c r="AC17" s="123" t="s">
        <v>14</v>
      </c>
      <c r="AD17" s="123" t="s">
        <v>14</v>
      </c>
      <c r="AE17" s="123" t="s">
        <v>23</v>
      </c>
      <c r="AF17" s="123" t="s">
        <v>14</v>
      </c>
      <c r="AG17" s="123" t="s">
        <v>14</v>
      </c>
      <c r="AH17" s="30">
        <f>COUNTIF($F17:$AG17,$C$128)</f>
        <v>24</v>
      </c>
      <c r="AI17" s="30">
        <f>COUNTIF($F17:$AG17,$C$129)</f>
        <v>0</v>
      </c>
      <c r="AJ17" s="30">
        <f>COUNTIF($F17:$AG17,$C$130)</f>
        <v>0</v>
      </c>
      <c r="AK17" s="30">
        <f>COUNTIF($F17:$AG17,$C$131)</f>
        <v>0</v>
      </c>
      <c r="AL17" s="30">
        <f>COUNTIF($F17:$AG17,$C$132)</f>
        <v>0</v>
      </c>
      <c r="AM17" s="30">
        <f>COUNTIF($F17:$AG17,$C$133)</f>
        <v>0</v>
      </c>
      <c r="AN17" s="30">
        <f>COUNTIF($F17:$AG17,$C$134)</f>
        <v>0</v>
      </c>
      <c r="AO17" s="30">
        <f>COUNTIF($F17:$AG17,$C$135)</f>
        <v>0</v>
      </c>
      <c r="AP17" s="30">
        <f>COUNTIF($F17:$AG17,$C$136)</f>
        <v>0</v>
      </c>
      <c r="AQ17" s="30">
        <f>COUNTIF($F17:$AG17,$C$137)</f>
        <v>4</v>
      </c>
      <c r="AR17" s="30">
        <f>COUNTIF($F17:$AG17,$C$138)</f>
        <v>0</v>
      </c>
      <c r="AS17" s="30">
        <f>COUNTIF($F17:$AG17,$C$139)</f>
        <v>0</v>
      </c>
      <c r="AT17" s="30">
        <f>COUNTIF($F17:$AG17,$C$140)</f>
        <v>0</v>
      </c>
      <c r="AU17" s="30">
        <f>COUNTIF($F17:$AG17,$C$141)</f>
        <v>0</v>
      </c>
      <c r="AV17" s="30">
        <f>COUNTA(F17:AG17)</f>
        <v>28</v>
      </c>
      <c r="AW17" s="54">
        <f>AH17+AR17</f>
        <v>24</v>
      </c>
      <c r="AX17" s="54" cm="1">
        <f t="array" ref="AX17">IFERROR(
COUNTA(F17:AG17)-MAX(IF(TRIM(F17:AG17)="OD",COLUMN(F17:AG17)-COLUMN(F17)+1)),"")</f>
        <v>2</v>
      </c>
    </row>
    <row r="18" spans="1:50">
      <c r="A18" s="450"/>
      <c r="B18" s="60"/>
      <c r="C18" s="72"/>
      <c r="D18" s="61"/>
      <c r="E18" s="73" t="s">
        <v>34</v>
      </c>
      <c r="F18" s="249"/>
      <c r="G18" s="123"/>
      <c r="H18" s="26"/>
      <c r="I18" s="26"/>
      <c r="J18" s="123"/>
      <c r="K18" s="26"/>
      <c r="L18" s="44"/>
      <c r="M18" s="44"/>
      <c r="N18" s="123"/>
      <c r="O18" s="26"/>
      <c r="P18" s="26"/>
      <c r="Q18" s="26"/>
      <c r="R18" s="26"/>
      <c r="S18" s="26">
        <v>2</v>
      </c>
      <c r="T18" s="26"/>
      <c r="U18" s="26"/>
      <c r="V18" s="26"/>
      <c r="W18" s="26">
        <v>4</v>
      </c>
      <c r="X18" s="26">
        <v>3</v>
      </c>
      <c r="Y18" s="26">
        <v>3</v>
      </c>
      <c r="Z18" s="26"/>
      <c r="AA18" s="25">
        <v>3</v>
      </c>
      <c r="AB18" s="25">
        <v>3</v>
      </c>
      <c r="AC18" s="24">
        <v>3</v>
      </c>
      <c r="AD18" s="24">
        <v>3</v>
      </c>
      <c r="AE18" s="24"/>
      <c r="AF18" s="25">
        <v>3</v>
      </c>
      <c r="AG18" s="25">
        <v>3</v>
      </c>
      <c r="AH18" s="459">
        <f>SUM(F18:AG18)</f>
        <v>30</v>
      </c>
      <c r="AI18" s="445"/>
      <c r="AJ18" s="445"/>
      <c r="AK18" s="445"/>
      <c r="AL18" s="445"/>
      <c r="AM18" s="445"/>
      <c r="AN18" s="445"/>
      <c r="AO18" s="445"/>
      <c r="AP18" s="445"/>
      <c r="AQ18" s="445"/>
      <c r="AR18" s="445"/>
      <c r="AS18" s="445"/>
      <c r="AT18" s="445"/>
      <c r="AU18" s="445"/>
      <c r="AV18" s="479"/>
      <c r="AW18" s="54"/>
    </row>
    <row r="19" spans="1:50">
      <c r="A19" s="449">
        <v>8</v>
      </c>
      <c r="B19" s="67">
        <v>36</v>
      </c>
      <c r="C19" s="56" t="s">
        <v>44</v>
      </c>
      <c r="D19" s="56" t="s">
        <v>31</v>
      </c>
      <c r="E19" s="71" t="s">
        <v>32</v>
      </c>
      <c r="F19" s="123" t="s">
        <v>14</v>
      </c>
      <c r="G19" s="123" t="s">
        <v>14</v>
      </c>
      <c r="H19" s="123" t="s">
        <v>14</v>
      </c>
      <c r="I19" s="123" t="s">
        <v>14</v>
      </c>
      <c r="J19" s="123" t="s">
        <v>14</v>
      </c>
      <c r="K19" s="123" t="s">
        <v>24</v>
      </c>
      <c r="L19" s="123" t="s">
        <v>14</v>
      </c>
      <c r="M19" s="123" t="s">
        <v>14</v>
      </c>
      <c r="N19" s="123" t="s">
        <v>23</v>
      </c>
      <c r="O19" s="123" t="s">
        <v>14</v>
      </c>
      <c r="P19" s="123" t="s">
        <v>14</v>
      </c>
      <c r="Q19" s="123" t="s">
        <v>14</v>
      </c>
      <c r="R19" s="123" t="s">
        <v>14</v>
      </c>
      <c r="S19" s="123" t="s">
        <v>14</v>
      </c>
      <c r="T19" s="123" t="s">
        <v>14</v>
      </c>
      <c r="U19" s="123" t="s">
        <v>23</v>
      </c>
      <c r="V19" s="123" t="s">
        <v>14</v>
      </c>
      <c r="W19" s="123" t="s">
        <v>14</v>
      </c>
      <c r="X19" s="123" t="s">
        <v>14</v>
      </c>
      <c r="Y19" s="123" t="s">
        <v>14</v>
      </c>
      <c r="Z19" s="123" t="s">
        <v>14</v>
      </c>
      <c r="AA19" s="123" t="s">
        <v>14</v>
      </c>
      <c r="AB19" s="123" t="s">
        <v>14</v>
      </c>
      <c r="AC19" s="123" t="s">
        <v>14</v>
      </c>
      <c r="AD19" s="123" t="s">
        <v>23</v>
      </c>
      <c r="AE19" s="123" t="s">
        <v>14</v>
      </c>
      <c r="AF19" s="123" t="s">
        <v>14</v>
      </c>
      <c r="AG19" s="123" t="s">
        <v>14</v>
      </c>
      <c r="AH19" s="30">
        <f>COUNTIF($F19:$AG19,$C$128)</f>
        <v>24</v>
      </c>
      <c r="AI19" s="30">
        <f>COUNTIF($F19:$AG19,$C$129)</f>
        <v>0</v>
      </c>
      <c r="AJ19" s="30">
        <f>COUNTIF($F19:$AG19,$C$130)</f>
        <v>0</v>
      </c>
      <c r="AK19" s="30">
        <f>COUNTIF($F19:$AG19,$C$131)</f>
        <v>0</v>
      </c>
      <c r="AL19" s="30">
        <f>COUNTIF($F19:$AG19,$C$132)</f>
        <v>0</v>
      </c>
      <c r="AM19" s="30">
        <f>COUNTIF($F19:$AG19,$C$133)</f>
        <v>0</v>
      </c>
      <c r="AN19" s="30">
        <f>COUNTIF($F19:$AG19,$C$134)</f>
        <v>0</v>
      </c>
      <c r="AO19" s="30">
        <f>COUNTIF($F19:$AG19,$C$135)</f>
        <v>0</v>
      </c>
      <c r="AP19" s="30">
        <f>COUNTIF($F19:$AG19,$C$136)</f>
        <v>0</v>
      </c>
      <c r="AQ19" s="30">
        <f>COUNTIF($F19:$AG19,$C$137)</f>
        <v>3</v>
      </c>
      <c r="AR19" s="30">
        <f>COUNTIF($F19:$AG19,$C$138)</f>
        <v>1</v>
      </c>
      <c r="AS19" s="30">
        <f>COUNTIF($F19:$AG19,$C$139)</f>
        <v>0</v>
      </c>
      <c r="AT19" s="30">
        <f>COUNTIF($F19:$AG19,$C$140)</f>
        <v>0</v>
      </c>
      <c r="AU19" s="30">
        <f>COUNTIF($F19:$AG19,$C$141)</f>
        <v>0</v>
      </c>
      <c r="AV19" s="30">
        <f>COUNTA(F19:AG19)</f>
        <v>28</v>
      </c>
      <c r="AW19" s="54">
        <f>AH19+AR19</f>
        <v>25</v>
      </c>
      <c r="AX19" s="54" cm="1">
        <f t="array" ref="AX19">IFERROR(
COUNTA(F19:AG19)-MAX(IF(TRIM(F19:AG19)="OD",COLUMN(F19:AG19)-COLUMN(F19)+1)),"")</f>
        <v>3</v>
      </c>
    </row>
    <row r="20" spans="1:50">
      <c r="A20" s="450"/>
      <c r="B20" s="60"/>
      <c r="C20" s="61"/>
      <c r="D20" s="61"/>
      <c r="E20" s="73" t="s">
        <v>34</v>
      </c>
      <c r="F20" s="249">
        <v>2</v>
      </c>
      <c r="G20" s="123"/>
      <c r="H20" s="26"/>
      <c r="I20" s="26"/>
      <c r="J20" s="123"/>
      <c r="K20" s="26"/>
      <c r="L20" s="44"/>
      <c r="M20" s="44"/>
      <c r="N20" s="123"/>
      <c r="O20" s="44"/>
      <c r="P20" s="26"/>
      <c r="Q20" s="26"/>
      <c r="R20" s="26">
        <v>2</v>
      </c>
      <c r="S20" s="26"/>
      <c r="T20" s="26"/>
      <c r="U20" s="26"/>
      <c r="V20" s="26"/>
      <c r="W20" s="26">
        <v>3</v>
      </c>
      <c r="X20" s="26">
        <v>3</v>
      </c>
      <c r="Y20" s="26">
        <v>3</v>
      </c>
      <c r="Z20" s="26">
        <v>3</v>
      </c>
      <c r="AA20" s="25">
        <v>3</v>
      </c>
      <c r="AB20" s="25">
        <v>3</v>
      </c>
      <c r="AC20" s="25">
        <v>5</v>
      </c>
      <c r="AD20" s="25"/>
      <c r="AE20" s="25">
        <v>3</v>
      </c>
      <c r="AF20" s="25">
        <v>3</v>
      </c>
      <c r="AG20" s="25">
        <v>3</v>
      </c>
      <c r="AH20" s="459">
        <f>SUM(F20:AG20)</f>
        <v>36</v>
      </c>
      <c r="AI20" s="445"/>
      <c r="AJ20" s="445"/>
      <c r="AK20" s="445"/>
      <c r="AL20" s="445"/>
      <c r="AM20" s="445"/>
      <c r="AN20" s="445"/>
      <c r="AO20" s="445"/>
      <c r="AP20" s="445"/>
      <c r="AQ20" s="445"/>
      <c r="AR20" s="445"/>
      <c r="AS20" s="445"/>
      <c r="AT20" s="445"/>
      <c r="AU20" s="445"/>
      <c r="AV20" s="479"/>
      <c r="AW20" s="54"/>
    </row>
    <row r="21" spans="1:50">
      <c r="A21" s="449">
        <v>9</v>
      </c>
      <c r="B21" s="67">
        <v>57</v>
      </c>
      <c r="C21" s="56" t="s">
        <v>45</v>
      </c>
      <c r="D21" s="56" t="s">
        <v>31</v>
      </c>
      <c r="E21" s="71" t="s">
        <v>32</v>
      </c>
      <c r="F21" s="26" t="s">
        <v>24</v>
      </c>
      <c r="G21" s="123" t="s">
        <v>14</v>
      </c>
      <c r="H21" s="123" t="s">
        <v>14</v>
      </c>
      <c r="I21" s="123" t="s">
        <v>14</v>
      </c>
      <c r="J21" s="123" t="s">
        <v>14</v>
      </c>
      <c r="K21" s="123" t="s">
        <v>14</v>
      </c>
      <c r="L21" s="123" t="s">
        <v>23</v>
      </c>
      <c r="M21" s="123" t="s">
        <v>14</v>
      </c>
      <c r="N21" s="123" t="s">
        <v>14</v>
      </c>
      <c r="O21" s="123" t="s">
        <v>14</v>
      </c>
      <c r="P21" s="123" t="s">
        <v>14</v>
      </c>
      <c r="Q21" s="123" t="s">
        <v>14</v>
      </c>
      <c r="R21" s="123" t="s">
        <v>14</v>
      </c>
      <c r="S21" s="123" t="s">
        <v>23</v>
      </c>
      <c r="T21" s="123" t="s">
        <v>14</v>
      </c>
      <c r="U21" s="123" t="s">
        <v>14</v>
      </c>
      <c r="V21" s="123" t="s">
        <v>14</v>
      </c>
      <c r="W21" s="123" t="s">
        <v>14</v>
      </c>
      <c r="X21" s="123" t="s">
        <v>14</v>
      </c>
      <c r="Y21" s="123" t="s">
        <v>14</v>
      </c>
      <c r="Z21" s="123" t="s">
        <v>14</v>
      </c>
      <c r="AA21" s="123" t="s">
        <v>23</v>
      </c>
      <c r="AB21" s="123" t="s">
        <v>14</v>
      </c>
      <c r="AC21" s="123" t="s">
        <v>14</v>
      </c>
      <c r="AD21" s="123" t="s">
        <v>14</v>
      </c>
      <c r="AE21" s="123" t="s">
        <v>14</v>
      </c>
      <c r="AF21" s="123" t="s">
        <v>23</v>
      </c>
      <c r="AG21" s="123" t="s">
        <v>14</v>
      </c>
      <c r="AH21" s="30">
        <f>COUNTIF($F21:$AG21,$C$128)</f>
        <v>23</v>
      </c>
      <c r="AI21" s="30">
        <f>COUNTIF($F21:$AG21,$C$129)</f>
        <v>0</v>
      </c>
      <c r="AJ21" s="30">
        <f>COUNTIF($F21:$AG21,$C$130)</f>
        <v>0</v>
      </c>
      <c r="AK21" s="30">
        <f>COUNTIF($F21:$AG21,$C$131)</f>
        <v>0</v>
      </c>
      <c r="AL21" s="30">
        <f>COUNTIF($F21:$AG21,$C$132)</f>
        <v>0</v>
      </c>
      <c r="AM21" s="30">
        <f>COUNTIF($F21:$AG21,$C$133)</f>
        <v>0</v>
      </c>
      <c r="AN21" s="30">
        <f>COUNTIF($F21:$AG21,$C$134)</f>
        <v>0</v>
      </c>
      <c r="AO21" s="30">
        <f>COUNTIF($F21:$AG21,$C$135)</f>
        <v>0</v>
      </c>
      <c r="AP21" s="30">
        <f>COUNTIF($F21:$AG21,$C$136)</f>
        <v>0</v>
      </c>
      <c r="AQ21" s="30">
        <f>COUNTIF($F21:$AG21,$C$137)</f>
        <v>4</v>
      </c>
      <c r="AR21" s="30">
        <f>COUNTIF($F21:$AG21,$C$138)</f>
        <v>1</v>
      </c>
      <c r="AS21" s="30">
        <f>COUNTIF($F21:$AG21,$C$139)</f>
        <v>0</v>
      </c>
      <c r="AT21" s="30">
        <f>COUNTIF($F21:$AG21,$C$140)</f>
        <v>0</v>
      </c>
      <c r="AU21" s="30">
        <f>COUNTIF($F21:$AG21,$C$141)</f>
        <v>0</v>
      </c>
      <c r="AV21" s="30">
        <f>COUNTA(F21:AG21)</f>
        <v>28</v>
      </c>
      <c r="AW21" s="54">
        <f>AH21+AR21</f>
        <v>24</v>
      </c>
      <c r="AX21" s="54" cm="1">
        <f t="array" ref="AX21">IFERROR(
COUNTA(F21:AG21)-MAX(IF(TRIM(F21:AG21)="OD",COLUMN(F21:AG21)-COLUMN(F21)+1)),"")</f>
        <v>1</v>
      </c>
    </row>
    <row r="22" spans="1:50">
      <c r="A22" s="450"/>
      <c r="B22" s="60"/>
      <c r="C22" s="61"/>
      <c r="D22" s="61"/>
      <c r="E22" s="73" t="s">
        <v>34</v>
      </c>
      <c r="F22" s="249"/>
      <c r="G22" s="123"/>
      <c r="H22" s="26"/>
      <c r="I22" s="26">
        <v>2</v>
      </c>
      <c r="J22" s="123">
        <v>1</v>
      </c>
      <c r="K22" s="26">
        <v>1</v>
      </c>
      <c r="L22" s="44"/>
      <c r="M22" s="44"/>
      <c r="N22" s="123"/>
      <c r="O22" s="44"/>
      <c r="P22" s="26"/>
      <c r="Q22" s="26"/>
      <c r="R22" s="26"/>
      <c r="S22" s="26"/>
      <c r="T22" s="26"/>
      <c r="U22" s="26"/>
      <c r="V22" s="26"/>
      <c r="W22" s="26">
        <v>3</v>
      </c>
      <c r="X22" s="26">
        <v>3</v>
      </c>
      <c r="Y22" s="26">
        <v>4</v>
      </c>
      <c r="Z22" s="26">
        <v>3</v>
      </c>
      <c r="AA22" s="25"/>
      <c r="AB22" s="25">
        <v>3</v>
      </c>
      <c r="AC22" s="25">
        <v>5</v>
      </c>
      <c r="AD22" s="25">
        <v>3</v>
      </c>
      <c r="AE22" s="25">
        <v>3</v>
      </c>
      <c r="AF22" s="25"/>
      <c r="AG22" s="25">
        <v>3</v>
      </c>
      <c r="AH22" s="459">
        <f>SUM(F22:AG22)</f>
        <v>34</v>
      </c>
      <c r="AI22" s="445"/>
      <c r="AJ22" s="445"/>
      <c r="AK22" s="445"/>
      <c r="AL22" s="445"/>
      <c r="AM22" s="445"/>
      <c r="AN22" s="445"/>
      <c r="AO22" s="445"/>
      <c r="AP22" s="445"/>
      <c r="AQ22" s="445"/>
      <c r="AR22" s="445"/>
      <c r="AS22" s="445"/>
      <c r="AT22" s="445"/>
      <c r="AU22" s="445"/>
      <c r="AV22" s="479"/>
      <c r="AW22" s="54"/>
    </row>
    <row r="23" spans="1:50">
      <c r="A23" s="449">
        <v>10</v>
      </c>
      <c r="B23" s="67">
        <v>90</v>
      </c>
      <c r="C23" s="56" t="s">
        <v>46</v>
      </c>
      <c r="D23" s="56" t="s">
        <v>31</v>
      </c>
      <c r="E23" s="71" t="s">
        <v>32</v>
      </c>
      <c r="F23" s="123" t="s">
        <v>19</v>
      </c>
      <c r="G23" s="123" t="s">
        <v>14</v>
      </c>
      <c r="H23" s="123" t="s">
        <v>14</v>
      </c>
      <c r="I23" s="123" t="s">
        <v>14</v>
      </c>
      <c r="J23" s="123" t="s">
        <v>14</v>
      </c>
      <c r="K23" s="123" t="s">
        <v>14</v>
      </c>
      <c r="L23" s="123" t="s">
        <v>14</v>
      </c>
      <c r="M23" s="123" t="s">
        <v>14</v>
      </c>
      <c r="N23" s="123" t="s">
        <v>14</v>
      </c>
      <c r="O23" s="123" t="s">
        <v>14</v>
      </c>
      <c r="P23" s="123" t="s">
        <v>23</v>
      </c>
      <c r="Q23" s="123" t="s">
        <v>14</v>
      </c>
      <c r="R23" s="123" t="s">
        <v>14</v>
      </c>
      <c r="S23" s="123" t="s">
        <v>14</v>
      </c>
      <c r="T23" s="123" t="s">
        <v>14</v>
      </c>
      <c r="U23" s="123" t="s">
        <v>14</v>
      </c>
      <c r="V23" s="123" t="s">
        <v>23</v>
      </c>
      <c r="W23" s="123" t="s">
        <v>14</v>
      </c>
      <c r="X23" s="123" t="s">
        <v>14</v>
      </c>
      <c r="Y23" s="123" t="s">
        <v>14</v>
      </c>
      <c r="Z23" s="123" t="s">
        <v>14</v>
      </c>
      <c r="AA23" s="123" t="s">
        <v>23</v>
      </c>
      <c r="AB23" s="123" t="s">
        <v>14</v>
      </c>
      <c r="AC23" s="123" t="s">
        <v>14</v>
      </c>
      <c r="AD23" s="123" t="s">
        <v>14</v>
      </c>
      <c r="AE23" s="123" t="s">
        <v>14</v>
      </c>
      <c r="AF23" s="123" t="s">
        <v>14</v>
      </c>
      <c r="AG23" s="123" t="s">
        <v>23</v>
      </c>
      <c r="AH23" s="30">
        <f>COUNTIF($F23:$AG23,$C$128)</f>
        <v>23</v>
      </c>
      <c r="AI23" s="30">
        <f>COUNTIF($F23:$AG23,$C$129)</f>
        <v>0</v>
      </c>
      <c r="AJ23" s="30">
        <f>COUNTIF($F23:$AG23,$C$130)</f>
        <v>0</v>
      </c>
      <c r="AK23" s="30">
        <f>COUNTIF($F23:$AG23,$C$131)</f>
        <v>0</v>
      </c>
      <c r="AL23" s="30">
        <f>COUNTIF($F23:$AG23,$C$132)</f>
        <v>0</v>
      </c>
      <c r="AM23" s="30">
        <f>COUNTIF($F23:$AG23,$C$133)</f>
        <v>1</v>
      </c>
      <c r="AN23" s="30">
        <f>COUNTIF($F23:$AG23,$C$134)</f>
        <v>0</v>
      </c>
      <c r="AO23" s="7">
        <f>COUNTIF($F23:$AG23,$C$135)</f>
        <v>0</v>
      </c>
      <c r="AP23" s="7">
        <f>COUNTIF($F23:$AG23,$C$136)</f>
        <v>0</v>
      </c>
      <c r="AQ23" s="30">
        <f>COUNTIF($F23:$AG23,$C$137)</f>
        <v>4</v>
      </c>
      <c r="AR23" s="30">
        <f>COUNTIF($F23:$AG23,$C$138)</f>
        <v>0</v>
      </c>
      <c r="AS23" s="30">
        <f>COUNTIF($F23:$AG23,$C$139)</f>
        <v>0</v>
      </c>
      <c r="AT23" s="30">
        <f>COUNTIF($F23:$AG23,$C$140)</f>
        <v>0</v>
      </c>
      <c r="AU23" s="30">
        <f>COUNTIF($F23:$AG23,$C$141)</f>
        <v>0</v>
      </c>
      <c r="AV23" s="30">
        <f>COUNTA(F23:AG23)</f>
        <v>28</v>
      </c>
      <c r="AW23" s="54">
        <f>AH23+AR23</f>
        <v>23</v>
      </c>
      <c r="AX23" s="54" cm="1">
        <f t="array" ref="AX23">IFERROR(
COUNTA(F23:AG23)-MAX(IF(TRIM(F23:AG23)="OD",COLUMN(F23:AG23)-COLUMN(F23)+1)),"")</f>
        <v>0</v>
      </c>
    </row>
    <row r="24" spans="1:50">
      <c r="A24" s="450"/>
      <c r="B24" s="60"/>
      <c r="C24" s="61"/>
      <c r="D24" s="61"/>
      <c r="E24" s="73" t="s">
        <v>34</v>
      </c>
      <c r="F24" s="245"/>
      <c r="G24" s="123"/>
      <c r="H24" s="26"/>
      <c r="I24" s="26"/>
      <c r="J24" s="123"/>
      <c r="K24" s="26"/>
      <c r="L24" s="44"/>
      <c r="M24" s="44"/>
      <c r="N24" s="123"/>
      <c r="O24" s="44"/>
      <c r="P24" s="26"/>
      <c r="Q24" s="26"/>
      <c r="R24" s="26"/>
      <c r="S24" s="26"/>
      <c r="T24" s="26"/>
      <c r="U24" s="26"/>
      <c r="V24" s="26"/>
      <c r="W24" s="26">
        <v>3</v>
      </c>
      <c r="X24" s="26">
        <v>3</v>
      </c>
      <c r="Y24" s="26">
        <v>3</v>
      </c>
      <c r="Z24" s="26">
        <v>3</v>
      </c>
      <c r="AA24" s="25"/>
      <c r="AB24" s="25">
        <v>3</v>
      </c>
      <c r="AC24" s="25">
        <v>3</v>
      </c>
      <c r="AD24" s="25">
        <v>3</v>
      </c>
      <c r="AE24" s="25">
        <v>3</v>
      </c>
      <c r="AF24" s="25">
        <v>3</v>
      </c>
      <c r="AG24" s="25"/>
      <c r="AH24" s="459">
        <f>SUM(F24:AG24)</f>
        <v>27</v>
      </c>
      <c r="AI24" s="445"/>
      <c r="AJ24" s="445"/>
      <c r="AK24" s="445"/>
      <c r="AL24" s="445"/>
      <c r="AM24" s="445"/>
      <c r="AN24" s="445"/>
      <c r="AO24" s="445"/>
      <c r="AP24" s="445"/>
      <c r="AQ24" s="445"/>
      <c r="AR24" s="445"/>
      <c r="AS24" s="445"/>
      <c r="AT24" s="445"/>
      <c r="AU24" s="445"/>
      <c r="AV24" s="479"/>
      <c r="AW24" s="54"/>
    </row>
    <row r="25" spans="1:50">
      <c r="A25" s="449">
        <v>11</v>
      </c>
      <c r="B25" s="67">
        <v>125</v>
      </c>
      <c r="C25" s="56" t="s">
        <v>47</v>
      </c>
      <c r="D25" s="56" t="s">
        <v>31</v>
      </c>
      <c r="E25" s="71" t="s">
        <v>32</v>
      </c>
      <c r="F25" s="123" t="s">
        <v>14</v>
      </c>
      <c r="G25" s="123" t="s">
        <v>14</v>
      </c>
      <c r="H25" s="123" t="s">
        <v>14</v>
      </c>
      <c r="I25" s="123" t="s">
        <v>14</v>
      </c>
      <c r="J25" s="123" t="s">
        <v>14</v>
      </c>
      <c r="K25" s="123" t="s">
        <v>14</v>
      </c>
      <c r="L25" s="123" t="s">
        <v>23</v>
      </c>
      <c r="M25" s="123" t="s">
        <v>14</v>
      </c>
      <c r="N25" s="123" t="s">
        <v>14</v>
      </c>
      <c r="O25" s="123" t="s">
        <v>14</v>
      </c>
      <c r="P25" s="123" t="s">
        <v>14</v>
      </c>
      <c r="Q25" s="123" t="s">
        <v>14</v>
      </c>
      <c r="R25" s="123" t="s">
        <v>14</v>
      </c>
      <c r="S25" s="123" t="s">
        <v>14</v>
      </c>
      <c r="T25" s="123" t="s">
        <v>23</v>
      </c>
      <c r="U25" s="123" t="s">
        <v>14</v>
      </c>
      <c r="V25" s="123" t="s">
        <v>14</v>
      </c>
      <c r="W25" s="123" t="s">
        <v>14</v>
      </c>
      <c r="X25" s="123" t="s">
        <v>14</v>
      </c>
      <c r="Y25" s="123" t="s">
        <v>14</v>
      </c>
      <c r="Z25" s="123" t="s">
        <v>24</v>
      </c>
      <c r="AA25" s="123" t="s">
        <v>14</v>
      </c>
      <c r="AB25" s="123" t="s">
        <v>14</v>
      </c>
      <c r="AC25" s="123" t="s">
        <v>14</v>
      </c>
      <c r="AD25" s="123" t="s">
        <v>23</v>
      </c>
      <c r="AE25" s="123" t="s">
        <v>14</v>
      </c>
      <c r="AF25" s="123" t="s">
        <v>14</v>
      </c>
      <c r="AG25" s="123" t="s">
        <v>14</v>
      </c>
      <c r="AH25" s="30">
        <f>COUNTIF($F25:$AG25,$C$128)</f>
        <v>24</v>
      </c>
      <c r="AI25" s="30">
        <f>COUNTIF($F25:$AG25,$C$129)</f>
        <v>0</v>
      </c>
      <c r="AJ25" s="30">
        <f>COUNTIF($F25:$AG25,$C$130)</f>
        <v>0</v>
      </c>
      <c r="AK25" s="30">
        <f>COUNTIF($F25:$AG25,$C$131)</f>
        <v>0</v>
      </c>
      <c r="AL25" s="30">
        <f>COUNTIF($F25:$AG25,$C$132)</f>
        <v>0</v>
      </c>
      <c r="AM25" s="30">
        <f>COUNTIF($F25:$AG25,$C$133)</f>
        <v>0</v>
      </c>
      <c r="AN25" s="30">
        <f>COUNTIF($F25:$AG25,$C$134)</f>
        <v>0</v>
      </c>
      <c r="AO25" s="30">
        <f>COUNTIF($F25:$AG25,$C$135)</f>
        <v>0</v>
      </c>
      <c r="AP25" s="30">
        <f>COUNTIF($F25:$AG25,$C$136)</f>
        <v>0</v>
      </c>
      <c r="AQ25" s="30">
        <f>COUNTIF($F25:$AG25,$C$137)</f>
        <v>3</v>
      </c>
      <c r="AR25" s="30">
        <f>COUNTIF($F25:$AG25,$C$138)</f>
        <v>1</v>
      </c>
      <c r="AS25" s="30">
        <f>COUNTIF($F25:$AG25,$C$139)</f>
        <v>0</v>
      </c>
      <c r="AT25" s="30">
        <f>COUNTIF($F25:$AG25,$C$140)</f>
        <v>0</v>
      </c>
      <c r="AU25" s="30">
        <f>COUNTIF($F25:$AG25,$C$141)</f>
        <v>0</v>
      </c>
      <c r="AV25" s="30">
        <f>COUNTA(F25:AG25)</f>
        <v>28</v>
      </c>
      <c r="AW25" s="54">
        <f>AH25+AR25</f>
        <v>25</v>
      </c>
      <c r="AX25" s="54" cm="1">
        <f t="array" ref="AX25">IFERROR(
COUNTA(F25:AG25)-MAX(IF(TRIM(F25:AG25)="OD",COLUMN(F25:AG25)-COLUMN(F25)+1)),"")</f>
        <v>3</v>
      </c>
    </row>
    <row r="26" spans="1:50">
      <c r="A26" s="450"/>
      <c r="B26" s="60"/>
      <c r="C26" s="61"/>
      <c r="D26" s="61"/>
      <c r="E26" s="73" t="s">
        <v>34</v>
      </c>
      <c r="F26" s="249">
        <v>1</v>
      </c>
      <c r="G26" s="123"/>
      <c r="H26" s="26"/>
      <c r="I26" s="26"/>
      <c r="J26" s="26"/>
      <c r="K26" s="26"/>
      <c r="L26" s="26"/>
      <c r="M26" s="44"/>
      <c r="N26" s="123"/>
      <c r="O26" s="44"/>
      <c r="P26" s="26"/>
      <c r="Q26" s="26"/>
      <c r="R26" s="26"/>
      <c r="S26" s="26"/>
      <c r="T26" s="26"/>
      <c r="U26" s="26"/>
      <c r="V26" s="26"/>
      <c r="W26" s="26">
        <v>3</v>
      </c>
      <c r="X26" s="26">
        <v>6</v>
      </c>
      <c r="Y26" s="26">
        <v>3</v>
      </c>
      <c r="Z26" s="26"/>
      <c r="AA26" s="25">
        <v>6</v>
      </c>
      <c r="AB26" s="25">
        <v>4</v>
      </c>
      <c r="AC26" s="25">
        <v>3</v>
      </c>
      <c r="AD26" s="24"/>
      <c r="AE26" s="25">
        <v>2</v>
      </c>
      <c r="AF26" s="25">
        <v>5</v>
      </c>
      <c r="AG26" s="25">
        <v>4</v>
      </c>
      <c r="AH26" s="459">
        <f>SUM(F26:AG26)</f>
        <v>37</v>
      </c>
      <c r="AI26" s="445"/>
      <c r="AJ26" s="445"/>
      <c r="AK26" s="445"/>
      <c r="AL26" s="445"/>
      <c r="AM26" s="445"/>
      <c r="AN26" s="445"/>
      <c r="AO26" s="445"/>
      <c r="AP26" s="445"/>
      <c r="AQ26" s="445"/>
      <c r="AR26" s="445"/>
      <c r="AS26" s="445"/>
      <c r="AT26" s="445"/>
      <c r="AU26" s="445"/>
      <c r="AV26" s="479"/>
      <c r="AW26" s="54"/>
    </row>
    <row r="27" spans="1:50">
      <c r="A27" s="449">
        <v>12</v>
      </c>
      <c r="B27" s="67">
        <v>68</v>
      </c>
      <c r="C27" s="56" t="s">
        <v>48</v>
      </c>
      <c r="D27" s="56" t="s">
        <v>31</v>
      </c>
      <c r="E27" s="71" t="s">
        <v>32</v>
      </c>
      <c r="F27" s="123" t="s">
        <v>14</v>
      </c>
      <c r="G27" s="123" t="s">
        <v>14</v>
      </c>
      <c r="H27" s="123" t="s">
        <v>14</v>
      </c>
      <c r="I27" s="123" t="s">
        <v>14</v>
      </c>
      <c r="J27" s="123" t="s">
        <v>14</v>
      </c>
      <c r="K27" s="123" t="s">
        <v>23</v>
      </c>
      <c r="L27" s="123" t="s">
        <v>14</v>
      </c>
      <c r="M27" s="123" t="s">
        <v>14</v>
      </c>
      <c r="N27" s="123" t="s">
        <v>14</v>
      </c>
      <c r="O27" s="123" t="s">
        <v>14</v>
      </c>
      <c r="P27" s="123" t="s">
        <v>14</v>
      </c>
      <c r="Q27" s="123" t="s">
        <v>23</v>
      </c>
      <c r="R27" s="123" t="s">
        <v>14</v>
      </c>
      <c r="S27" s="123" t="s">
        <v>14</v>
      </c>
      <c r="T27" s="123" t="s">
        <v>14</v>
      </c>
      <c r="U27" s="123" t="s">
        <v>14</v>
      </c>
      <c r="V27" s="123" t="s">
        <v>14</v>
      </c>
      <c r="W27" s="123" t="s">
        <v>14</v>
      </c>
      <c r="X27" s="123" t="s">
        <v>23</v>
      </c>
      <c r="Y27" s="123" t="s">
        <v>14</v>
      </c>
      <c r="Z27" s="123" t="s">
        <v>14</v>
      </c>
      <c r="AA27" s="123" t="s">
        <v>14</v>
      </c>
      <c r="AB27" s="123" t="s">
        <v>14</v>
      </c>
      <c r="AC27" s="123" t="s">
        <v>14</v>
      </c>
      <c r="AD27" s="123" t="s">
        <v>23</v>
      </c>
      <c r="AE27" s="123" t="s">
        <v>14</v>
      </c>
      <c r="AF27" s="123" t="s">
        <v>14</v>
      </c>
      <c r="AG27" s="123" t="s">
        <v>14</v>
      </c>
      <c r="AH27" s="30">
        <f>COUNTIF($F27:$AG27,$C$128)</f>
        <v>24</v>
      </c>
      <c r="AI27" s="30">
        <f>COUNTIF($F27:$AG27,$C$129)</f>
        <v>0</v>
      </c>
      <c r="AJ27" s="30">
        <f>COUNTIF($F27:$AG27,$C$130)</f>
        <v>0</v>
      </c>
      <c r="AK27" s="30">
        <f>COUNTIF($F27:$AG27,$C$131)</f>
        <v>0</v>
      </c>
      <c r="AL27" s="30">
        <f>COUNTIF($F27:$AG27,$C$132)</f>
        <v>0</v>
      </c>
      <c r="AM27" s="30">
        <f>COUNTIF($F27:$AG27,$C$133)</f>
        <v>0</v>
      </c>
      <c r="AN27" s="30">
        <f>COUNTIF($F27:$AG27,$C$134)</f>
        <v>0</v>
      </c>
      <c r="AO27" s="30">
        <f>COUNTIF($F27:$AG27,$C$135)</f>
        <v>0</v>
      </c>
      <c r="AP27" s="30">
        <f>COUNTIF($F27:$AG27,$C$136)</f>
        <v>0</v>
      </c>
      <c r="AQ27" s="30">
        <f>COUNTIF($F27:$AG27,$C$137)</f>
        <v>4</v>
      </c>
      <c r="AR27" s="30">
        <f>COUNTIF($F27:$AG27,$C$138)</f>
        <v>0</v>
      </c>
      <c r="AS27" s="30">
        <f>COUNTIF($F27:$AG27,$C$139)</f>
        <v>0</v>
      </c>
      <c r="AT27" s="30">
        <f>COUNTIF($F27:$AG27,$C$140)</f>
        <v>0</v>
      </c>
      <c r="AU27" s="30">
        <f>COUNTIF($F27:$AG27,$C$141)</f>
        <v>0</v>
      </c>
      <c r="AV27" s="30">
        <f>COUNTA(F27:AG27)</f>
        <v>28</v>
      </c>
      <c r="AW27" s="54">
        <f>AH27+AR27</f>
        <v>24</v>
      </c>
      <c r="AX27" s="54" cm="1">
        <f t="array" ref="AX27">IFERROR(
COUNTA(F27:AG27)-MAX(IF(TRIM(F27:AG27)="OD",COLUMN(F27:AG27)-COLUMN(F27)+1)),"")</f>
        <v>3</v>
      </c>
    </row>
    <row r="28" spans="1:50">
      <c r="A28" s="450"/>
      <c r="B28" s="60"/>
      <c r="C28" s="61"/>
      <c r="D28" s="61"/>
      <c r="E28" s="73" t="s">
        <v>34</v>
      </c>
      <c r="F28" s="249"/>
      <c r="G28" s="26"/>
      <c r="H28" s="26">
        <v>2</v>
      </c>
      <c r="I28" s="26">
        <v>3</v>
      </c>
      <c r="J28" s="26"/>
      <c r="K28" s="26"/>
      <c r="L28" s="26"/>
      <c r="M28" s="26"/>
      <c r="N28" s="26">
        <v>4</v>
      </c>
      <c r="O28" s="26"/>
      <c r="P28" s="26">
        <v>4</v>
      </c>
      <c r="Q28" s="26"/>
      <c r="R28" s="26"/>
      <c r="S28" s="26">
        <v>2</v>
      </c>
      <c r="T28" s="26"/>
      <c r="U28" s="26">
        <v>4</v>
      </c>
      <c r="V28" s="26"/>
      <c r="W28" s="26"/>
      <c r="X28" s="26"/>
      <c r="Y28" s="26"/>
      <c r="Z28" s="26"/>
      <c r="AA28" s="25">
        <v>2</v>
      </c>
      <c r="AB28" s="25">
        <v>7</v>
      </c>
      <c r="AC28" s="25">
        <v>3</v>
      </c>
      <c r="AD28" s="25"/>
      <c r="AE28" s="25">
        <v>4</v>
      </c>
      <c r="AF28" s="25"/>
      <c r="AG28" s="25"/>
      <c r="AH28" s="459">
        <f>SUM(F28:AG28)</f>
        <v>35</v>
      </c>
      <c r="AI28" s="445"/>
      <c r="AJ28" s="445"/>
      <c r="AK28" s="445"/>
      <c r="AL28" s="445"/>
      <c r="AM28" s="445"/>
      <c r="AN28" s="445"/>
      <c r="AO28" s="445"/>
      <c r="AP28" s="445"/>
      <c r="AQ28" s="445"/>
      <c r="AR28" s="445"/>
      <c r="AS28" s="445"/>
      <c r="AT28" s="445"/>
      <c r="AU28" s="445"/>
      <c r="AV28" s="479"/>
      <c r="AW28" s="54"/>
    </row>
    <row r="29" spans="1:50">
      <c r="A29" s="449">
        <v>13</v>
      </c>
      <c r="B29" s="67">
        <v>102</v>
      </c>
      <c r="C29" s="56" t="s">
        <v>49</v>
      </c>
      <c r="D29" s="56" t="s">
        <v>31</v>
      </c>
      <c r="E29" s="71" t="s">
        <v>32</v>
      </c>
      <c r="F29" s="123" t="s">
        <v>14</v>
      </c>
      <c r="G29" s="123" t="s">
        <v>14</v>
      </c>
      <c r="H29" s="123" t="s">
        <v>23</v>
      </c>
      <c r="I29" s="123" t="s">
        <v>14</v>
      </c>
      <c r="J29" s="123" t="s">
        <v>14</v>
      </c>
      <c r="K29" s="123" t="s">
        <v>14</v>
      </c>
      <c r="L29" s="123" t="s">
        <v>14</v>
      </c>
      <c r="M29" s="123" t="s">
        <v>14</v>
      </c>
      <c r="N29" s="123" t="s">
        <v>14</v>
      </c>
      <c r="O29" s="123" t="s">
        <v>14</v>
      </c>
      <c r="P29" s="123" t="s">
        <v>23</v>
      </c>
      <c r="Q29" s="123" t="s">
        <v>14</v>
      </c>
      <c r="R29" s="123" t="s">
        <v>14</v>
      </c>
      <c r="S29" s="123" t="s">
        <v>14</v>
      </c>
      <c r="T29" s="123" t="s">
        <v>14</v>
      </c>
      <c r="U29" s="123" t="s">
        <v>14</v>
      </c>
      <c r="V29" s="123" t="s">
        <v>14</v>
      </c>
      <c r="W29" s="123" t="s">
        <v>14</v>
      </c>
      <c r="X29" s="123" t="s">
        <v>23</v>
      </c>
      <c r="Y29" s="123" t="s">
        <v>14</v>
      </c>
      <c r="Z29" s="123" t="s">
        <v>14</v>
      </c>
      <c r="AA29" s="123" t="s">
        <v>14</v>
      </c>
      <c r="AB29" s="123" t="s">
        <v>14</v>
      </c>
      <c r="AC29" s="123" t="s">
        <v>14</v>
      </c>
      <c r="AD29" s="123" t="s">
        <v>23</v>
      </c>
      <c r="AE29" s="123" t="s">
        <v>14</v>
      </c>
      <c r="AF29" s="123" t="s">
        <v>14</v>
      </c>
      <c r="AG29" s="123" t="s">
        <v>14</v>
      </c>
      <c r="AH29" s="30">
        <f>COUNTIF($F29:$AG29,$C$128)</f>
        <v>24</v>
      </c>
      <c r="AI29" s="30">
        <f>COUNTIF($F29:$AG29,$C$129)</f>
        <v>0</v>
      </c>
      <c r="AJ29" s="30">
        <f>COUNTIF($F29:$AG29,$C$130)</f>
        <v>0</v>
      </c>
      <c r="AK29" s="30">
        <f>COUNTIF($F29:$AG29,$C$131)</f>
        <v>0</v>
      </c>
      <c r="AL29" s="30">
        <f>COUNTIF($F29:$AG29,$C$132)</f>
        <v>0</v>
      </c>
      <c r="AM29" s="30">
        <f>COUNTIF($F29:$AG29,$C$133)</f>
        <v>0</v>
      </c>
      <c r="AN29" s="30">
        <f>COUNTIF($F29:$AG29,$C$134)</f>
        <v>0</v>
      </c>
      <c r="AO29" s="30">
        <f>COUNTIF($F29:$AG29,$C$135)</f>
        <v>0</v>
      </c>
      <c r="AP29" s="30">
        <f>COUNTIF($F29:$AG29,$C$136)</f>
        <v>0</v>
      </c>
      <c r="AQ29" s="30">
        <f>COUNTIF($F29:$AG29,$C$137)</f>
        <v>4</v>
      </c>
      <c r="AR29" s="30">
        <f>COUNTIF($F29:$AG29,$C$138)</f>
        <v>0</v>
      </c>
      <c r="AS29" s="30">
        <f>COUNTIF($F29:$AG29,$C$139)</f>
        <v>0</v>
      </c>
      <c r="AT29" s="30">
        <f>COUNTIF($F29:$AG29,$C$140)</f>
        <v>0</v>
      </c>
      <c r="AU29" s="30">
        <f>COUNTIF($F29:$AG29,$C$141)</f>
        <v>0</v>
      </c>
      <c r="AV29" s="30">
        <f>COUNTA(F29:AG29)</f>
        <v>28</v>
      </c>
      <c r="AW29" s="54">
        <f>AH29+AR29</f>
        <v>24</v>
      </c>
      <c r="AX29" s="54" cm="1">
        <f t="array" ref="AX29">IFERROR(
COUNTA(F29:AG29)-MAX(IF(TRIM(F29:AG29)="OD",COLUMN(F29:AG29)-COLUMN(F29)+1)),"")</f>
        <v>3</v>
      </c>
    </row>
    <row r="30" spans="1:50">
      <c r="A30" s="450"/>
      <c r="B30" s="60"/>
      <c r="C30" s="61"/>
      <c r="D30" s="61"/>
      <c r="E30" s="73" t="s">
        <v>34</v>
      </c>
      <c r="F30" s="249"/>
      <c r="G30" s="26">
        <v>2</v>
      </c>
      <c r="H30" s="39"/>
      <c r="I30" s="39">
        <v>1</v>
      </c>
      <c r="J30" s="39">
        <v>3</v>
      </c>
      <c r="K30" s="39"/>
      <c r="L30" s="39">
        <v>1</v>
      </c>
      <c r="M30" s="26"/>
      <c r="N30" s="26"/>
      <c r="O30" s="26"/>
      <c r="P30" s="26"/>
      <c r="Q30" s="26"/>
      <c r="R30" s="26">
        <v>1</v>
      </c>
      <c r="S30" s="26"/>
      <c r="T30" s="26">
        <v>2</v>
      </c>
      <c r="U30" s="26">
        <v>3</v>
      </c>
      <c r="V30" s="26"/>
      <c r="W30" s="26"/>
      <c r="X30" s="26"/>
      <c r="Y30" s="26"/>
      <c r="Z30" s="26">
        <v>1</v>
      </c>
      <c r="AA30" s="25"/>
      <c r="AB30" s="25"/>
      <c r="AC30" s="25"/>
      <c r="AD30" s="25"/>
      <c r="AE30" s="25">
        <v>2</v>
      </c>
      <c r="AF30" s="25">
        <v>3</v>
      </c>
      <c r="AG30" s="25">
        <v>3</v>
      </c>
      <c r="AH30" s="459">
        <f>SUM(F30:AG30)</f>
        <v>22</v>
      </c>
      <c r="AI30" s="445"/>
      <c r="AJ30" s="445"/>
      <c r="AK30" s="445"/>
      <c r="AL30" s="445"/>
      <c r="AM30" s="445"/>
      <c r="AN30" s="445"/>
      <c r="AO30" s="445"/>
      <c r="AP30" s="445"/>
      <c r="AQ30" s="445"/>
      <c r="AR30" s="445"/>
      <c r="AS30" s="445"/>
      <c r="AT30" s="445"/>
      <c r="AU30" s="445"/>
      <c r="AV30" s="479"/>
      <c r="AW30" s="54"/>
    </row>
    <row r="31" spans="1:50">
      <c r="A31" s="449">
        <v>14</v>
      </c>
      <c r="B31" s="55">
        <v>135</v>
      </c>
      <c r="C31" s="64" t="s">
        <v>50</v>
      </c>
      <c r="D31" s="56" t="s">
        <v>31</v>
      </c>
      <c r="E31" s="71" t="s">
        <v>32</v>
      </c>
      <c r="F31" s="123" t="s">
        <v>14</v>
      </c>
      <c r="G31" s="332" t="s">
        <v>14</v>
      </c>
      <c r="H31" s="333" t="s">
        <v>14</v>
      </c>
      <c r="I31" s="333" t="s">
        <v>14</v>
      </c>
      <c r="J31" s="333" t="s">
        <v>14</v>
      </c>
      <c r="K31" s="333" t="s">
        <v>14</v>
      </c>
      <c r="L31" s="334" t="s">
        <v>14</v>
      </c>
      <c r="M31" s="123" t="s">
        <v>14</v>
      </c>
      <c r="N31" s="123" t="s">
        <v>23</v>
      </c>
      <c r="O31" s="123" t="s">
        <v>14</v>
      </c>
      <c r="P31" s="123" t="s">
        <v>14</v>
      </c>
      <c r="Q31" s="123" t="s">
        <v>14</v>
      </c>
      <c r="R31" s="123" t="s">
        <v>14</v>
      </c>
      <c r="S31" s="123" t="s">
        <v>14</v>
      </c>
      <c r="T31" s="123" t="s">
        <v>14</v>
      </c>
      <c r="U31" s="123" t="s">
        <v>23</v>
      </c>
      <c r="V31" s="123" t="s">
        <v>14</v>
      </c>
      <c r="W31" s="123" t="s">
        <v>14</v>
      </c>
      <c r="X31" s="123" t="s">
        <v>14</v>
      </c>
      <c r="Y31" s="123" t="s">
        <v>14</v>
      </c>
      <c r="Z31" s="123" t="s">
        <v>14</v>
      </c>
      <c r="AA31" s="123" t="s">
        <v>14</v>
      </c>
      <c r="AB31" s="123" t="s">
        <v>14</v>
      </c>
      <c r="AC31" s="123" t="s">
        <v>23</v>
      </c>
      <c r="AD31" s="123" t="s">
        <v>14</v>
      </c>
      <c r="AE31" s="123" t="s">
        <v>14</v>
      </c>
      <c r="AF31" s="123" t="s">
        <v>14</v>
      </c>
      <c r="AG31" s="123" t="s">
        <v>23</v>
      </c>
      <c r="AH31" s="30">
        <f>COUNTIF($F31:$AG31,$C$128)</f>
        <v>24</v>
      </c>
      <c r="AI31" s="30">
        <f>COUNTIF($F31:$AG31,$C$129)</f>
        <v>0</v>
      </c>
      <c r="AJ31" s="30">
        <f>COUNTIF($F31:$AG31,$C$130)</f>
        <v>0</v>
      </c>
      <c r="AK31" s="30">
        <f>COUNTIF($F31:$AG31,$C$131)</f>
        <v>0</v>
      </c>
      <c r="AL31" s="30">
        <f>COUNTIF($F31:$AG31,$C$132)</f>
        <v>0</v>
      </c>
      <c r="AM31" s="30">
        <f>COUNTIF($F31:$AG31,$C$133)</f>
        <v>0</v>
      </c>
      <c r="AN31" s="30">
        <f>COUNTIF($F31:$AG31,$C$134)</f>
        <v>0</v>
      </c>
      <c r="AO31" s="30">
        <f>COUNTIF($F31:$AG31,$C$135)</f>
        <v>0</v>
      </c>
      <c r="AP31" s="30">
        <f>COUNTIF($F31:$AG31,$C$136)</f>
        <v>0</v>
      </c>
      <c r="AQ31" s="30">
        <f>COUNTIF($F31:$AG31,$C$137)</f>
        <v>4</v>
      </c>
      <c r="AR31" s="30">
        <f>COUNTIF($F31:$AG31,$C$138)</f>
        <v>0</v>
      </c>
      <c r="AS31" s="30">
        <f>COUNTIF($F31:$AG31,$C$139)</f>
        <v>0</v>
      </c>
      <c r="AT31" s="30">
        <f>COUNTIF($F31:$AG31,$C$140)</f>
        <v>0</v>
      </c>
      <c r="AU31" s="30">
        <f>COUNTIF($F31:$AG31,$C$141)</f>
        <v>0</v>
      </c>
      <c r="AV31" s="30">
        <f>COUNTA(F31:AG31)</f>
        <v>28</v>
      </c>
      <c r="AW31" s="54">
        <f t="shared" ref="AW31:AW35" si="0">AH31+AR31</f>
        <v>24</v>
      </c>
      <c r="AX31" s="54" cm="1">
        <f t="array" ref="AX31">IFERROR(
COUNTA(F31:AG31)-MAX(IF(TRIM(F31:AG31)="OD",COLUMN(F31:AG31)-COLUMN(F31)+1)),"")</f>
        <v>0</v>
      </c>
    </row>
    <row r="32" spans="1:50">
      <c r="A32" s="450"/>
      <c r="B32" s="55"/>
      <c r="C32" s="64"/>
      <c r="D32" s="64"/>
      <c r="E32" s="73" t="s">
        <v>34</v>
      </c>
      <c r="F32" s="249"/>
      <c r="G32" s="123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>
        <v>2</v>
      </c>
      <c r="AA32" s="25"/>
      <c r="AB32" s="25"/>
      <c r="AC32" s="25"/>
      <c r="AD32" s="25"/>
      <c r="AE32" s="25"/>
      <c r="AF32" s="25"/>
      <c r="AG32" s="25"/>
      <c r="AH32" s="459">
        <f>SUM(F32:AG32)</f>
        <v>2</v>
      </c>
      <c r="AI32" s="445"/>
      <c r="AJ32" s="445"/>
      <c r="AK32" s="445"/>
      <c r="AL32" s="445"/>
      <c r="AM32" s="445"/>
      <c r="AN32" s="445"/>
      <c r="AO32" s="445"/>
      <c r="AP32" s="445"/>
      <c r="AQ32" s="445"/>
      <c r="AR32" s="445"/>
      <c r="AS32" s="445"/>
      <c r="AT32" s="445"/>
      <c r="AU32" s="445"/>
      <c r="AV32" s="479"/>
      <c r="AW32" s="54"/>
    </row>
    <row r="33" spans="1:50">
      <c r="A33" s="449">
        <v>15</v>
      </c>
      <c r="B33" s="67">
        <v>65</v>
      </c>
      <c r="C33" s="56" t="s">
        <v>51</v>
      </c>
      <c r="D33" s="56" t="s">
        <v>31</v>
      </c>
      <c r="E33" s="71" t="s">
        <v>32</v>
      </c>
      <c r="F33" s="123" t="s">
        <v>14</v>
      </c>
      <c r="G33" s="123" t="s">
        <v>14</v>
      </c>
      <c r="H33" s="123" t="s">
        <v>14</v>
      </c>
      <c r="I33" s="123" t="s">
        <v>24</v>
      </c>
      <c r="J33" s="123" t="s">
        <v>14</v>
      </c>
      <c r="K33" s="123" t="s">
        <v>14</v>
      </c>
      <c r="L33" s="123" t="s">
        <v>14</v>
      </c>
      <c r="M33" s="123" t="s">
        <v>14</v>
      </c>
      <c r="N33" s="123" t="s">
        <v>14</v>
      </c>
      <c r="O33" s="123" t="s">
        <v>23</v>
      </c>
      <c r="P33" s="123" t="s">
        <v>14</v>
      </c>
      <c r="Q33" s="123" t="s">
        <v>14</v>
      </c>
      <c r="R33" s="123" t="s">
        <v>14</v>
      </c>
      <c r="S33" s="123" t="s">
        <v>14</v>
      </c>
      <c r="T33" s="123" t="s">
        <v>14</v>
      </c>
      <c r="U33" s="123" t="s">
        <v>14</v>
      </c>
      <c r="V33" s="123" t="s">
        <v>23</v>
      </c>
      <c r="W33" s="123" t="s">
        <v>14</v>
      </c>
      <c r="X33" s="123" t="s">
        <v>14</v>
      </c>
      <c r="Y33" s="123" t="s">
        <v>14</v>
      </c>
      <c r="Z33" s="123" t="s">
        <v>14</v>
      </c>
      <c r="AA33" s="123" t="s">
        <v>14</v>
      </c>
      <c r="AB33" s="123" t="s">
        <v>14</v>
      </c>
      <c r="AC33" s="123" t="s">
        <v>14</v>
      </c>
      <c r="AD33" s="123" t="s">
        <v>23</v>
      </c>
      <c r="AE33" s="123" t="s">
        <v>14</v>
      </c>
      <c r="AF33" s="123" t="s">
        <v>14</v>
      </c>
      <c r="AG33" s="123" t="s">
        <v>14</v>
      </c>
      <c r="AH33" s="30">
        <f>COUNTIF($F33:$AG33,$C$128)</f>
        <v>24</v>
      </c>
      <c r="AI33" s="30">
        <f>COUNTIF($F33:$AG33,$C$129)</f>
        <v>0</v>
      </c>
      <c r="AJ33" s="30">
        <f>COUNTIF($F33:$AG33,$C$130)</f>
        <v>0</v>
      </c>
      <c r="AK33" s="30">
        <f>COUNTIF($F33:$AG33,$C$131)</f>
        <v>0</v>
      </c>
      <c r="AL33" s="30">
        <f>COUNTIF($F33:$AG33,$C$132)</f>
        <v>0</v>
      </c>
      <c r="AM33" s="74">
        <f>COUNTIF($F33:$AG33,$C$133)</f>
        <v>0</v>
      </c>
      <c r="AN33" s="30">
        <f>COUNTIF($F33:$AG33,$C$134)</f>
        <v>0</v>
      </c>
      <c r="AO33" s="30">
        <f>COUNTIF($F33:$AG33,$C$135)</f>
        <v>0</v>
      </c>
      <c r="AP33" s="7">
        <f>COUNTIF($F33:$AG33,$C$136)</f>
        <v>0</v>
      </c>
      <c r="AQ33" s="30">
        <f>COUNTIF($F33:$AG33,$C$137)</f>
        <v>3</v>
      </c>
      <c r="AR33" s="30">
        <f>COUNTIF($F33:$AG33,$C$138)</f>
        <v>1</v>
      </c>
      <c r="AS33" s="30">
        <f>COUNTIF($F33:$AG33,$C$139)</f>
        <v>0</v>
      </c>
      <c r="AT33" s="30">
        <f>COUNTIF($F33:$AG33,$C$140)</f>
        <v>0</v>
      </c>
      <c r="AU33" s="30">
        <f>COUNTIF($F33:$AG33,$C$141)</f>
        <v>0</v>
      </c>
      <c r="AV33" s="30">
        <f>COUNTA(F33:AG33)</f>
        <v>28</v>
      </c>
      <c r="AW33" s="54">
        <f t="shared" si="0"/>
        <v>25</v>
      </c>
      <c r="AX33" s="54" cm="1">
        <f t="array" ref="AX33">IFERROR(
COUNTA(F33:AG33)-MAX(IF(TRIM(F33:AG33)="OD",COLUMN(F33:AG33)-COLUMN(F33)+1)),"")</f>
        <v>3</v>
      </c>
    </row>
    <row r="34" spans="1:50">
      <c r="A34" s="450"/>
      <c r="B34" s="60"/>
      <c r="C34" s="61"/>
      <c r="D34" s="61"/>
      <c r="E34" s="73" t="s">
        <v>34</v>
      </c>
      <c r="F34" s="249"/>
      <c r="G34" s="123"/>
      <c r="H34" s="26"/>
      <c r="I34" s="26"/>
      <c r="J34" s="123">
        <v>1</v>
      </c>
      <c r="K34" s="26"/>
      <c r="L34" s="44"/>
      <c r="M34" s="44">
        <v>1</v>
      </c>
      <c r="N34" s="123">
        <v>3</v>
      </c>
      <c r="O34" s="44"/>
      <c r="P34" s="26"/>
      <c r="Q34" s="26">
        <v>1</v>
      </c>
      <c r="R34" s="26"/>
      <c r="S34" s="26">
        <v>5</v>
      </c>
      <c r="T34" s="26"/>
      <c r="U34" s="26"/>
      <c r="V34" s="26"/>
      <c r="W34" s="26"/>
      <c r="X34" s="26"/>
      <c r="Y34" s="26">
        <v>3</v>
      </c>
      <c r="Z34" s="26"/>
      <c r="AA34" s="25"/>
      <c r="AB34" s="25"/>
      <c r="AC34" s="24"/>
      <c r="AD34" s="24"/>
      <c r="AE34" s="24"/>
      <c r="AF34" s="25">
        <v>2</v>
      </c>
      <c r="AG34" s="25"/>
      <c r="AH34" s="459">
        <f>SUM(F34:AG34)</f>
        <v>16</v>
      </c>
      <c r="AI34" s="445"/>
      <c r="AJ34" s="445"/>
      <c r="AK34" s="445"/>
      <c r="AL34" s="445"/>
      <c r="AM34" s="445"/>
      <c r="AN34" s="445"/>
      <c r="AO34" s="445"/>
      <c r="AP34" s="445"/>
      <c r="AQ34" s="445"/>
      <c r="AR34" s="445"/>
      <c r="AS34" s="445"/>
      <c r="AT34" s="445"/>
      <c r="AU34" s="445"/>
      <c r="AV34" s="479"/>
      <c r="AW34" s="54"/>
    </row>
    <row r="35" spans="1:50">
      <c r="A35" s="449">
        <v>16</v>
      </c>
      <c r="B35" s="67">
        <v>43</v>
      </c>
      <c r="C35" s="56" t="s">
        <v>52</v>
      </c>
      <c r="D35" s="56" t="s">
        <v>31</v>
      </c>
      <c r="E35" s="71" t="s">
        <v>32</v>
      </c>
      <c r="F35" s="123" t="s">
        <v>14</v>
      </c>
      <c r="G35" s="123" t="s">
        <v>23</v>
      </c>
      <c r="H35" s="123" t="s">
        <v>14</v>
      </c>
      <c r="I35" s="123" t="s">
        <v>14</v>
      </c>
      <c r="J35" s="123" t="s">
        <v>14</v>
      </c>
      <c r="K35" s="123" t="s">
        <v>14</v>
      </c>
      <c r="L35" s="123" t="s">
        <v>14</v>
      </c>
      <c r="M35" s="123" t="s">
        <v>14</v>
      </c>
      <c r="N35" s="123" t="s">
        <v>14</v>
      </c>
      <c r="O35" s="123" t="s">
        <v>14</v>
      </c>
      <c r="P35" s="123" t="s">
        <v>23</v>
      </c>
      <c r="Q35" s="123" t="s">
        <v>14</v>
      </c>
      <c r="R35" s="123" t="s">
        <v>14</v>
      </c>
      <c r="S35" s="123" t="s">
        <v>14</v>
      </c>
      <c r="T35" s="123" t="s">
        <v>14</v>
      </c>
      <c r="U35" s="123" t="s">
        <v>14</v>
      </c>
      <c r="V35" s="123" t="s">
        <v>14</v>
      </c>
      <c r="W35" s="123" t="s">
        <v>23</v>
      </c>
      <c r="X35" s="123" t="s">
        <v>14</v>
      </c>
      <c r="Y35" s="123" t="s">
        <v>14</v>
      </c>
      <c r="Z35" s="123" t="s">
        <v>14</v>
      </c>
      <c r="AA35" s="123" t="s">
        <v>14</v>
      </c>
      <c r="AB35" s="123" t="s">
        <v>14</v>
      </c>
      <c r="AC35" s="123" t="s">
        <v>23</v>
      </c>
      <c r="AD35" s="123" t="s">
        <v>14</v>
      </c>
      <c r="AE35" s="123" t="s">
        <v>14</v>
      </c>
      <c r="AF35" s="123" t="s">
        <v>14</v>
      </c>
      <c r="AG35" s="123" t="s">
        <v>14</v>
      </c>
      <c r="AH35" s="30">
        <f>COUNTIF($F35:$AG35,$C$128)</f>
        <v>24</v>
      </c>
      <c r="AI35" s="30">
        <f>COUNTIF($F35:$AG35,$C$129)</f>
        <v>0</v>
      </c>
      <c r="AJ35" s="30">
        <f>COUNTIF($F35:$AG35,$C$130)</f>
        <v>0</v>
      </c>
      <c r="AK35" s="30">
        <f>COUNTIF($F35:$AG35,$C$131)</f>
        <v>0</v>
      </c>
      <c r="AL35" s="30">
        <f>COUNTIF($F35:$AG35,$C$132)</f>
        <v>0</v>
      </c>
      <c r="AM35" s="30">
        <f>COUNTIF($F35:$AG35,$C$133)</f>
        <v>0</v>
      </c>
      <c r="AN35" s="30">
        <f>COUNTIF($F35:$AG35,$C$134)</f>
        <v>0</v>
      </c>
      <c r="AO35" s="30">
        <f>COUNTIF($F35:$AG35,$C$135)</f>
        <v>0</v>
      </c>
      <c r="AP35" s="30">
        <f>COUNTIF($F35:$AG35,$C$136)</f>
        <v>0</v>
      </c>
      <c r="AQ35" s="30">
        <f>COUNTIF($F35:$AG35,$C$137)</f>
        <v>4</v>
      </c>
      <c r="AR35" s="30">
        <f>COUNTIF($F35:$AG35,$C$138)</f>
        <v>0</v>
      </c>
      <c r="AS35" s="30">
        <f>COUNTIF($F35:$AG35,$C$139)</f>
        <v>0</v>
      </c>
      <c r="AT35" s="30">
        <f>COUNTIF($F35:$AG35,$C$140)</f>
        <v>0</v>
      </c>
      <c r="AU35" s="30">
        <f>COUNTIF($F35:$AG35,$C$141)</f>
        <v>0</v>
      </c>
      <c r="AV35" s="30">
        <f>COUNTA(F35:AG35)</f>
        <v>28</v>
      </c>
      <c r="AW35" s="54">
        <f>AH35+AR35</f>
        <v>24</v>
      </c>
      <c r="AX35" s="54" cm="1">
        <f t="array" ref="AX35">IFERROR(
COUNTA(F35:AG35)-MAX(IF(TRIM(F35:AG35)="OD",COLUMN(F35:AG35)-COLUMN(F35)+1)),"")</f>
        <v>4</v>
      </c>
    </row>
    <row r="36" spans="1:50">
      <c r="A36" s="450"/>
      <c r="B36" s="60"/>
      <c r="C36" s="61"/>
      <c r="D36" s="61"/>
      <c r="E36" s="73" t="s">
        <v>34</v>
      </c>
      <c r="F36" s="249"/>
      <c r="G36" s="123"/>
      <c r="H36" s="26"/>
      <c r="I36" s="26"/>
      <c r="J36" s="123"/>
      <c r="K36" s="26"/>
      <c r="L36" s="44"/>
      <c r="M36" s="44"/>
      <c r="N36" s="123"/>
      <c r="O36" s="26"/>
      <c r="P36" s="26"/>
      <c r="Q36" s="26"/>
      <c r="R36" s="26"/>
      <c r="S36" s="26"/>
      <c r="T36" s="26"/>
      <c r="U36" s="26"/>
      <c r="V36" s="26"/>
      <c r="W36" s="26"/>
      <c r="X36" s="26">
        <v>3</v>
      </c>
      <c r="Y36" s="26">
        <v>3</v>
      </c>
      <c r="Z36" s="26">
        <v>3</v>
      </c>
      <c r="AA36" s="25">
        <v>3</v>
      </c>
      <c r="AB36" s="25">
        <v>5</v>
      </c>
      <c r="AC36" s="25"/>
      <c r="AD36" s="25">
        <v>3</v>
      </c>
      <c r="AE36" s="25">
        <v>3</v>
      </c>
      <c r="AF36" s="25">
        <v>3</v>
      </c>
      <c r="AG36" s="25">
        <v>3</v>
      </c>
      <c r="AH36" s="459">
        <f>SUM(F36:AG36)</f>
        <v>29</v>
      </c>
      <c r="AI36" s="445"/>
      <c r="AJ36" s="445"/>
      <c r="AK36" s="445"/>
      <c r="AL36" s="445"/>
      <c r="AM36" s="445"/>
      <c r="AN36" s="445"/>
      <c r="AO36" s="445"/>
      <c r="AP36" s="445"/>
      <c r="AQ36" s="445"/>
      <c r="AR36" s="445"/>
      <c r="AS36" s="445"/>
      <c r="AT36" s="445"/>
      <c r="AU36" s="445"/>
      <c r="AV36" s="479"/>
      <c r="AW36" s="54"/>
    </row>
    <row r="37" spans="1:50">
      <c r="A37" s="449">
        <v>17</v>
      </c>
      <c r="B37" s="67">
        <v>98</v>
      </c>
      <c r="C37" s="56" t="s">
        <v>53</v>
      </c>
      <c r="D37" s="56" t="s">
        <v>31</v>
      </c>
      <c r="E37" s="71" t="s">
        <v>32</v>
      </c>
      <c r="F37" s="123" t="s">
        <v>14</v>
      </c>
      <c r="G37" s="123" t="s">
        <v>14</v>
      </c>
      <c r="H37" s="123" t="s">
        <v>14</v>
      </c>
      <c r="I37" s="123" t="s">
        <v>14</v>
      </c>
      <c r="J37" s="123" t="s">
        <v>23</v>
      </c>
      <c r="K37" s="123" t="s">
        <v>14</v>
      </c>
      <c r="L37" s="123" t="s">
        <v>14</v>
      </c>
      <c r="M37" s="123" t="s">
        <v>14</v>
      </c>
      <c r="N37" s="123" t="s">
        <v>14</v>
      </c>
      <c r="O37" s="123" t="s">
        <v>14</v>
      </c>
      <c r="P37" s="123" t="s">
        <v>14</v>
      </c>
      <c r="Q37" s="123" t="s">
        <v>23</v>
      </c>
      <c r="R37" s="123" t="s">
        <v>14</v>
      </c>
      <c r="S37" s="123" t="s">
        <v>14</v>
      </c>
      <c r="T37" s="123" t="s">
        <v>14</v>
      </c>
      <c r="U37" s="123" t="s">
        <v>14</v>
      </c>
      <c r="V37" s="123" t="s">
        <v>14</v>
      </c>
      <c r="W37" s="123" t="s">
        <v>23</v>
      </c>
      <c r="X37" s="123" t="s">
        <v>14</v>
      </c>
      <c r="Y37" s="123" t="s">
        <v>14</v>
      </c>
      <c r="Z37" s="123" t="s">
        <v>14</v>
      </c>
      <c r="AA37" s="123" t="s">
        <v>14</v>
      </c>
      <c r="AB37" s="123" t="s">
        <v>14</v>
      </c>
      <c r="AC37" s="123" t="s">
        <v>14</v>
      </c>
      <c r="AD37" s="123" t="s">
        <v>14</v>
      </c>
      <c r="AE37" s="123" t="s">
        <v>14</v>
      </c>
      <c r="AF37" s="123" t="s">
        <v>23</v>
      </c>
      <c r="AG37" s="123" t="s">
        <v>14</v>
      </c>
      <c r="AH37" s="30">
        <f>COUNTIF($F37:$AG37,$C$128)</f>
        <v>24</v>
      </c>
      <c r="AI37" s="30">
        <f>COUNTIF($F37:$AG37,$C$129)</f>
        <v>0</v>
      </c>
      <c r="AJ37" s="30">
        <f>COUNTIF($F37:$AG37,$C$130)</f>
        <v>0</v>
      </c>
      <c r="AK37" s="30">
        <f>COUNTIF($F37:$AG37,$C$131)</f>
        <v>0</v>
      </c>
      <c r="AL37" s="30">
        <f>COUNTIF($F37:$AG37,$C$132)</f>
        <v>0</v>
      </c>
      <c r="AM37" s="30">
        <f>COUNTIF($F37:$AG37,$C$133)</f>
        <v>0</v>
      </c>
      <c r="AN37" s="30">
        <f>COUNTIF($F37:$AG37,$C$134)</f>
        <v>0</v>
      </c>
      <c r="AO37" s="30">
        <f>COUNTIF($F37:$AG37,$C$135)</f>
        <v>0</v>
      </c>
      <c r="AP37" s="7">
        <f>COUNTIF($F37:$AG37,$C$136)</f>
        <v>0</v>
      </c>
      <c r="AQ37" s="30">
        <f>COUNTIF($F37:$AG37,$C$137)</f>
        <v>4</v>
      </c>
      <c r="AR37" s="30">
        <f>COUNTIF($F37:$AG37,$C$138)</f>
        <v>0</v>
      </c>
      <c r="AS37" s="30">
        <f>COUNTIF($F37:$AG37,$C$139)</f>
        <v>0</v>
      </c>
      <c r="AT37" s="30">
        <f>COUNTIF($F37:$AG37,$C$140)</f>
        <v>0</v>
      </c>
      <c r="AU37" s="30">
        <f>COUNTIF($F37:$AG37,$C$141)</f>
        <v>0</v>
      </c>
      <c r="AV37" s="30">
        <f>COUNTA(F37:AG37)</f>
        <v>28</v>
      </c>
      <c r="AW37" s="54">
        <f>AH37+AR37</f>
        <v>24</v>
      </c>
      <c r="AX37" s="54" cm="1">
        <f t="array" ref="AX37">IFERROR(
COUNTA(F37:AG37)-MAX(IF(TRIM(F37:AG37)="OD",COLUMN(F37:AG37)-COLUMN(F37)+1)),"")</f>
        <v>1</v>
      </c>
    </row>
    <row r="38" spans="1:50">
      <c r="A38" s="450"/>
      <c r="B38" s="60"/>
      <c r="C38" s="61"/>
      <c r="D38" s="61"/>
      <c r="E38" s="73" t="s">
        <v>34</v>
      </c>
      <c r="F38" s="249"/>
      <c r="G38" s="26"/>
      <c r="H38" s="26"/>
      <c r="I38" s="26">
        <v>2</v>
      </c>
      <c r="J38" s="26"/>
      <c r="K38" s="26"/>
      <c r="L38" s="26"/>
      <c r="M38" s="26">
        <v>1</v>
      </c>
      <c r="N38" s="26">
        <v>2</v>
      </c>
      <c r="O38" s="26"/>
      <c r="P38" s="26">
        <v>2</v>
      </c>
      <c r="Q38" s="26"/>
      <c r="R38" s="26"/>
      <c r="S38" s="26">
        <v>2</v>
      </c>
      <c r="T38" s="26"/>
      <c r="U38" s="26">
        <v>2</v>
      </c>
      <c r="V38" s="26"/>
      <c r="W38" s="26"/>
      <c r="X38" s="26">
        <v>7</v>
      </c>
      <c r="Y38" s="26">
        <v>3</v>
      </c>
      <c r="Z38" s="26">
        <v>3</v>
      </c>
      <c r="AA38" s="25"/>
      <c r="AB38" s="25"/>
      <c r="AC38" s="25">
        <v>4</v>
      </c>
      <c r="AD38" s="25"/>
      <c r="AE38" s="25"/>
      <c r="AF38" s="25"/>
      <c r="AG38" s="25"/>
      <c r="AH38" s="459">
        <f>SUM(F38:AG38)</f>
        <v>28</v>
      </c>
      <c r="AI38" s="445"/>
      <c r="AJ38" s="445"/>
      <c r="AK38" s="445"/>
      <c r="AL38" s="445"/>
      <c r="AM38" s="445"/>
      <c r="AN38" s="445"/>
      <c r="AO38" s="445"/>
      <c r="AP38" s="445"/>
      <c r="AQ38" s="445"/>
      <c r="AR38" s="445"/>
      <c r="AS38" s="445"/>
      <c r="AT38" s="445"/>
      <c r="AU38" s="445"/>
      <c r="AV38" s="479"/>
      <c r="AW38" s="54"/>
    </row>
    <row r="39" spans="1:50">
      <c r="A39" s="449">
        <v>18</v>
      </c>
      <c r="B39" s="67">
        <v>120</v>
      </c>
      <c r="C39" s="56" t="s">
        <v>54</v>
      </c>
      <c r="D39" s="56" t="s">
        <v>31</v>
      </c>
      <c r="E39" s="71" t="s">
        <v>32</v>
      </c>
      <c r="F39" s="123" t="s">
        <v>14</v>
      </c>
      <c r="G39" s="123" t="s">
        <v>14</v>
      </c>
      <c r="H39" s="123" t="s">
        <v>14</v>
      </c>
      <c r="I39" s="123" t="s">
        <v>14</v>
      </c>
      <c r="J39" s="123" t="s">
        <v>14</v>
      </c>
      <c r="K39" s="123" t="s">
        <v>14</v>
      </c>
      <c r="L39" s="123" t="s">
        <v>23</v>
      </c>
      <c r="M39" s="123" t="s">
        <v>14</v>
      </c>
      <c r="N39" s="123" t="s">
        <v>14</v>
      </c>
      <c r="O39" s="123" t="s">
        <v>14</v>
      </c>
      <c r="P39" s="123" t="s">
        <v>14</v>
      </c>
      <c r="Q39" s="123" t="s">
        <v>14</v>
      </c>
      <c r="R39" s="123" t="s">
        <v>14</v>
      </c>
      <c r="S39" s="123" t="s">
        <v>23</v>
      </c>
      <c r="T39" s="123" t="s">
        <v>14</v>
      </c>
      <c r="U39" s="123" t="s">
        <v>14</v>
      </c>
      <c r="V39" s="123" t="s">
        <v>14</v>
      </c>
      <c r="W39" s="123" t="s">
        <v>14</v>
      </c>
      <c r="X39" s="123" t="s">
        <v>14</v>
      </c>
      <c r="Y39" s="123" t="s">
        <v>14</v>
      </c>
      <c r="Z39" s="123" t="s">
        <v>14</v>
      </c>
      <c r="AA39" s="123" t="s">
        <v>14</v>
      </c>
      <c r="AB39" s="123" t="s">
        <v>14</v>
      </c>
      <c r="AC39" s="123" t="s">
        <v>23</v>
      </c>
      <c r="AD39" s="123" t="s">
        <v>14</v>
      </c>
      <c r="AE39" s="123" t="s">
        <v>14</v>
      </c>
      <c r="AF39" s="123" t="s">
        <v>14</v>
      </c>
      <c r="AG39" s="123" t="s">
        <v>23</v>
      </c>
      <c r="AH39" s="30">
        <f>COUNTIF($F39:$AG39,$C$128)</f>
        <v>24</v>
      </c>
      <c r="AI39" s="30">
        <f>COUNTIF($F39:$AG39,$C$129)</f>
        <v>0</v>
      </c>
      <c r="AJ39" s="30">
        <f>COUNTIF($F39:$AG39,$C$130)</f>
        <v>0</v>
      </c>
      <c r="AK39" s="30">
        <f>COUNTIF($F39:$AG39,$C$131)</f>
        <v>0</v>
      </c>
      <c r="AL39" s="30">
        <f>COUNTIF($F39:$AG39,$C$132)</f>
        <v>0</v>
      </c>
      <c r="AM39" s="30">
        <f>COUNTIF($F39:$AG39,$C$133)</f>
        <v>0</v>
      </c>
      <c r="AN39" s="30">
        <f>COUNTIF($F39:$AG39,$C$134)</f>
        <v>0</v>
      </c>
      <c r="AO39" s="30">
        <f>COUNTIF($F39:$AG39,$C$135)</f>
        <v>0</v>
      </c>
      <c r="AP39" s="30">
        <f>COUNTIF($F39:$AG39,$C$136)</f>
        <v>0</v>
      </c>
      <c r="AQ39" s="30">
        <f>COUNTIF($F39:$AG39,$C$137)</f>
        <v>4</v>
      </c>
      <c r="AR39" s="30">
        <f>COUNTIF($F39:$AG39,$C$138)</f>
        <v>0</v>
      </c>
      <c r="AS39" s="30">
        <f>COUNTIF($F39:$AG39,$C$139)</f>
        <v>0</v>
      </c>
      <c r="AT39" s="30">
        <f>COUNTIF($F39:$AG39,$C$140)</f>
        <v>0</v>
      </c>
      <c r="AU39" s="30">
        <f>COUNTIF($F39:$AG39,$C$141)</f>
        <v>0</v>
      </c>
      <c r="AV39" s="30">
        <f>COUNTA(F39:AG39)</f>
        <v>28</v>
      </c>
      <c r="AW39" s="54">
        <f>AH39+AR39</f>
        <v>24</v>
      </c>
      <c r="AX39" s="54" cm="1">
        <f t="array" ref="AX39">IFERROR(
COUNTA(F39:AG39)-MAX(IF(TRIM(F39:AG39)="OD",COLUMN(F39:AG39)-COLUMN(F39)+1)),"")</f>
        <v>0</v>
      </c>
    </row>
    <row r="40" spans="1:50">
      <c r="A40" s="450"/>
      <c r="B40" s="60"/>
      <c r="C40" s="61"/>
      <c r="D40" s="61"/>
      <c r="E40" s="73" t="s">
        <v>34</v>
      </c>
      <c r="F40" s="249">
        <v>3</v>
      </c>
      <c r="G40" s="26">
        <v>1</v>
      </c>
      <c r="H40" s="26">
        <v>2</v>
      </c>
      <c r="I40" s="26"/>
      <c r="J40" s="26">
        <v>4</v>
      </c>
      <c r="K40" s="26">
        <v>1</v>
      </c>
      <c r="L40" s="26"/>
      <c r="M40" s="26"/>
      <c r="N40" s="26"/>
      <c r="O40" s="26"/>
      <c r="P40" s="26"/>
      <c r="Q40" s="26">
        <v>3</v>
      </c>
      <c r="R40" s="26">
        <v>2</v>
      </c>
      <c r="S40" s="26"/>
      <c r="T40" s="26"/>
      <c r="U40" s="26"/>
      <c r="V40" s="26"/>
      <c r="W40" s="26">
        <v>4</v>
      </c>
      <c r="X40" s="26"/>
      <c r="Y40" s="26">
        <v>4</v>
      </c>
      <c r="Z40" s="26"/>
      <c r="AA40" s="26">
        <v>2</v>
      </c>
      <c r="AB40" s="26"/>
      <c r="AC40" s="26"/>
      <c r="AD40" s="26">
        <v>1</v>
      </c>
      <c r="AE40" s="26">
        <v>6</v>
      </c>
      <c r="AF40" s="26">
        <v>1</v>
      </c>
      <c r="AG40" s="26"/>
      <c r="AH40" s="459">
        <f>SUM(F40:AG40)</f>
        <v>34</v>
      </c>
      <c r="AI40" s="445"/>
      <c r="AJ40" s="445"/>
      <c r="AK40" s="445"/>
      <c r="AL40" s="445"/>
      <c r="AM40" s="445"/>
      <c r="AN40" s="445"/>
      <c r="AO40" s="445"/>
      <c r="AP40" s="445"/>
      <c r="AQ40" s="445"/>
      <c r="AR40" s="445"/>
      <c r="AS40" s="445"/>
      <c r="AT40" s="445"/>
      <c r="AU40" s="445"/>
      <c r="AV40" s="479"/>
      <c r="AW40" s="54"/>
    </row>
    <row r="41" spans="1:50">
      <c r="A41" s="449">
        <v>19</v>
      </c>
      <c r="B41" s="67">
        <v>47</v>
      </c>
      <c r="C41" s="56" t="s">
        <v>55</v>
      </c>
      <c r="D41" s="56" t="s">
        <v>31</v>
      </c>
      <c r="E41" s="71" t="s">
        <v>32</v>
      </c>
      <c r="F41" s="263" t="s">
        <v>17</v>
      </c>
      <c r="G41" s="263" t="s">
        <v>17</v>
      </c>
      <c r="H41" s="263" t="s">
        <v>17</v>
      </c>
      <c r="I41" s="263" t="s">
        <v>17</v>
      </c>
      <c r="J41" s="263" t="s">
        <v>17</v>
      </c>
      <c r="K41" s="263" t="s">
        <v>17</v>
      </c>
      <c r="L41" s="123" t="s">
        <v>14</v>
      </c>
      <c r="M41" s="123" t="s">
        <v>14</v>
      </c>
      <c r="N41" s="123" t="s">
        <v>14</v>
      </c>
      <c r="O41" s="123" t="s">
        <v>14</v>
      </c>
      <c r="P41" s="123" t="s">
        <v>14</v>
      </c>
      <c r="Q41" s="123" t="s">
        <v>14</v>
      </c>
      <c r="R41" s="123" t="s">
        <v>23</v>
      </c>
      <c r="S41" s="123" t="s">
        <v>14</v>
      </c>
      <c r="T41" s="123" t="s">
        <v>14</v>
      </c>
      <c r="U41" s="123" t="s">
        <v>14</v>
      </c>
      <c r="V41" s="123" t="s">
        <v>14</v>
      </c>
      <c r="W41" s="123" t="s">
        <v>14</v>
      </c>
      <c r="X41" s="123" t="s">
        <v>14</v>
      </c>
      <c r="Y41" s="123" t="s">
        <v>23</v>
      </c>
      <c r="Z41" s="123" t="s">
        <v>14</v>
      </c>
      <c r="AA41" s="123" t="s">
        <v>14</v>
      </c>
      <c r="AB41" s="123" t="s">
        <v>14</v>
      </c>
      <c r="AC41" s="123" t="s">
        <v>14</v>
      </c>
      <c r="AD41" s="123" t="s">
        <v>14</v>
      </c>
      <c r="AE41" s="123" t="s">
        <v>14</v>
      </c>
      <c r="AF41" s="123" t="s">
        <v>23</v>
      </c>
      <c r="AG41" s="123" t="s">
        <v>14</v>
      </c>
      <c r="AH41" s="30">
        <f>COUNTIF($F41:$AG41,$C$128)</f>
        <v>19</v>
      </c>
      <c r="AI41" s="30">
        <f>COUNTIF($F41:$AG41,$C$129)</f>
        <v>0</v>
      </c>
      <c r="AJ41" s="30">
        <f>COUNTIF($F41:$AG41,$C$130)</f>
        <v>0</v>
      </c>
      <c r="AK41" s="30">
        <f>COUNTIF($F41:$AG41,$C$131)</f>
        <v>6</v>
      </c>
      <c r="AL41" s="30">
        <f>COUNTIF($F41:$AG41,$C$132)</f>
        <v>0</v>
      </c>
      <c r="AM41" s="30">
        <f>COUNTIF($F41:$AG41,$C$133)</f>
        <v>0</v>
      </c>
      <c r="AN41" s="30">
        <f>COUNTIF($F41:$AG41,$C$134)</f>
        <v>0</v>
      </c>
      <c r="AO41" s="7">
        <f>COUNTIF($F41:$AG41,$C$135)</f>
        <v>0</v>
      </c>
      <c r="AP41" s="30">
        <f>COUNTIF($F41:$AG41,$C$136)</f>
        <v>0</v>
      </c>
      <c r="AQ41" s="30">
        <f>COUNTIF($F41:$AG41,$C$137)</f>
        <v>3</v>
      </c>
      <c r="AR41" s="30">
        <f>COUNTIF($F41:$AG41,$C$138)</f>
        <v>0</v>
      </c>
      <c r="AS41" s="30">
        <f>COUNTIF($F41:$AG41,$C$139)</f>
        <v>0</v>
      </c>
      <c r="AT41" s="30">
        <f>COUNTIF($F41:$AG41,$C$140)</f>
        <v>0</v>
      </c>
      <c r="AU41" s="30">
        <f>COUNTIF($F41:$AG41,$C$141)</f>
        <v>0</v>
      </c>
      <c r="AV41" s="30">
        <f>COUNTA(F41:AG41)</f>
        <v>28</v>
      </c>
      <c r="AW41" s="54">
        <f>AH41+AR41</f>
        <v>19</v>
      </c>
      <c r="AX41" s="54" cm="1">
        <f t="array" ref="AX41">IFERROR(
COUNTA(F41:AG41)-MAX(IF(TRIM(F41:AG41)="OD",COLUMN(F41:AG41)-COLUMN(F41)+1)),"")</f>
        <v>1</v>
      </c>
    </row>
    <row r="42" spans="1:50">
      <c r="A42" s="450"/>
      <c r="B42" s="60"/>
      <c r="C42" s="61"/>
      <c r="D42" s="61"/>
      <c r="E42" s="73" t="s">
        <v>34</v>
      </c>
      <c r="F42" s="249"/>
      <c r="G42" s="123"/>
      <c r="H42" s="26"/>
      <c r="I42" s="26"/>
      <c r="J42" s="123"/>
      <c r="K42" s="26"/>
      <c r="L42" s="44">
        <v>3</v>
      </c>
      <c r="M42" s="44"/>
      <c r="N42" s="123"/>
      <c r="O42" s="44"/>
      <c r="P42" s="26"/>
      <c r="Q42" s="26"/>
      <c r="R42" s="26"/>
      <c r="S42" s="26"/>
      <c r="T42" s="26"/>
      <c r="U42" s="26"/>
      <c r="V42" s="26"/>
      <c r="W42" s="26">
        <v>3</v>
      </c>
      <c r="X42" s="26">
        <v>3</v>
      </c>
      <c r="Y42" s="26"/>
      <c r="Z42" s="26">
        <v>3</v>
      </c>
      <c r="AA42" s="25">
        <v>3</v>
      </c>
      <c r="AB42" s="25">
        <v>3</v>
      </c>
      <c r="AC42" s="24">
        <v>3</v>
      </c>
      <c r="AD42" s="24">
        <v>3</v>
      </c>
      <c r="AE42" s="24">
        <v>3</v>
      </c>
      <c r="AF42" s="25"/>
      <c r="AG42" s="25">
        <v>3</v>
      </c>
      <c r="AH42" s="459">
        <f>SUM(F42:AG42)</f>
        <v>30</v>
      </c>
      <c r="AI42" s="445"/>
      <c r="AJ42" s="445"/>
      <c r="AK42" s="445"/>
      <c r="AL42" s="445"/>
      <c r="AM42" s="445"/>
      <c r="AN42" s="445"/>
      <c r="AO42" s="445"/>
      <c r="AP42" s="445"/>
      <c r="AQ42" s="445"/>
      <c r="AR42" s="445"/>
      <c r="AS42" s="445"/>
      <c r="AT42" s="445"/>
      <c r="AU42" s="445"/>
      <c r="AV42" s="479"/>
      <c r="AW42" s="54"/>
    </row>
    <row r="43" spans="1:50">
      <c r="A43" s="449">
        <v>20</v>
      </c>
      <c r="B43" s="67">
        <v>102</v>
      </c>
      <c r="C43" s="56" t="s">
        <v>56</v>
      </c>
      <c r="D43" s="56" t="s">
        <v>31</v>
      </c>
      <c r="E43" s="71" t="s">
        <v>32</v>
      </c>
      <c r="F43" s="123" t="s">
        <v>14</v>
      </c>
      <c r="G43" s="123" t="s">
        <v>23</v>
      </c>
      <c r="H43" s="123" t="s">
        <v>14</v>
      </c>
      <c r="I43" s="123" t="s">
        <v>14</v>
      </c>
      <c r="J43" s="123" t="s">
        <v>14</v>
      </c>
      <c r="K43" s="123" t="s">
        <v>14</v>
      </c>
      <c r="L43" s="123" t="s">
        <v>14</v>
      </c>
      <c r="M43" s="123" t="s">
        <v>14</v>
      </c>
      <c r="N43" s="123" t="s">
        <v>23</v>
      </c>
      <c r="O43" s="123" t="s">
        <v>14</v>
      </c>
      <c r="P43" s="123" t="s">
        <v>14</v>
      </c>
      <c r="Q43" s="123" t="s">
        <v>14</v>
      </c>
      <c r="R43" s="123" t="s">
        <v>14</v>
      </c>
      <c r="S43" s="123" t="s">
        <v>14</v>
      </c>
      <c r="T43" s="123" t="s">
        <v>14</v>
      </c>
      <c r="U43" s="123" t="s">
        <v>14</v>
      </c>
      <c r="V43" s="123" t="s">
        <v>23</v>
      </c>
      <c r="W43" s="123" t="s">
        <v>14</v>
      </c>
      <c r="X43" s="123" t="s">
        <v>14</v>
      </c>
      <c r="Y43" s="123" t="s">
        <v>14</v>
      </c>
      <c r="Z43" s="123" t="s">
        <v>14</v>
      </c>
      <c r="AA43" s="123" t="s">
        <v>14</v>
      </c>
      <c r="AB43" s="123" t="s">
        <v>14</v>
      </c>
      <c r="AC43" s="123" t="s">
        <v>14</v>
      </c>
      <c r="AD43" s="123" t="s">
        <v>14</v>
      </c>
      <c r="AE43" s="24" t="s">
        <v>23</v>
      </c>
      <c r="AF43" s="24" t="s">
        <v>14</v>
      </c>
      <c r="AG43" s="24" t="s">
        <v>14</v>
      </c>
      <c r="AH43" s="30">
        <f>COUNTIF($F43:$AG43,$C$128)</f>
        <v>24</v>
      </c>
      <c r="AI43" s="30">
        <f>COUNTIF($F43:$AG43,$C$129)</f>
        <v>0</v>
      </c>
      <c r="AJ43" s="30">
        <f>COUNTIF($F43:$AG43,$C$130)</f>
        <v>0</v>
      </c>
      <c r="AK43" s="30">
        <f>COUNTIF($F43:$AG43,$C$131)</f>
        <v>0</v>
      </c>
      <c r="AL43" s="30">
        <f>COUNTIF($F43:$AG43,$C$132)</f>
        <v>0</v>
      </c>
      <c r="AM43" s="30">
        <f>COUNTIF($F43:$AG43,$C$133)</f>
        <v>0</v>
      </c>
      <c r="AN43" s="30">
        <f>COUNTIF($F43:$AG43,$C$134)</f>
        <v>0</v>
      </c>
      <c r="AO43" s="7">
        <f>COUNTIF($F43:$AG43,$C$135)</f>
        <v>0</v>
      </c>
      <c r="AP43" s="30">
        <f>COUNTIF($F43:$AG43,$C$136)</f>
        <v>0</v>
      </c>
      <c r="AQ43" s="30">
        <f>COUNTIF($F43:$AG43,$C$137)</f>
        <v>4</v>
      </c>
      <c r="AR43" s="30">
        <f>COUNTIF($F43:$AG43,$C$138)</f>
        <v>0</v>
      </c>
      <c r="AS43" s="30">
        <f>COUNTIF($F43:$AG43,$C$139)</f>
        <v>0</v>
      </c>
      <c r="AT43" s="30">
        <f>COUNTIF($F43:$AG43,$C$140)</f>
        <v>0</v>
      </c>
      <c r="AU43" s="30">
        <f>COUNTIF($F43:$AG43,$C$141)</f>
        <v>0</v>
      </c>
      <c r="AV43" s="30">
        <f>COUNTA(F43:AG43)</f>
        <v>28</v>
      </c>
      <c r="AW43" s="54">
        <f>AH43+AR43</f>
        <v>24</v>
      </c>
      <c r="AX43" s="54" cm="1">
        <f t="array" ref="AX43">IFERROR(
COUNTA(F43:AG43)-MAX(IF(TRIM(F43:AG43)="OD",COLUMN(F43:AG43)-COLUMN(F43)+1)),"")</f>
        <v>2</v>
      </c>
    </row>
    <row r="44" spans="1:50">
      <c r="A44" s="450"/>
      <c r="B44" s="60"/>
      <c r="C44" s="61"/>
      <c r="D44" s="61"/>
      <c r="E44" s="73" t="s">
        <v>34</v>
      </c>
      <c r="F44" s="249"/>
      <c r="G44" s="123"/>
      <c r="H44" s="26">
        <v>2</v>
      </c>
      <c r="I44" s="26"/>
      <c r="J44" s="123"/>
      <c r="K44" s="26"/>
      <c r="L44" s="26"/>
      <c r="M44" s="26"/>
      <c r="N44" s="26"/>
      <c r="O44" s="26"/>
      <c r="P44" s="26">
        <v>2</v>
      </c>
      <c r="Q44" s="26"/>
      <c r="R44" s="26"/>
      <c r="S44" s="26"/>
      <c r="T44" s="26"/>
      <c r="U44" s="26">
        <v>2</v>
      </c>
      <c r="V44" s="26"/>
      <c r="W44" s="26">
        <v>1</v>
      </c>
      <c r="X44" s="26"/>
      <c r="Y44" s="26"/>
      <c r="Z44" s="26"/>
      <c r="AA44" s="25">
        <v>5</v>
      </c>
      <c r="AB44" s="25">
        <v>3</v>
      </c>
      <c r="AC44" s="25">
        <v>3</v>
      </c>
      <c r="AD44" s="25">
        <v>3</v>
      </c>
      <c r="AE44" s="25"/>
      <c r="AF44" s="25">
        <v>3</v>
      </c>
      <c r="AG44" s="25">
        <v>3</v>
      </c>
      <c r="AH44" s="459">
        <f>SUM(F44:AG44)</f>
        <v>27</v>
      </c>
      <c r="AI44" s="445"/>
      <c r="AJ44" s="445"/>
      <c r="AK44" s="445"/>
      <c r="AL44" s="445"/>
      <c r="AM44" s="445"/>
      <c r="AN44" s="445"/>
      <c r="AO44" s="445"/>
      <c r="AP44" s="445"/>
      <c r="AQ44" s="445"/>
      <c r="AR44" s="445"/>
      <c r="AS44" s="445"/>
      <c r="AT44" s="445"/>
      <c r="AU44" s="445"/>
      <c r="AV44" s="479"/>
      <c r="AW44" s="54"/>
    </row>
    <row r="45" spans="1:50">
      <c r="A45" s="449">
        <v>21</v>
      </c>
      <c r="B45" s="67">
        <v>119</v>
      </c>
      <c r="C45" s="56" t="s">
        <v>57</v>
      </c>
      <c r="D45" s="56" t="s">
        <v>31</v>
      </c>
      <c r="E45" s="71" t="s">
        <v>32</v>
      </c>
      <c r="F45" s="123" t="s">
        <v>24</v>
      </c>
      <c r="G45" s="123" t="s">
        <v>14</v>
      </c>
      <c r="H45" s="123" t="s">
        <v>14</v>
      </c>
      <c r="I45" s="123" t="s">
        <v>14</v>
      </c>
      <c r="J45" s="123" t="s">
        <v>14</v>
      </c>
      <c r="K45" s="123" t="s">
        <v>14</v>
      </c>
      <c r="L45" s="123" t="s">
        <v>23</v>
      </c>
      <c r="M45" s="123" t="s">
        <v>14</v>
      </c>
      <c r="N45" s="123" t="s">
        <v>14</v>
      </c>
      <c r="O45" s="123" t="s">
        <v>14</v>
      </c>
      <c r="P45" s="123" t="s">
        <v>14</v>
      </c>
      <c r="Q45" s="123" t="s">
        <v>14</v>
      </c>
      <c r="R45" s="123" t="s">
        <v>14</v>
      </c>
      <c r="S45" s="123" t="s">
        <v>14</v>
      </c>
      <c r="T45" s="123" t="s">
        <v>23</v>
      </c>
      <c r="U45" s="123" t="s">
        <v>14</v>
      </c>
      <c r="V45" s="123" t="s">
        <v>14</v>
      </c>
      <c r="W45" s="123" t="s">
        <v>14</v>
      </c>
      <c r="X45" s="123" t="s">
        <v>14</v>
      </c>
      <c r="Y45" s="123" t="s">
        <v>14</v>
      </c>
      <c r="Z45" s="123" t="s">
        <v>14</v>
      </c>
      <c r="AA45" s="123" t="s">
        <v>14</v>
      </c>
      <c r="AB45" s="123" t="s">
        <v>23</v>
      </c>
      <c r="AC45" s="123" t="s">
        <v>14</v>
      </c>
      <c r="AD45" s="123" t="s">
        <v>14</v>
      </c>
      <c r="AE45" s="123" t="s">
        <v>14</v>
      </c>
      <c r="AF45" s="123" t="s">
        <v>14</v>
      </c>
      <c r="AG45" s="123" t="s">
        <v>14</v>
      </c>
      <c r="AH45" s="30">
        <f>COUNTIF($F45:$AG45,$C$128)</f>
        <v>24</v>
      </c>
      <c r="AI45" s="30">
        <f>COUNTIF($F45:$AG45,$C$129)</f>
        <v>0</v>
      </c>
      <c r="AJ45" s="30">
        <f>COUNTIF($F45:$AG45,$C$130)</f>
        <v>0</v>
      </c>
      <c r="AK45" s="30">
        <f>COUNTIF($F45:$AG45,$C$131)</f>
        <v>0</v>
      </c>
      <c r="AL45" s="30">
        <f>COUNTIF($F45:$AG45,$C$132)</f>
        <v>0</v>
      </c>
      <c r="AM45" s="30">
        <f>COUNTIF($F45:$AG45,$C$133)</f>
        <v>0</v>
      </c>
      <c r="AN45" s="30">
        <f>COUNTIF($F45:$AG45,$C$134)</f>
        <v>0</v>
      </c>
      <c r="AO45" s="30">
        <f>COUNTIF($F45:$AG45,$C$135)</f>
        <v>0</v>
      </c>
      <c r="AP45" s="30">
        <f>COUNTIF($F45:$AG45,$C$136)</f>
        <v>0</v>
      </c>
      <c r="AQ45" s="30">
        <f>COUNTIF($F45:$AG45,$C$137)</f>
        <v>3</v>
      </c>
      <c r="AR45" s="30">
        <f>COUNTIF($F45:$AG45,$C$138)</f>
        <v>1</v>
      </c>
      <c r="AS45" s="30">
        <f>COUNTIF($F45:$AG45,$C$139)</f>
        <v>0</v>
      </c>
      <c r="AT45" s="30">
        <f>COUNTIF($F45:$AG45,$C$140)</f>
        <v>0</v>
      </c>
      <c r="AU45" s="30">
        <f>COUNTIF($F45:$AG45,$C$141)</f>
        <v>0</v>
      </c>
      <c r="AV45" s="30">
        <f>COUNTA(F45:AG45)</f>
        <v>28</v>
      </c>
      <c r="AW45" s="54">
        <f>AH45+AR45</f>
        <v>25</v>
      </c>
      <c r="AX45" s="54" cm="1">
        <f t="array" ref="AX45">IFERROR(
COUNTA(F45:AG45)-MAX(IF(TRIM(F45:AG45)="OD",COLUMN(F45:AG45)-COLUMN(F45)+1)),"")</f>
        <v>5</v>
      </c>
    </row>
    <row r="46" spans="1:50">
      <c r="A46" s="450"/>
      <c r="B46" s="60"/>
      <c r="C46" s="61"/>
      <c r="D46" s="61"/>
      <c r="E46" s="73" t="s">
        <v>34</v>
      </c>
      <c r="F46" s="249"/>
      <c r="G46" s="26">
        <v>1</v>
      </c>
      <c r="H46" s="26">
        <v>2</v>
      </c>
      <c r="I46" s="26">
        <v>3</v>
      </c>
      <c r="J46" s="26">
        <v>4</v>
      </c>
      <c r="K46" s="26">
        <v>1</v>
      </c>
      <c r="L46" s="26"/>
      <c r="M46" s="26">
        <v>4</v>
      </c>
      <c r="N46" s="26"/>
      <c r="O46" s="26">
        <v>3</v>
      </c>
      <c r="P46" s="26"/>
      <c r="Q46" s="26"/>
      <c r="R46" s="26">
        <v>6</v>
      </c>
      <c r="S46" s="26"/>
      <c r="T46" s="26"/>
      <c r="U46" s="26"/>
      <c r="V46" s="26"/>
      <c r="W46" s="26">
        <v>3</v>
      </c>
      <c r="X46" s="26">
        <v>3</v>
      </c>
      <c r="Y46" s="26">
        <v>3</v>
      </c>
      <c r="Z46" s="26">
        <v>3</v>
      </c>
      <c r="AA46" s="25">
        <v>3</v>
      </c>
      <c r="AB46" s="25"/>
      <c r="AC46" s="25">
        <v>3</v>
      </c>
      <c r="AD46" s="25">
        <v>3</v>
      </c>
      <c r="AE46" s="25">
        <v>3</v>
      </c>
      <c r="AF46" s="25">
        <v>3</v>
      </c>
      <c r="AG46" s="25">
        <v>3</v>
      </c>
      <c r="AH46" s="459">
        <f>SUM(F46:AG46)</f>
        <v>54</v>
      </c>
      <c r="AI46" s="445"/>
      <c r="AJ46" s="445"/>
      <c r="AK46" s="445"/>
      <c r="AL46" s="445"/>
      <c r="AM46" s="445"/>
      <c r="AN46" s="445"/>
      <c r="AO46" s="445"/>
      <c r="AP46" s="445"/>
      <c r="AQ46" s="445"/>
      <c r="AR46" s="445"/>
      <c r="AS46" s="445"/>
      <c r="AT46" s="445"/>
      <c r="AU46" s="445"/>
      <c r="AV46" s="479"/>
      <c r="AW46" s="54"/>
    </row>
    <row r="47" spans="1:50">
      <c r="A47" s="449">
        <v>22</v>
      </c>
      <c r="B47" s="67">
        <v>6</v>
      </c>
      <c r="C47" s="56" t="s">
        <v>58</v>
      </c>
      <c r="D47" s="56" t="s">
        <v>31</v>
      </c>
      <c r="E47" s="71" t="s">
        <v>32</v>
      </c>
      <c r="F47" s="123" t="s">
        <v>14</v>
      </c>
      <c r="G47" s="123" t="s">
        <v>14</v>
      </c>
      <c r="H47" s="123" t="s">
        <v>23</v>
      </c>
      <c r="I47" s="123" t="s">
        <v>14</v>
      </c>
      <c r="J47" s="123" t="s">
        <v>14</v>
      </c>
      <c r="K47" s="123" t="s">
        <v>14</v>
      </c>
      <c r="L47" s="123" t="s">
        <v>14</v>
      </c>
      <c r="M47" s="123" t="s">
        <v>14</v>
      </c>
      <c r="N47" s="123" t="s">
        <v>14</v>
      </c>
      <c r="O47" s="123" t="s">
        <v>23</v>
      </c>
      <c r="P47" s="123" t="s">
        <v>14</v>
      </c>
      <c r="Q47" s="123" t="s">
        <v>14</v>
      </c>
      <c r="R47" s="123" t="s">
        <v>14</v>
      </c>
      <c r="S47" s="123" t="s">
        <v>14</v>
      </c>
      <c r="T47" s="123" t="s">
        <v>14</v>
      </c>
      <c r="U47" s="123" t="s">
        <v>14</v>
      </c>
      <c r="V47" s="123" t="s">
        <v>23</v>
      </c>
      <c r="W47" s="123" t="s">
        <v>14</v>
      </c>
      <c r="X47" s="123" t="s">
        <v>14</v>
      </c>
      <c r="Y47" s="123" t="s">
        <v>14</v>
      </c>
      <c r="Z47" s="123" t="s">
        <v>14</v>
      </c>
      <c r="AA47" s="123" t="s">
        <v>14</v>
      </c>
      <c r="AB47" s="123" t="s">
        <v>14</v>
      </c>
      <c r="AC47" s="123" t="s">
        <v>23</v>
      </c>
      <c r="AD47" s="123" t="s">
        <v>14</v>
      </c>
      <c r="AE47" s="123" t="s">
        <v>14</v>
      </c>
      <c r="AF47" s="123" t="s">
        <v>14</v>
      </c>
      <c r="AG47" s="123" t="s">
        <v>14</v>
      </c>
      <c r="AH47" s="30">
        <f>COUNTIF($F47:$AG47,$C$128)</f>
        <v>24</v>
      </c>
      <c r="AI47" s="30">
        <f>COUNTIF($F47:$AG47,$C$129)</f>
        <v>0</v>
      </c>
      <c r="AJ47" s="30">
        <f>COUNTIF($F47:$AG47,$C$130)</f>
        <v>0</v>
      </c>
      <c r="AK47" s="30">
        <f>COUNTIF($F47:$AG47,$C$131)</f>
        <v>0</v>
      </c>
      <c r="AL47" s="30">
        <f>COUNTIF($F47:$AG47,$C$132)</f>
        <v>0</v>
      </c>
      <c r="AM47" s="30">
        <f>COUNTIF($F47:$AG47,$C$133)</f>
        <v>0</v>
      </c>
      <c r="AN47" s="30">
        <f>COUNTIF($F47:$AG47,$C$134)</f>
        <v>0</v>
      </c>
      <c r="AO47" s="7">
        <f>COUNTIF($F47:$AG47,$C$135)</f>
        <v>0</v>
      </c>
      <c r="AP47" s="7">
        <f>COUNTIF($F47:$AG47,$C$136)</f>
        <v>0</v>
      </c>
      <c r="AQ47" s="30">
        <f>COUNTIF($F47:$AG47,$C$137)</f>
        <v>4</v>
      </c>
      <c r="AR47" s="30">
        <f>COUNTIF($F47:$AG47,$C$138)</f>
        <v>0</v>
      </c>
      <c r="AS47" s="30">
        <f>COUNTIF($F47:$AG47,$C$139)</f>
        <v>0</v>
      </c>
      <c r="AT47" s="30">
        <f>COUNTIF($F47:$AG47,$C$140)</f>
        <v>0</v>
      </c>
      <c r="AU47" s="30">
        <f>COUNTIF($F47:$AG47,$C$141)</f>
        <v>0</v>
      </c>
      <c r="AV47" s="30">
        <f>COUNTA(F47:AG47)</f>
        <v>28</v>
      </c>
      <c r="AW47" s="54">
        <f>AH47+AR47</f>
        <v>24</v>
      </c>
      <c r="AX47" s="54" cm="1">
        <f t="array" ref="AX47">IFERROR(
COUNTA(F47:AG47)-MAX(IF(TRIM(F47:AG47)="OD",COLUMN(F47:AG47)-COLUMN(F47)+1)),"")</f>
        <v>4</v>
      </c>
    </row>
    <row r="48" spans="1:50">
      <c r="A48" s="450"/>
      <c r="B48" s="60"/>
      <c r="C48" s="61"/>
      <c r="D48" s="61"/>
      <c r="E48" s="73" t="s">
        <v>34</v>
      </c>
      <c r="F48" s="249"/>
      <c r="G48" s="123"/>
      <c r="H48" s="26"/>
      <c r="I48" s="26"/>
      <c r="J48" s="26"/>
      <c r="K48" s="26"/>
      <c r="L48" s="26">
        <v>1</v>
      </c>
      <c r="M48" s="26">
        <v>1</v>
      </c>
      <c r="N48" s="26"/>
      <c r="O48" s="26"/>
      <c r="P48" s="26">
        <v>5</v>
      </c>
      <c r="Q48" s="26">
        <v>2</v>
      </c>
      <c r="R48" s="26"/>
      <c r="S48" s="26"/>
      <c r="T48" s="26"/>
      <c r="U48" s="26"/>
      <c r="V48" s="26"/>
      <c r="W48" s="26"/>
      <c r="X48" s="26">
        <v>4</v>
      </c>
      <c r="Y48" s="26"/>
      <c r="Z48" s="26">
        <v>4</v>
      </c>
      <c r="AA48" s="25"/>
      <c r="AB48" s="25"/>
      <c r="AC48" s="25"/>
      <c r="AD48" s="25"/>
      <c r="AE48" s="25">
        <v>3</v>
      </c>
      <c r="AF48" s="25"/>
      <c r="AG48" s="25"/>
      <c r="AH48" s="459">
        <f>SUM(F48:AG48)</f>
        <v>20</v>
      </c>
      <c r="AI48" s="445"/>
      <c r="AJ48" s="445"/>
      <c r="AK48" s="445"/>
      <c r="AL48" s="445"/>
      <c r="AM48" s="445"/>
      <c r="AN48" s="445"/>
      <c r="AO48" s="445"/>
      <c r="AP48" s="445"/>
      <c r="AQ48" s="445"/>
      <c r="AR48" s="445"/>
      <c r="AS48" s="445"/>
      <c r="AT48" s="445"/>
      <c r="AU48" s="445"/>
      <c r="AV48" s="479"/>
      <c r="AW48" s="54"/>
    </row>
    <row r="49" spans="1:50">
      <c r="A49" s="449">
        <v>23</v>
      </c>
      <c r="B49" s="67">
        <v>115</v>
      </c>
      <c r="C49" s="56" t="s">
        <v>59</v>
      </c>
      <c r="D49" s="56" t="s">
        <v>31</v>
      </c>
      <c r="E49" s="71" t="s">
        <v>32</v>
      </c>
      <c r="F49" s="123" t="s">
        <v>14</v>
      </c>
      <c r="G49" s="123" t="s">
        <v>14</v>
      </c>
      <c r="H49" s="123" t="s">
        <v>14</v>
      </c>
      <c r="I49" s="123" t="s">
        <v>14</v>
      </c>
      <c r="J49" s="123" t="s">
        <v>14</v>
      </c>
      <c r="K49" s="123" t="s">
        <v>23</v>
      </c>
      <c r="L49" s="123" t="s">
        <v>14</v>
      </c>
      <c r="M49" s="123" t="s">
        <v>14</v>
      </c>
      <c r="N49" s="123" t="s">
        <v>14</v>
      </c>
      <c r="O49" s="123" t="s">
        <v>14</v>
      </c>
      <c r="P49" s="123" t="s">
        <v>14</v>
      </c>
      <c r="Q49" s="123" t="s">
        <v>14</v>
      </c>
      <c r="R49" s="123" t="s">
        <v>23</v>
      </c>
      <c r="S49" s="123" t="s">
        <v>14</v>
      </c>
      <c r="T49" s="123" t="s">
        <v>14</v>
      </c>
      <c r="U49" s="123" t="s">
        <v>14</v>
      </c>
      <c r="V49" s="123" t="s">
        <v>14</v>
      </c>
      <c r="W49" s="123" t="s">
        <v>14</v>
      </c>
      <c r="X49" s="123" t="s">
        <v>14</v>
      </c>
      <c r="Y49" s="123" t="s">
        <v>23</v>
      </c>
      <c r="Z49" s="123" t="s">
        <v>14</v>
      </c>
      <c r="AA49" s="123" t="s">
        <v>14</v>
      </c>
      <c r="AB49" s="123" t="s">
        <v>14</v>
      </c>
      <c r="AC49" s="123" t="s">
        <v>14</v>
      </c>
      <c r="AD49" s="123" t="s">
        <v>14</v>
      </c>
      <c r="AE49" s="123" t="s">
        <v>14</v>
      </c>
      <c r="AF49" s="123" t="s">
        <v>14</v>
      </c>
      <c r="AG49" s="123" t="s">
        <v>23</v>
      </c>
      <c r="AH49" s="30">
        <f>COUNTIF($F49:$AG49,$C$128)</f>
        <v>24</v>
      </c>
      <c r="AI49" s="30">
        <f>COUNTIF($F49:$AG49,$C$129)</f>
        <v>0</v>
      </c>
      <c r="AJ49" s="30">
        <f>COUNTIF($F49:$AG49,$C$130)</f>
        <v>0</v>
      </c>
      <c r="AK49" s="30">
        <f>COUNTIF($F49:$AG49,$C$131)</f>
        <v>0</v>
      </c>
      <c r="AL49" s="30">
        <f>COUNTIF($F49:$AG49,$C$132)</f>
        <v>0</v>
      </c>
      <c r="AM49" s="30">
        <f>COUNTIF($F49:$AG49,$C$133)</f>
        <v>0</v>
      </c>
      <c r="AN49" s="30">
        <f>COUNTIF($F49:$AG49,$C$134)</f>
        <v>0</v>
      </c>
      <c r="AO49" s="30">
        <f>COUNTIF($F49:$AG49,$C$135)</f>
        <v>0</v>
      </c>
      <c r="AP49" s="30">
        <f>COUNTIF($F49:$AG49,$C$136)</f>
        <v>0</v>
      </c>
      <c r="AQ49" s="30">
        <f>COUNTIF($F49:$AG49,$C$137)</f>
        <v>4</v>
      </c>
      <c r="AR49" s="30">
        <f>COUNTIF($F49:$AG49,$C$138)</f>
        <v>0</v>
      </c>
      <c r="AS49" s="30">
        <f>COUNTIF($F49:$AG49,$C$139)</f>
        <v>0</v>
      </c>
      <c r="AT49" s="30">
        <f>COUNTIF($F49:$AG49,$C$140)</f>
        <v>0</v>
      </c>
      <c r="AU49" s="30">
        <f>COUNTIF($F49:$AG49,$C$141)</f>
        <v>0</v>
      </c>
      <c r="AV49" s="30">
        <f>COUNTA(F49:AG49)</f>
        <v>28</v>
      </c>
      <c r="AW49" s="54">
        <f>AH49+AR49</f>
        <v>24</v>
      </c>
      <c r="AX49" s="54" cm="1">
        <f t="array" ref="AX49">IFERROR(
COUNTA(F49:AG49)-MAX(IF(TRIM(F49:AG49)="OD",COLUMN(F49:AG49)-COLUMN(F49)+1)),"")</f>
        <v>0</v>
      </c>
    </row>
    <row r="50" spans="1:50">
      <c r="A50" s="450"/>
      <c r="B50" s="60"/>
      <c r="C50" s="61"/>
      <c r="D50" s="61"/>
      <c r="E50" s="73" t="s">
        <v>34</v>
      </c>
      <c r="F50" s="249">
        <v>3</v>
      </c>
      <c r="G50" s="123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>
        <v>1</v>
      </c>
      <c r="T50" s="26"/>
      <c r="U50" s="26"/>
      <c r="V50" s="26"/>
      <c r="W50" s="26">
        <v>3</v>
      </c>
      <c r="X50" s="26">
        <v>3</v>
      </c>
      <c r="Y50" s="26"/>
      <c r="Z50" s="26">
        <v>3</v>
      </c>
      <c r="AA50" s="25">
        <v>3</v>
      </c>
      <c r="AB50" s="25">
        <v>3</v>
      </c>
      <c r="AC50" s="24">
        <v>3</v>
      </c>
      <c r="AD50" s="24">
        <v>5</v>
      </c>
      <c r="AE50" s="24">
        <v>3</v>
      </c>
      <c r="AF50" s="25">
        <v>4</v>
      </c>
      <c r="AG50" s="25"/>
      <c r="AH50" s="459">
        <f>SUM(F50:AG50)</f>
        <v>34</v>
      </c>
      <c r="AI50" s="445"/>
      <c r="AJ50" s="445"/>
      <c r="AK50" s="445"/>
      <c r="AL50" s="445"/>
      <c r="AM50" s="445"/>
      <c r="AN50" s="445"/>
      <c r="AO50" s="445"/>
      <c r="AP50" s="445"/>
      <c r="AQ50" s="445"/>
      <c r="AR50" s="445"/>
      <c r="AS50" s="445"/>
      <c r="AT50" s="445"/>
      <c r="AU50" s="445"/>
      <c r="AV50" s="479"/>
      <c r="AW50" s="54"/>
    </row>
    <row r="51" spans="1:50">
      <c r="A51" s="449">
        <v>24</v>
      </c>
      <c r="B51" s="67">
        <v>64</v>
      </c>
      <c r="C51" s="56" t="s">
        <v>60</v>
      </c>
      <c r="D51" s="56" t="s">
        <v>31</v>
      </c>
      <c r="E51" s="71" t="s">
        <v>32</v>
      </c>
      <c r="F51" s="123" t="s">
        <v>23</v>
      </c>
      <c r="G51" s="123" t="s">
        <v>14</v>
      </c>
      <c r="H51" s="123" t="s">
        <v>14</v>
      </c>
      <c r="I51" s="123" t="s">
        <v>14</v>
      </c>
      <c r="J51" s="123" t="s">
        <v>14</v>
      </c>
      <c r="K51" s="123" t="s">
        <v>14</v>
      </c>
      <c r="L51" s="123" t="s">
        <v>14</v>
      </c>
      <c r="M51" s="123" t="s">
        <v>23</v>
      </c>
      <c r="N51" s="123" t="s">
        <v>14</v>
      </c>
      <c r="O51" s="123" t="s">
        <v>14</v>
      </c>
      <c r="P51" s="123" t="s">
        <v>14</v>
      </c>
      <c r="Q51" s="123" t="s">
        <v>14</v>
      </c>
      <c r="R51" s="123" t="s">
        <v>14</v>
      </c>
      <c r="S51" s="123" t="s">
        <v>14</v>
      </c>
      <c r="T51" s="123" t="s">
        <v>23</v>
      </c>
      <c r="U51" s="123" t="s">
        <v>14</v>
      </c>
      <c r="V51" s="123" t="s">
        <v>19</v>
      </c>
      <c r="W51" s="123" t="s">
        <v>19</v>
      </c>
      <c r="X51" s="123" t="s">
        <v>14</v>
      </c>
      <c r="Y51" s="123" t="s">
        <v>14</v>
      </c>
      <c r="Z51" s="123" t="s">
        <v>14</v>
      </c>
      <c r="AA51" s="123" t="s">
        <v>14</v>
      </c>
      <c r="AB51" s="123" t="s">
        <v>14</v>
      </c>
      <c r="AC51" s="123" t="s">
        <v>14</v>
      </c>
      <c r="AD51" s="123" t="s">
        <v>23</v>
      </c>
      <c r="AE51" s="123" t="s">
        <v>14</v>
      </c>
      <c r="AF51" s="123" t="s">
        <v>14</v>
      </c>
      <c r="AG51" s="123" t="s">
        <v>14</v>
      </c>
      <c r="AH51" s="30">
        <f>COUNTIF($F51:$AG51,$C$128)</f>
        <v>22</v>
      </c>
      <c r="AI51" s="30">
        <f>COUNTIF($F51:$AG51,$C$129)</f>
        <v>0</v>
      </c>
      <c r="AJ51" s="30">
        <f>COUNTIF($F51:$AG51,$C$130)</f>
        <v>0</v>
      </c>
      <c r="AK51" s="30">
        <f>COUNTIF($F51:$AG51,$C$131)</f>
        <v>0</v>
      </c>
      <c r="AL51" s="30">
        <f>COUNTIF($F51:$AG51,$C$132)</f>
        <v>0</v>
      </c>
      <c r="AM51" s="30">
        <f>COUNTIF($F51:$AG51,$C$133)</f>
        <v>2</v>
      </c>
      <c r="AN51" s="30">
        <f>COUNTIF($F51:$AG51,$C$134)</f>
        <v>0</v>
      </c>
      <c r="AO51" s="30">
        <f>COUNTIF($F51:$AG51,$C$135)</f>
        <v>0</v>
      </c>
      <c r="AP51" s="7">
        <f>COUNTIF($F51:$AG51,$C$136)</f>
        <v>0</v>
      </c>
      <c r="AQ51" s="30">
        <f>COUNTIF($F51:$AG51,$C$137)</f>
        <v>4</v>
      </c>
      <c r="AR51" s="30">
        <f>COUNTIF($F51:$AG51,$C$138)</f>
        <v>0</v>
      </c>
      <c r="AS51" s="30">
        <f>COUNTIF($F51:$AG51,$C$139)</f>
        <v>0</v>
      </c>
      <c r="AT51" s="30">
        <f>COUNTIF($F51:$AG51,$C$140)</f>
        <v>0</v>
      </c>
      <c r="AU51" s="30">
        <f>COUNTIF($F51:$AG51,$C$141)</f>
        <v>0</v>
      </c>
      <c r="AV51" s="30">
        <f>COUNTA(F51:AG51)</f>
        <v>28</v>
      </c>
      <c r="AW51" s="54">
        <f>AH51+AR51</f>
        <v>22</v>
      </c>
      <c r="AX51" s="54" cm="1">
        <f t="array" ref="AX51">IFERROR(
COUNTA(F51:AG51)-MAX(IF(TRIM(F51:AG51)="OD",COLUMN(F51:AG51)-COLUMN(F51)+1)),"")</f>
        <v>3</v>
      </c>
    </row>
    <row r="52" spans="1:50">
      <c r="A52" s="450"/>
      <c r="B52" s="60"/>
      <c r="C52" s="61"/>
      <c r="D52" s="61"/>
      <c r="E52" s="73" t="s">
        <v>34</v>
      </c>
      <c r="F52" s="245"/>
      <c r="G52" s="123">
        <v>3</v>
      </c>
      <c r="H52" s="26"/>
      <c r="I52" s="26"/>
      <c r="J52" s="123"/>
      <c r="K52" s="26"/>
      <c r="L52" s="44"/>
      <c r="M52" s="44"/>
      <c r="N52" s="123"/>
      <c r="O52" s="44"/>
      <c r="P52" s="26"/>
      <c r="Q52" s="26">
        <v>1</v>
      </c>
      <c r="R52" s="26"/>
      <c r="S52" s="26"/>
      <c r="T52" s="26"/>
      <c r="U52" s="26"/>
      <c r="V52" s="26"/>
      <c r="W52" s="26"/>
      <c r="X52" s="26">
        <v>3</v>
      </c>
      <c r="Y52" s="26">
        <v>3</v>
      </c>
      <c r="Z52" s="26">
        <v>3</v>
      </c>
      <c r="AA52" s="25">
        <v>3</v>
      </c>
      <c r="AB52" s="25">
        <v>3</v>
      </c>
      <c r="AC52" s="25">
        <v>3</v>
      </c>
      <c r="AD52" s="25"/>
      <c r="AE52" s="25">
        <v>3</v>
      </c>
      <c r="AF52" s="25">
        <v>3</v>
      </c>
      <c r="AG52" s="25">
        <v>3</v>
      </c>
      <c r="AH52" s="459">
        <f>SUM(F52:AG52)</f>
        <v>31</v>
      </c>
      <c r="AI52" s="445"/>
      <c r="AJ52" s="445"/>
      <c r="AK52" s="445"/>
      <c r="AL52" s="445"/>
      <c r="AM52" s="445"/>
      <c r="AN52" s="445"/>
      <c r="AO52" s="445"/>
      <c r="AP52" s="445"/>
      <c r="AQ52" s="445"/>
      <c r="AR52" s="445"/>
      <c r="AS52" s="445"/>
      <c r="AT52" s="445"/>
      <c r="AU52" s="445"/>
      <c r="AV52" s="479"/>
      <c r="AW52" s="54"/>
    </row>
    <row r="53" spans="1:50">
      <c r="A53" s="449">
        <v>25</v>
      </c>
      <c r="B53" s="67">
        <v>65</v>
      </c>
      <c r="C53" s="56" t="s">
        <v>61</v>
      </c>
      <c r="D53" s="56" t="s">
        <v>31</v>
      </c>
      <c r="E53" s="71" t="s">
        <v>32</v>
      </c>
      <c r="F53" s="123" t="s">
        <v>23</v>
      </c>
      <c r="G53" s="123" t="s">
        <v>14</v>
      </c>
      <c r="H53" s="123" t="s">
        <v>14</v>
      </c>
      <c r="I53" s="123" t="s">
        <v>14</v>
      </c>
      <c r="J53" s="123" t="s">
        <v>14</v>
      </c>
      <c r="K53" s="123" t="s">
        <v>14</v>
      </c>
      <c r="L53" s="123" t="s">
        <v>14</v>
      </c>
      <c r="M53" s="123" t="s">
        <v>23</v>
      </c>
      <c r="N53" s="123" t="s">
        <v>14</v>
      </c>
      <c r="O53" s="123" t="s">
        <v>14</v>
      </c>
      <c r="P53" s="123" t="s">
        <v>14</v>
      </c>
      <c r="Q53" s="123" t="s">
        <v>14</v>
      </c>
      <c r="R53" s="123" t="s">
        <v>14</v>
      </c>
      <c r="S53" s="123" t="s">
        <v>14</v>
      </c>
      <c r="T53" s="123" t="s">
        <v>23</v>
      </c>
      <c r="U53" s="123" t="s">
        <v>14</v>
      </c>
      <c r="V53" s="123" t="s">
        <v>14</v>
      </c>
      <c r="W53" s="123" t="s">
        <v>14</v>
      </c>
      <c r="X53" s="123" t="s">
        <v>14</v>
      </c>
      <c r="Y53" s="123" t="s">
        <v>14</v>
      </c>
      <c r="Z53" s="123" t="s">
        <v>14</v>
      </c>
      <c r="AA53" s="123" t="s">
        <v>14</v>
      </c>
      <c r="AB53" s="123" t="s">
        <v>23</v>
      </c>
      <c r="AC53" s="123" t="s">
        <v>14</v>
      </c>
      <c r="AD53" s="123" t="s">
        <v>14</v>
      </c>
      <c r="AE53" s="123" t="s">
        <v>14</v>
      </c>
      <c r="AF53" s="123" t="s">
        <v>14</v>
      </c>
      <c r="AG53" s="123" t="s">
        <v>14</v>
      </c>
      <c r="AH53" s="30">
        <f>COUNTIF($F53:$AG53,$C$128)</f>
        <v>24</v>
      </c>
      <c r="AI53" s="30">
        <f>COUNTIF($F53:$AG53,$C$129)</f>
        <v>0</v>
      </c>
      <c r="AJ53" s="30">
        <f>COUNTIF($F53:$AG53,$C$130)</f>
        <v>0</v>
      </c>
      <c r="AK53" s="30">
        <f>COUNTIF($F53:$AG53,$C$131)</f>
        <v>0</v>
      </c>
      <c r="AL53" s="30">
        <f>COUNTIF($F53:$AG53,$C$132)</f>
        <v>0</v>
      </c>
      <c r="AM53" s="30">
        <f>COUNTIF($F53:$AG53,$C$133)</f>
        <v>0</v>
      </c>
      <c r="AN53" s="30">
        <f>COUNTIF($F53:$AG53,$C$134)</f>
        <v>0</v>
      </c>
      <c r="AO53" s="30">
        <f>COUNTIF($F53:$AG53,$C$135)</f>
        <v>0</v>
      </c>
      <c r="AP53" s="30">
        <f>COUNTIF($F53:$AG53,$C$136)</f>
        <v>0</v>
      </c>
      <c r="AQ53" s="30">
        <f>COUNTIF($F53:$AG53,$C$137)</f>
        <v>4</v>
      </c>
      <c r="AR53" s="30">
        <f>COUNTIF($F53:$AG53,$C$138)</f>
        <v>0</v>
      </c>
      <c r="AS53" s="30">
        <f>COUNTIF($F53:$AG53,$C$139)</f>
        <v>0</v>
      </c>
      <c r="AT53" s="30">
        <f>COUNTIF($F53:$AG53,$C$140)</f>
        <v>0</v>
      </c>
      <c r="AU53" s="30">
        <f>COUNTIF($F53:$AG53,$C$141)</f>
        <v>0</v>
      </c>
      <c r="AV53" s="30">
        <f>COUNTA(F53:AG53)</f>
        <v>28</v>
      </c>
      <c r="AW53" s="54">
        <f>AH53+AR53</f>
        <v>24</v>
      </c>
      <c r="AX53" s="54" cm="1">
        <f t="array" ref="AX53">IFERROR(
COUNTA(F53:AG53)-MAX(IF(TRIM(F53:AG53)="OD",COLUMN(F53:AG53)-COLUMN(F53)+1)),"")</f>
        <v>5</v>
      </c>
    </row>
    <row r="54" spans="1:50">
      <c r="A54" s="450"/>
      <c r="B54" s="60"/>
      <c r="C54" s="61"/>
      <c r="D54" s="61"/>
      <c r="E54" s="73" t="s">
        <v>34</v>
      </c>
      <c r="F54" s="242"/>
      <c r="G54" s="123">
        <v>6</v>
      </c>
      <c r="H54" s="26"/>
      <c r="I54" s="26"/>
      <c r="J54" s="123"/>
      <c r="K54" s="26"/>
      <c r="L54" s="44"/>
      <c r="M54" s="44"/>
      <c r="N54" s="123"/>
      <c r="O54" s="44"/>
      <c r="P54" s="26"/>
      <c r="Q54" s="26"/>
      <c r="R54" s="26"/>
      <c r="S54" s="26"/>
      <c r="T54" s="26"/>
      <c r="U54" s="26"/>
      <c r="V54" s="26"/>
      <c r="W54" s="26">
        <v>3</v>
      </c>
      <c r="X54" s="26">
        <v>3</v>
      </c>
      <c r="Y54" s="26">
        <v>4</v>
      </c>
      <c r="Z54" s="26">
        <v>5</v>
      </c>
      <c r="AA54" s="25">
        <v>3</v>
      </c>
      <c r="AB54" s="25"/>
      <c r="AC54" s="24">
        <v>3</v>
      </c>
      <c r="AD54" s="24">
        <v>3</v>
      </c>
      <c r="AE54" s="24">
        <v>3</v>
      </c>
      <c r="AF54" s="25">
        <v>3</v>
      </c>
      <c r="AG54" s="25">
        <v>3</v>
      </c>
      <c r="AH54" s="459">
        <f>SUM(F54:AG54)</f>
        <v>39</v>
      </c>
      <c r="AI54" s="445"/>
      <c r="AJ54" s="445"/>
      <c r="AK54" s="445"/>
      <c r="AL54" s="445"/>
      <c r="AM54" s="445"/>
      <c r="AN54" s="445"/>
      <c r="AO54" s="445"/>
      <c r="AP54" s="445"/>
      <c r="AQ54" s="445"/>
      <c r="AR54" s="445"/>
      <c r="AS54" s="445"/>
      <c r="AT54" s="445"/>
      <c r="AU54" s="445"/>
      <c r="AV54" s="479"/>
      <c r="AW54" s="54"/>
    </row>
    <row r="55" spans="1:50">
      <c r="A55" s="449">
        <v>26</v>
      </c>
      <c r="B55" s="67">
        <v>123</v>
      </c>
      <c r="C55" s="56" t="s">
        <v>62</v>
      </c>
      <c r="D55" s="56" t="s">
        <v>31</v>
      </c>
      <c r="E55" s="71" t="s">
        <v>32</v>
      </c>
      <c r="F55" s="123" t="s">
        <v>14</v>
      </c>
      <c r="G55" s="123" t="s">
        <v>14</v>
      </c>
      <c r="H55" s="123" t="s">
        <v>23</v>
      </c>
      <c r="I55" s="123" t="s">
        <v>14</v>
      </c>
      <c r="J55" s="123" t="s">
        <v>14</v>
      </c>
      <c r="K55" s="123" t="s">
        <v>14</v>
      </c>
      <c r="L55" s="123" t="s">
        <v>14</v>
      </c>
      <c r="M55" s="123" t="s">
        <v>14</v>
      </c>
      <c r="N55" s="123" t="s">
        <v>14</v>
      </c>
      <c r="O55" s="123" t="s">
        <v>14</v>
      </c>
      <c r="P55" s="123" t="s">
        <v>23</v>
      </c>
      <c r="Q55" s="123" t="s">
        <v>14</v>
      </c>
      <c r="R55" s="123" t="s">
        <v>14</v>
      </c>
      <c r="S55" s="123" t="s">
        <v>14</v>
      </c>
      <c r="T55" s="123" t="s">
        <v>14</v>
      </c>
      <c r="U55" s="123" t="s">
        <v>14</v>
      </c>
      <c r="V55" s="123" t="s">
        <v>14</v>
      </c>
      <c r="W55" s="123" t="s">
        <v>14</v>
      </c>
      <c r="X55" s="123" t="s">
        <v>23</v>
      </c>
      <c r="Y55" s="123" t="s">
        <v>14</v>
      </c>
      <c r="Z55" s="123" t="s">
        <v>14</v>
      </c>
      <c r="AA55" s="123" t="s">
        <v>14</v>
      </c>
      <c r="AB55" s="123" t="s">
        <v>14</v>
      </c>
      <c r="AC55" s="123" t="s">
        <v>23</v>
      </c>
      <c r="AD55" s="123" t="s">
        <v>14</v>
      </c>
      <c r="AE55" s="123" t="s">
        <v>14</v>
      </c>
      <c r="AF55" s="123" t="s">
        <v>14</v>
      </c>
      <c r="AG55" s="123" t="s">
        <v>14</v>
      </c>
      <c r="AH55" s="30">
        <f>COUNTIF($F55:$AG55,$C$128)</f>
        <v>24</v>
      </c>
      <c r="AI55" s="30">
        <f>COUNTIF($F55:$AG55,$C$129)</f>
        <v>0</v>
      </c>
      <c r="AJ55" s="30">
        <f>COUNTIF($F55:$AG55,$C$130)</f>
        <v>0</v>
      </c>
      <c r="AK55" s="30">
        <f>COUNTIF($F55:$AG55,$C$131)</f>
        <v>0</v>
      </c>
      <c r="AL55" s="30">
        <f>COUNTIF($F55:$AG55,$C$132)</f>
        <v>0</v>
      </c>
      <c r="AM55" s="30">
        <f>COUNTIF($F55:$AG55,$C$133)</f>
        <v>0</v>
      </c>
      <c r="AN55" s="30">
        <f>COUNTIF($F55:$AG55,$C$134)</f>
        <v>0</v>
      </c>
      <c r="AO55" s="30">
        <f>COUNTIF($F55:$AG55,$C$135)</f>
        <v>0</v>
      </c>
      <c r="AP55" s="30">
        <f>COUNTIF($F55:$AG55,$C$136)</f>
        <v>0</v>
      </c>
      <c r="AQ55" s="30">
        <f>COUNTIF($F55:$AG55,$C$137)</f>
        <v>4</v>
      </c>
      <c r="AR55" s="30">
        <f>COUNTIF($F55:$AG55,$C$138)</f>
        <v>0</v>
      </c>
      <c r="AS55" s="30">
        <f>COUNTIF($F55:$AG55,$C$139)</f>
        <v>0</v>
      </c>
      <c r="AT55" s="30">
        <f>COUNTIF($F55:$AG55,$C$140)</f>
        <v>0</v>
      </c>
      <c r="AU55" s="30">
        <f>COUNTIF($F55:$AG55,$C$141)</f>
        <v>0</v>
      </c>
      <c r="AV55" s="30">
        <f>COUNTA(F55:AG55)</f>
        <v>28</v>
      </c>
      <c r="AW55" s="54">
        <f>AH55+AR55</f>
        <v>24</v>
      </c>
      <c r="AX55" s="54" cm="1">
        <f t="array" ref="AX55">IFERROR(
COUNTA(F55:AG55)-MAX(IF(TRIM(F55:AG55)="OD",COLUMN(F55:AG55)-COLUMN(F55)+1)),"")</f>
        <v>4</v>
      </c>
    </row>
    <row r="56" spans="1:50">
      <c r="A56" s="450"/>
      <c r="B56" s="60"/>
      <c r="C56" s="61"/>
      <c r="D56" s="61"/>
      <c r="E56" s="73" t="s">
        <v>34</v>
      </c>
      <c r="F56" s="249"/>
      <c r="G56" s="123"/>
      <c r="H56" s="26"/>
      <c r="I56" s="26"/>
      <c r="J56" s="123"/>
      <c r="K56" s="26"/>
      <c r="L56" s="26">
        <v>1</v>
      </c>
      <c r="M56" s="26"/>
      <c r="N56" s="26"/>
      <c r="O56" s="26"/>
      <c r="P56" s="26"/>
      <c r="Q56" s="26"/>
      <c r="R56" s="26"/>
      <c r="S56" s="26">
        <v>2</v>
      </c>
      <c r="T56" s="26"/>
      <c r="U56" s="26"/>
      <c r="V56" s="26"/>
      <c r="W56" s="26">
        <v>3</v>
      </c>
      <c r="X56" s="26"/>
      <c r="Y56" s="26">
        <v>3</v>
      </c>
      <c r="Z56" s="26">
        <v>3</v>
      </c>
      <c r="AA56" s="25">
        <v>3</v>
      </c>
      <c r="AB56" s="25">
        <v>4</v>
      </c>
      <c r="AC56" s="25"/>
      <c r="AD56" s="25">
        <v>3</v>
      </c>
      <c r="AE56" s="25">
        <v>3</v>
      </c>
      <c r="AF56" s="25">
        <v>3</v>
      </c>
      <c r="AG56" s="25">
        <v>3</v>
      </c>
      <c r="AH56" s="459">
        <f>SUM(F56:AG56)</f>
        <v>31</v>
      </c>
      <c r="AI56" s="445"/>
      <c r="AJ56" s="445"/>
      <c r="AK56" s="445"/>
      <c r="AL56" s="445"/>
      <c r="AM56" s="445"/>
      <c r="AN56" s="445"/>
      <c r="AO56" s="445"/>
      <c r="AP56" s="445"/>
      <c r="AQ56" s="445"/>
      <c r="AR56" s="445"/>
      <c r="AS56" s="445"/>
      <c r="AT56" s="445"/>
      <c r="AU56" s="445"/>
      <c r="AV56" s="479"/>
      <c r="AW56" s="54"/>
    </row>
    <row r="57" spans="1:50">
      <c r="A57" s="449">
        <v>27</v>
      </c>
      <c r="B57" s="67">
        <v>60</v>
      </c>
      <c r="C57" s="56" t="s">
        <v>63</v>
      </c>
      <c r="D57" s="56" t="s">
        <v>31</v>
      </c>
      <c r="E57" s="71" t="s">
        <v>32</v>
      </c>
      <c r="F57" s="123" t="s">
        <v>24</v>
      </c>
      <c r="G57" s="123" t="s">
        <v>14</v>
      </c>
      <c r="H57" s="123" t="s">
        <v>14</v>
      </c>
      <c r="I57" s="123" t="s">
        <v>14</v>
      </c>
      <c r="J57" s="123" t="s">
        <v>14</v>
      </c>
      <c r="K57" s="123" t="s">
        <v>14</v>
      </c>
      <c r="L57" s="123" t="s">
        <v>14</v>
      </c>
      <c r="M57" s="123" t="s">
        <v>23</v>
      </c>
      <c r="N57" s="123" t="s">
        <v>14</v>
      </c>
      <c r="O57" s="123" t="s">
        <v>14</v>
      </c>
      <c r="P57" s="123" t="s">
        <v>14</v>
      </c>
      <c r="Q57" s="123" t="s">
        <v>14</v>
      </c>
      <c r="R57" s="123" t="s">
        <v>14</v>
      </c>
      <c r="S57" s="123" t="s">
        <v>14</v>
      </c>
      <c r="T57" s="123" t="s">
        <v>23</v>
      </c>
      <c r="U57" s="123" t="s">
        <v>14</v>
      </c>
      <c r="V57" s="123" t="s">
        <v>14</v>
      </c>
      <c r="W57" s="123" t="s">
        <v>14</v>
      </c>
      <c r="X57" s="123" t="s">
        <v>14</v>
      </c>
      <c r="Y57" s="123" t="s">
        <v>14</v>
      </c>
      <c r="Z57" s="123" t="s">
        <v>14</v>
      </c>
      <c r="AA57" s="123" t="s">
        <v>14</v>
      </c>
      <c r="AB57" s="123" t="s">
        <v>23</v>
      </c>
      <c r="AC57" s="123" t="s">
        <v>14</v>
      </c>
      <c r="AD57" s="123" t="s">
        <v>14</v>
      </c>
      <c r="AE57" s="123" t="s">
        <v>14</v>
      </c>
      <c r="AF57" s="123" t="s">
        <v>14</v>
      </c>
      <c r="AG57" s="123" t="s">
        <v>14</v>
      </c>
      <c r="AH57" s="30">
        <f>COUNTIF($F57:$AG57,$C$128)</f>
        <v>24</v>
      </c>
      <c r="AI57" s="30">
        <f>COUNTIF($F57:$AG57,$C$129)</f>
        <v>0</v>
      </c>
      <c r="AJ57" s="30">
        <f>COUNTIF($F57:$AG57,$C$130)</f>
        <v>0</v>
      </c>
      <c r="AK57" s="30">
        <f>COUNTIF($F57:$AG57,$C$131)</f>
        <v>0</v>
      </c>
      <c r="AL57" s="30">
        <f>COUNTIF($F57:$AG57,$C$132)</f>
        <v>0</v>
      </c>
      <c r="AM57" s="30">
        <f>COUNTIF($F57:$AG57,$C$133)</f>
        <v>0</v>
      </c>
      <c r="AN57" s="30">
        <f>COUNTIF($F57:$AG57,$C$134)</f>
        <v>0</v>
      </c>
      <c r="AO57" s="7">
        <f>COUNTIF($F57:$AG57,$C$135)</f>
        <v>0</v>
      </c>
      <c r="AP57" s="7">
        <f>COUNTIF($F57:$AG57,$C$136)</f>
        <v>0</v>
      </c>
      <c r="AQ57" s="30">
        <f>COUNTIF($F57:$AG57,$C$137)</f>
        <v>3</v>
      </c>
      <c r="AR57" s="30">
        <f>COUNTIF($F57:$AG57,$C$138)</f>
        <v>1</v>
      </c>
      <c r="AS57" s="30">
        <f>COUNTIF($F57:$AG57,$C$139)</f>
        <v>0</v>
      </c>
      <c r="AT57" s="30">
        <f>COUNTIF($F57:$AG57,$C$140)</f>
        <v>0</v>
      </c>
      <c r="AU57" s="30">
        <f>COUNTIF($F57:$AG57,$C$141)</f>
        <v>0</v>
      </c>
      <c r="AV57" s="30">
        <f>COUNTA(F57:AG57)</f>
        <v>28</v>
      </c>
      <c r="AW57" s="54">
        <f>AH57+AR57</f>
        <v>25</v>
      </c>
      <c r="AX57" s="54" cm="1">
        <f t="array" ref="AX57">IFERROR(
COUNTA(F57:AG57)-MAX(IF(TRIM(F57:AG57)="OD",COLUMN(F57:AG57)-COLUMN(F57)+1)),"")</f>
        <v>5</v>
      </c>
    </row>
    <row r="58" spans="1:50">
      <c r="A58" s="450"/>
      <c r="B58" s="60"/>
      <c r="C58" s="61"/>
      <c r="D58" s="61"/>
      <c r="E58" s="73" t="s">
        <v>34</v>
      </c>
      <c r="F58" s="249"/>
      <c r="G58" s="26">
        <v>1</v>
      </c>
      <c r="H58" s="26">
        <v>1</v>
      </c>
      <c r="I58" s="26">
        <v>5</v>
      </c>
      <c r="J58" s="26"/>
      <c r="K58" s="26">
        <v>2</v>
      </c>
      <c r="L58" s="26">
        <v>4</v>
      </c>
      <c r="M58" s="26"/>
      <c r="N58" s="26">
        <v>3</v>
      </c>
      <c r="O58" s="26">
        <v>1</v>
      </c>
      <c r="P58" s="26">
        <v>3</v>
      </c>
      <c r="Q58" s="26">
        <v>2</v>
      </c>
      <c r="R58" s="26">
        <v>1</v>
      </c>
      <c r="S58" s="26">
        <v>1</v>
      </c>
      <c r="T58" s="26"/>
      <c r="U58" s="26">
        <v>1</v>
      </c>
      <c r="V58" s="26">
        <v>2</v>
      </c>
      <c r="W58" s="26">
        <v>5</v>
      </c>
      <c r="X58" s="26">
        <v>4</v>
      </c>
      <c r="Y58" s="26">
        <v>5</v>
      </c>
      <c r="Z58" s="26">
        <v>5</v>
      </c>
      <c r="AA58" s="25">
        <v>5</v>
      </c>
      <c r="AB58" s="25"/>
      <c r="AC58" s="25">
        <v>3</v>
      </c>
      <c r="AD58" s="25">
        <v>3</v>
      </c>
      <c r="AE58" s="25">
        <v>2</v>
      </c>
      <c r="AF58" s="25">
        <v>5</v>
      </c>
      <c r="AG58" s="25">
        <v>3</v>
      </c>
      <c r="AH58" s="459">
        <f>SUM(F58:AG58)</f>
        <v>67</v>
      </c>
      <c r="AI58" s="445"/>
      <c r="AJ58" s="445"/>
      <c r="AK58" s="445"/>
      <c r="AL58" s="445"/>
      <c r="AM58" s="445"/>
      <c r="AN58" s="445"/>
      <c r="AO58" s="445"/>
      <c r="AP58" s="445"/>
      <c r="AQ58" s="445"/>
      <c r="AR58" s="445"/>
      <c r="AS58" s="445"/>
      <c r="AT58" s="445"/>
      <c r="AU58" s="445"/>
      <c r="AV58" s="479"/>
      <c r="AW58" s="54"/>
    </row>
    <row r="59" spans="1:50">
      <c r="A59" s="449">
        <v>28</v>
      </c>
      <c r="B59" s="67">
        <v>101</v>
      </c>
      <c r="C59" s="56" t="s">
        <v>64</v>
      </c>
      <c r="D59" s="56" t="s">
        <v>31</v>
      </c>
      <c r="E59" s="71" t="s">
        <v>32</v>
      </c>
      <c r="F59" s="123" t="s">
        <v>14</v>
      </c>
      <c r="G59" s="123" t="s">
        <v>14</v>
      </c>
      <c r="H59" s="123" t="s">
        <v>23</v>
      </c>
      <c r="I59" s="123" t="s">
        <v>14</v>
      </c>
      <c r="J59" s="123" t="s">
        <v>14</v>
      </c>
      <c r="K59" s="123" t="s">
        <v>14</v>
      </c>
      <c r="L59" s="123" t="s">
        <v>14</v>
      </c>
      <c r="M59" s="123" t="s">
        <v>14</v>
      </c>
      <c r="N59" s="123" t="s">
        <v>14</v>
      </c>
      <c r="O59" s="123" t="s">
        <v>23</v>
      </c>
      <c r="P59" s="123" t="s">
        <v>14</v>
      </c>
      <c r="Q59" s="123" t="s">
        <v>14</v>
      </c>
      <c r="R59" s="123" t="s">
        <v>14</v>
      </c>
      <c r="S59" s="123" t="s">
        <v>14</v>
      </c>
      <c r="T59" s="123" t="s">
        <v>14</v>
      </c>
      <c r="U59" s="123" t="s">
        <v>14</v>
      </c>
      <c r="V59" s="123" t="s">
        <v>14</v>
      </c>
      <c r="W59" s="123" t="s">
        <v>23</v>
      </c>
      <c r="X59" s="123" t="s">
        <v>14</v>
      </c>
      <c r="Y59" s="123" t="s">
        <v>14</v>
      </c>
      <c r="Z59" s="123" t="s">
        <v>14</v>
      </c>
      <c r="AA59" s="123" t="s">
        <v>14</v>
      </c>
      <c r="AB59" s="123" t="s">
        <v>14</v>
      </c>
      <c r="AC59" s="123" t="s">
        <v>24</v>
      </c>
      <c r="AD59" s="123" t="s">
        <v>14</v>
      </c>
      <c r="AE59" s="123" t="s">
        <v>14</v>
      </c>
      <c r="AF59" s="123" t="s">
        <v>14</v>
      </c>
      <c r="AG59" s="123" t="s">
        <v>14</v>
      </c>
      <c r="AH59" s="7">
        <f>COUNTIF($F59:$AG59,$C$128)</f>
        <v>24</v>
      </c>
      <c r="AI59" s="7">
        <f>COUNTIF($F59:$AG59,$C$129)</f>
        <v>0</v>
      </c>
      <c r="AJ59" s="7">
        <f>COUNTIF($F59:$AG59,$C$130)</f>
        <v>0</v>
      </c>
      <c r="AK59" s="7">
        <f>COUNTIF($F59:$AG59,$C$131)</f>
        <v>0</v>
      </c>
      <c r="AL59" s="7">
        <f>COUNTIF($F59:$AG59,$C$132)</f>
        <v>0</v>
      </c>
      <c r="AM59" s="7">
        <f>COUNTIF($F59:$AG59,$C$133)</f>
        <v>0</v>
      </c>
      <c r="AN59" s="7">
        <f>COUNTIF($F59:$AG59,$C$134)</f>
        <v>0</v>
      </c>
      <c r="AO59" s="7">
        <f>COUNTIF($F59:$AG59,$C$135)</f>
        <v>0</v>
      </c>
      <c r="AP59" s="7">
        <f>COUNTIF($F59:$AG59,$C$136)</f>
        <v>0</v>
      </c>
      <c r="AQ59" s="7">
        <f>COUNTIF($F59:$AG59,$C$137)</f>
        <v>3</v>
      </c>
      <c r="AR59" s="7">
        <f>COUNTIF($F59:$AG59,$C$138)</f>
        <v>1</v>
      </c>
      <c r="AS59" s="7">
        <f>COUNTIF($F59:$AG59,$C$139)</f>
        <v>0</v>
      </c>
      <c r="AT59" s="7">
        <f>COUNTIF($F59:$AG59,$C$140)</f>
        <v>0</v>
      </c>
      <c r="AU59" s="7">
        <f>COUNTIF($F59:$AG59,$C$141)</f>
        <v>0</v>
      </c>
      <c r="AV59" s="7">
        <f>COUNTA(F59:AG59)</f>
        <v>28</v>
      </c>
      <c r="AW59" s="54">
        <f>AH59+AR59</f>
        <v>25</v>
      </c>
      <c r="AX59" s="54" cm="1">
        <f t="array" ref="AX59">IFERROR(
COUNTA(F59:AG59)-MAX(IF(TRIM(F59:AG59)="OD",COLUMN(F59:AG59)-COLUMN(F59)+1)),"")</f>
        <v>10</v>
      </c>
    </row>
    <row r="60" spans="1:50">
      <c r="A60" s="450"/>
      <c r="B60" s="60"/>
      <c r="C60" s="61"/>
      <c r="D60" s="61"/>
      <c r="E60" s="73" t="s">
        <v>34</v>
      </c>
      <c r="F60" s="249"/>
      <c r="G60" s="123"/>
      <c r="H60" s="26"/>
      <c r="I60" s="26"/>
      <c r="J60" s="123"/>
      <c r="K60" s="26"/>
      <c r="L60" s="44"/>
      <c r="M60" s="44">
        <v>2</v>
      </c>
      <c r="N60" s="123"/>
      <c r="O60" s="44"/>
      <c r="P60" s="26"/>
      <c r="Q60" s="26"/>
      <c r="R60" s="26"/>
      <c r="S60" s="26"/>
      <c r="T60" s="26"/>
      <c r="U60" s="26"/>
      <c r="V60" s="26"/>
      <c r="W60" s="26"/>
      <c r="X60" s="26">
        <v>2</v>
      </c>
      <c r="Y60" s="26">
        <v>5</v>
      </c>
      <c r="Z60" s="26"/>
      <c r="AA60" s="25"/>
      <c r="AB60" s="25"/>
      <c r="AC60" s="24"/>
      <c r="AD60" s="25">
        <v>3</v>
      </c>
      <c r="AE60" s="25">
        <v>2</v>
      </c>
      <c r="AF60" s="25">
        <v>6</v>
      </c>
      <c r="AG60" s="25">
        <v>3</v>
      </c>
      <c r="AH60" s="489">
        <f>SUM(F60:AG60)</f>
        <v>23</v>
      </c>
      <c r="AI60" s="490"/>
      <c r="AJ60" s="490"/>
      <c r="AK60" s="490"/>
      <c r="AL60" s="490"/>
      <c r="AM60" s="490"/>
      <c r="AN60" s="490"/>
      <c r="AO60" s="490"/>
      <c r="AP60" s="490"/>
      <c r="AQ60" s="490"/>
      <c r="AR60" s="490"/>
      <c r="AS60" s="490"/>
      <c r="AT60" s="490"/>
      <c r="AU60" s="490"/>
      <c r="AV60" s="491"/>
      <c r="AW60" s="54"/>
    </row>
    <row r="61" spans="1:50">
      <c r="A61" s="449">
        <v>29</v>
      </c>
      <c r="B61" s="67">
        <v>105</v>
      </c>
      <c r="C61" s="56" t="s">
        <v>65</v>
      </c>
      <c r="D61" s="56" t="s">
        <v>31</v>
      </c>
      <c r="E61" s="71" t="s">
        <v>32</v>
      </c>
      <c r="F61" s="123" t="s">
        <v>14</v>
      </c>
      <c r="G61" s="123" t="s">
        <v>14</v>
      </c>
      <c r="H61" s="123" t="s">
        <v>24</v>
      </c>
      <c r="I61" s="123" t="s">
        <v>14</v>
      </c>
      <c r="J61" s="123" t="s">
        <v>14</v>
      </c>
      <c r="K61" s="123" t="s">
        <v>14</v>
      </c>
      <c r="L61" s="123" t="s">
        <v>14</v>
      </c>
      <c r="M61" s="123" t="s">
        <v>14</v>
      </c>
      <c r="N61" s="123" t="s">
        <v>23</v>
      </c>
      <c r="O61" s="123" t="s">
        <v>14</v>
      </c>
      <c r="P61" s="123" t="s">
        <v>14</v>
      </c>
      <c r="Q61" s="123" t="s">
        <v>14</v>
      </c>
      <c r="R61" s="123" t="s">
        <v>14</v>
      </c>
      <c r="S61" s="123" t="s">
        <v>14</v>
      </c>
      <c r="T61" s="123" t="s">
        <v>14</v>
      </c>
      <c r="U61" s="123" t="s">
        <v>23</v>
      </c>
      <c r="V61" s="123" t="s">
        <v>14</v>
      </c>
      <c r="W61" s="123" t="s">
        <v>14</v>
      </c>
      <c r="X61" s="123" t="s">
        <v>14</v>
      </c>
      <c r="Y61" s="123" t="s">
        <v>14</v>
      </c>
      <c r="Z61" s="123" t="s">
        <v>14</v>
      </c>
      <c r="AA61" s="123" t="s">
        <v>14</v>
      </c>
      <c r="AB61" s="123" t="s">
        <v>14</v>
      </c>
      <c r="AC61" s="123" t="s">
        <v>14</v>
      </c>
      <c r="AD61" s="123" t="s">
        <v>14</v>
      </c>
      <c r="AE61" s="123" t="s">
        <v>23</v>
      </c>
      <c r="AF61" s="123" t="s">
        <v>14</v>
      </c>
      <c r="AG61" s="123" t="s">
        <v>14</v>
      </c>
      <c r="AH61" s="30">
        <f>COUNTIF($F61:$AG61,$C$128)</f>
        <v>24</v>
      </c>
      <c r="AI61" s="30">
        <f>COUNTIF($F61:$AG61,$C$129)</f>
        <v>0</v>
      </c>
      <c r="AJ61" s="30">
        <f>COUNTIF($F61:$AG61,$C$130)</f>
        <v>0</v>
      </c>
      <c r="AK61" s="30">
        <f>COUNTIF($F61:$AG61,$C$131)</f>
        <v>0</v>
      </c>
      <c r="AL61" s="30">
        <f>COUNTIF($F61:$AG61,$C$132)</f>
        <v>0</v>
      </c>
      <c r="AM61" s="30">
        <f>COUNTIF($F61:$AG61,$C$133)</f>
        <v>0</v>
      </c>
      <c r="AN61" s="30">
        <f>COUNTIF($F61:$AG61,$C$134)</f>
        <v>0</v>
      </c>
      <c r="AO61" s="30">
        <f>COUNTIF($F61:$AG61,$C$135)</f>
        <v>0</v>
      </c>
      <c r="AP61" s="30">
        <f>COUNTIF($F61:$AG61,$C$136)</f>
        <v>0</v>
      </c>
      <c r="AQ61" s="30">
        <f>COUNTIF($F61:$AG61,$C$137)</f>
        <v>3</v>
      </c>
      <c r="AR61" s="30">
        <f>COUNTIF($F61:$AG61,$C$138)</f>
        <v>1</v>
      </c>
      <c r="AS61" s="30">
        <f>COUNTIF($F61:$AG61,$C$139)</f>
        <v>0</v>
      </c>
      <c r="AT61" s="30">
        <f>COUNTIF($F61:$AG61,$C$140)</f>
        <v>0</v>
      </c>
      <c r="AU61" s="30">
        <f>COUNTIF($F61:$AG61,$C$141)</f>
        <v>0</v>
      </c>
      <c r="AV61" s="30">
        <f>COUNTA(F61:AG61)</f>
        <v>28</v>
      </c>
      <c r="AW61" s="54">
        <f>AH61+AR61</f>
        <v>25</v>
      </c>
      <c r="AX61" s="54" cm="1">
        <f t="array" ref="AX61">IFERROR(
COUNTA(F61:AG61)-MAX(IF(TRIM(F61:AG61)="OD",COLUMN(F61:AG61)-COLUMN(F61)+1)),"")</f>
        <v>2</v>
      </c>
    </row>
    <row r="62" spans="1:50">
      <c r="A62" s="450"/>
      <c r="B62" s="60"/>
      <c r="C62" s="61"/>
      <c r="D62" s="61"/>
      <c r="E62" s="73" t="s">
        <v>34</v>
      </c>
      <c r="F62" s="245">
        <v>9</v>
      </c>
      <c r="G62" s="123"/>
      <c r="H62" s="26"/>
      <c r="I62" s="26">
        <v>7</v>
      </c>
      <c r="J62" s="26">
        <v>4</v>
      </c>
      <c r="K62" s="26">
        <v>1</v>
      </c>
      <c r="L62" s="26">
        <v>5</v>
      </c>
      <c r="M62" s="26">
        <v>2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>
        <v>3</v>
      </c>
      <c r="AA62" s="25">
        <v>3</v>
      </c>
      <c r="AB62" s="25"/>
      <c r="AC62" s="25">
        <v>8</v>
      </c>
      <c r="AD62" s="25">
        <v>3</v>
      </c>
      <c r="AE62" s="25"/>
      <c r="AF62" s="25">
        <v>2</v>
      </c>
      <c r="AG62" s="25"/>
      <c r="AH62" s="459">
        <f>SUM(F62:AG62)</f>
        <v>47</v>
      </c>
      <c r="AI62" s="445"/>
      <c r="AJ62" s="445"/>
      <c r="AK62" s="445"/>
      <c r="AL62" s="445"/>
      <c r="AM62" s="445"/>
      <c r="AN62" s="445"/>
      <c r="AO62" s="445"/>
      <c r="AP62" s="445"/>
      <c r="AQ62" s="445"/>
      <c r="AR62" s="445"/>
      <c r="AS62" s="445"/>
      <c r="AT62" s="445"/>
      <c r="AU62" s="445"/>
      <c r="AV62" s="479"/>
      <c r="AW62" s="54"/>
    </row>
    <row r="63" spans="1:50">
      <c r="A63" s="449">
        <v>30</v>
      </c>
      <c r="B63" s="67">
        <v>127</v>
      </c>
      <c r="C63" s="56" t="s">
        <v>66</v>
      </c>
      <c r="D63" s="56" t="s">
        <v>31</v>
      </c>
      <c r="E63" s="71" t="s">
        <v>32</v>
      </c>
      <c r="F63" s="123" t="s">
        <v>14</v>
      </c>
      <c r="G63" s="123" t="s">
        <v>14</v>
      </c>
      <c r="H63" s="123" t="s">
        <v>14</v>
      </c>
      <c r="I63" s="123" t="s">
        <v>14</v>
      </c>
      <c r="J63" s="123" t="s">
        <v>23</v>
      </c>
      <c r="K63" s="123" t="s">
        <v>14</v>
      </c>
      <c r="L63" s="123" t="s">
        <v>14</v>
      </c>
      <c r="M63" s="123" t="s">
        <v>14</v>
      </c>
      <c r="N63" s="123" t="s">
        <v>14</v>
      </c>
      <c r="O63" s="123" t="s">
        <v>14</v>
      </c>
      <c r="P63" s="123" t="s">
        <v>14</v>
      </c>
      <c r="Q63" s="123" t="s">
        <v>14</v>
      </c>
      <c r="R63" s="123" t="s">
        <v>23</v>
      </c>
      <c r="S63" s="123" t="s">
        <v>14</v>
      </c>
      <c r="T63" s="123" t="s">
        <v>14</v>
      </c>
      <c r="U63" s="123" t="s">
        <v>14</v>
      </c>
      <c r="V63" s="123" t="s">
        <v>14</v>
      </c>
      <c r="W63" s="123" t="s">
        <v>14</v>
      </c>
      <c r="X63" s="123" t="s">
        <v>14</v>
      </c>
      <c r="Y63" s="123" t="s">
        <v>14</v>
      </c>
      <c r="Z63" s="123" t="s">
        <v>23</v>
      </c>
      <c r="AA63" s="123" t="s">
        <v>14</v>
      </c>
      <c r="AB63" s="123" t="s">
        <v>14</v>
      </c>
      <c r="AC63" s="123" t="s">
        <v>14</v>
      </c>
      <c r="AD63" s="123" t="s">
        <v>14</v>
      </c>
      <c r="AE63" s="123" t="s">
        <v>14</v>
      </c>
      <c r="AF63" s="123" t="s">
        <v>14</v>
      </c>
      <c r="AG63" s="123" t="s">
        <v>23</v>
      </c>
      <c r="AH63" s="30">
        <f>COUNTIF($F63:$AG63,$C$128)</f>
        <v>24</v>
      </c>
      <c r="AI63" s="30">
        <f>COUNTIF($F63:$AG63,$C$129)</f>
        <v>0</v>
      </c>
      <c r="AJ63" s="30">
        <f>COUNTIF($F63:$AG63,$C$130)</f>
        <v>0</v>
      </c>
      <c r="AK63" s="30">
        <f>COUNTIF($F63:$AG63,$C$131)</f>
        <v>0</v>
      </c>
      <c r="AL63" s="30">
        <f>COUNTIF($F63:$AG63,$C$132)</f>
        <v>0</v>
      </c>
      <c r="AM63" s="30">
        <f>COUNTIF($F63:$AG63,$C$133)</f>
        <v>0</v>
      </c>
      <c r="AN63" s="30">
        <f>COUNTIF($F63:$AG63,$C$134)</f>
        <v>0</v>
      </c>
      <c r="AO63" s="30">
        <f>COUNTIF($F63:$AG63,$C$135)</f>
        <v>0</v>
      </c>
      <c r="AP63" s="30">
        <f>COUNTIF($F63:$AG63,$C$136)</f>
        <v>0</v>
      </c>
      <c r="AQ63" s="30">
        <f>COUNTIF($F63:$AG63,$C$137)</f>
        <v>4</v>
      </c>
      <c r="AR63" s="30">
        <f>COUNTIF($F63:$AG63,$C$138)</f>
        <v>0</v>
      </c>
      <c r="AS63" s="30">
        <f>COUNTIF($F63:$AG63,$C$139)</f>
        <v>0</v>
      </c>
      <c r="AT63" s="30">
        <f>COUNTIF($F63:$AG63,$C$140)</f>
        <v>0</v>
      </c>
      <c r="AU63" s="30">
        <f>COUNTIF($F63:$AG63,$C$141)</f>
        <v>0</v>
      </c>
      <c r="AV63" s="30">
        <f>COUNTA(F63:AG63)</f>
        <v>28</v>
      </c>
      <c r="AW63" s="54">
        <f>AH63+AR63</f>
        <v>24</v>
      </c>
      <c r="AX63" s="54" cm="1">
        <f t="array" ref="AX63">IFERROR(
COUNTA(F63:AG63)-MAX(IF(TRIM(F63:AG63)="OD",COLUMN(F63:AG63)-COLUMN(F63)+1)),"")</f>
        <v>0</v>
      </c>
    </row>
    <row r="64" spans="1:50">
      <c r="A64" s="450"/>
      <c r="B64" s="60"/>
      <c r="C64" s="61"/>
      <c r="D64" s="61"/>
      <c r="E64" s="73" t="s">
        <v>34</v>
      </c>
      <c r="F64" s="249"/>
      <c r="G64" s="26">
        <v>5</v>
      </c>
      <c r="H64" s="26"/>
      <c r="I64" s="26"/>
      <c r="J64" s="26"/>
      <c r="K64" s="26"/>
      <c r="L64" s="26">
        <v>1</v>
      </c>
      <c r="M64" s="26">
        <v>2</v>
      </c>
      <c r="N64" s="26"/>
      <c r="O64" s="26"/>
      <c r="P64" s="26">
        <v>3</v>
      </c>
      <c r="Q64" s="26">
        <v>3</v>
      </c>
      <c r="R64" s="26"/>
      <c r="S64" s="26"/>
      <c r="T64" s="26"/>
      <c r="U64" s="26"/>
      <c r="V64" s="26"/>
      <c r="W64" s="26">
        <v>2</v>
      </c>
      <c r="X64" s="26"/>
      <c r="Y64" s="26"/>
      <c r="Z64" s="26"/>
      <c r="AA64" s="25"/>
      <c r="AB64" s="25">
        <v>1</v>
      </c>
      <c r="AC64" s="25"/>
      <c r="AD64" s="25">
        <v>2</v>
      </c>
      <c r="AE64" s="25"/>
      <c r="AF64" s="25">
        <v>2</v>
      </c>
      <c r="AG64" s="25"/>
      <c r="AH64" s="459">
        <f>SUM(F64:AG64)</f>
        <v>21</v>
      </c>
      <c r="AI64" s="445"/>
      <c r="AJ64" s="445"/>
      <c r="AK64" s="445"/>
      <c r="AL64" s="445"/>
      <c r="AM64" s="445"/>
      <c r="AN64" s="445"/>
      <c r="AO64" s="445"/>
      <c r="AP64" s="445"/>
      <c r="AQ64" s="445"/>
      <c r="AR64" s="445"/>
      <c r="AS64" s="445"/>
      <c r="AT64" s="445"/>
      <c r="AU64" s="445"/>
      <c r="AV64" s="479"/>
      <c r="AW64" s="54"/>
    </row>
    <row r="65" spans="1:50">
      <c r="A65" s="449">
        <v>31</v>
      </c>
      <c r="B65" s="67">
        <v>126</v>
      </c>
      <c r="C65" s="56" t="s">
        <v>67</v>
      </c>
      <c r="D65" s="56" t="s">
        <v>31</v>
      </c>
      <c r="E65" s="71" t="s">
        <v>32</v>
      </c>
      <c r="F65" s="123" t="s">
        <v>14</v>
      </c>
      <c r="G65" s="123" t="s">
        <v>14</v>
      </c>
      <c r="H65" s="123" t="s">
        <v>14</v>
      </c>
      <c r="I65" s="123" t="s">
        <v>14</v>
      </c>
      <c r="J65" s="123" t="s">
        <v>14</v>
      </c>
      <c r="K65" s="123" t="s">
        <v>14</v>
      </c>
      <c r="L65" s="123" t="s">
        <v>23</v>
      </c>
      <c r="M65" s="123" t="s">
        <v>14</v>
      </c>
      <c r="N65" s="123" t="s">
        <v>14</v>
      </c>
      <c r="O65" s="123" t="s">
        <v>23</v>
      </c>
      <c r="P65" s="123" t="s">
        <v>14</v>
      </c>
      <c r="Q65" s="123" t="s">
        <v>14</v>
      </c>
      <c r="R65" s="123" t="s">
        <v>14</v>
      </c>
      <c r="S65" s="123" t="s">
        <v>14</v>
      </c>
      <c r="T65" s="123" t="s">
        <v>14</v>
      </c>
      <c r="U65" s="123" t="s">
        <v>14</v>
      </c>
      <c r="V65" s="123" t="s">
        <v>14</v>
      </c>
      <c r="W65" s="123" t="s">
        <v>23</v>
      </c>
      <c r="X65" s="123" t="s">
        <v>14</v>
      </c>
      <c r="Y65" s="123" t="s">
        <v>14</v>
      </c>
      <c r="Z65" s="123" t="s">
        <v>14</v>
      </c>
      <c r="AA65" s="123" t="s">
        <v>14</v>
      </c>
      <c r="AB65" s="123" t="s">
        <v>14</v>
      </c>
      <c r="AC65" s="123" t="s">
        <v>14</v>
      </c>
      <c r="AD65" s="123" t="s">
        <v>14</v>
      </c>
      <c r="AE65" s="123" t="s">
        <v>23</v>
      </c>
      <c r="AF65" s="123" t="s">
        <v>14</v>
      </c>
      <c r="AG65" s="123" t="s">
        <v>14</v>
      </c>
      <c r="AH65" s="30">
        <f>COUNTIF($F65:$AG65,$C$128)</f>
        <v>24</v>
      </c>
      <c r="AI65" s="30">
        <f>COUNTIF($F65:$AG65,$C$129)</f>
        <v>0</v>
      </c>
      <c r="AJ65" s="30">
        <f>COUNTIF($F65:$AG65,$C$130)</f>
        <v>0</v>
      </c>
      <c r="AK65" s="30">
        <f>COUNTIF($F65:$AG65,$C$131)</f>
        <v>0</v>
      </c>
      <c r="AL65" s="30">
        <f>COUNTIF($F65:$AG65,$C$132)</f>
        <v>0</v>
      </c>
      <c r="AM65" s="30">
        <f>COUNTIF($F65:$AG65,$C$133)</f>
        <v>0</v>
      </c>
      <c r="AN65" s="30">
        <f>COUNTIF($F65:$AG65,$C$134)</f>
        <v>0</v>
      </c>
      <c r="AO65" s="30">
        <f>COUNTIF($F65:$AG65,$C$135)</f>
        <v>0</v>
      </c>
      <c r="AP65" s="30">
        <f>COUNTIF($F65:$AG65,$C$136)</f>
        <v>0</v>
      </c>
      <c r="AQ65" s="30">
        <f>COUNTIF($F65:$AG65,$C$137)</f>
        <v>4</v>
      </c>
      <c r="AR65" s="30">
        <f>COUNTIF($F65:$AG65,$C$138)</f>
        <v>0</v>
      </c>
      <c r="AS65" s="30">
        <f>COUNTIF($F65:$AG65,$C$139)</f>
        <v>0</v>
      </c>
      <c r="AT65" s="30">
        <f>COUNTIF($F65:$AG65,$C$140)</f>
        <v>0</v>
      </c>
      <c r="AU65" s="30">
        <f>COUNTIF($F65:$AG65,$C$141)</f>
        <v>0</v>
      </c>
      <c r="AV65" s="30">
        <f>COUNTA(F65:AG65)</f>
        <v>28</v>
      </c>
      <c r="AW65" s="54">
        <f>AH65+AR65</f>
        <v>24</v>
      </c>
      <c r="AX65" s="54" cm="1">
        <f t="array" ref="AX65">IFERROR(
COUNTA(F65:AG65)-MAX(IF(TRIM(F65:AG65)="OD",COLUMN(F65:AG65)-COLUMN(F65)+1)),"")</f>
        <v>2</v>
      </c>
    </row>
    <row r="66" spans="1:50">
      <c r="A66" s="450"/>
      <c r="B66" s="60"/>
      <c r="C66" s="61"/>
      <c r="D66" s="61"/>
      <c r="E66" s="73" t="s">
        <v>34</v>
      </c>
      <c r="F66" s="249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>
        <v>2</v>
      </c>
      <c r="S66" s="26"/>
      <c r="T66" s="26"/>
      <c r="U66" s="26"/>
      <c r="V66" s="26"/>
      <c r="W66" s="26"/>
      <c r="X66" s="26"/>
      <c r="Y66" s="26"/>
      <c r="Z66" s="26"/>
      <c r="AA66" s="25">
        <v>3</v>
      </c>
      <c r="AB66" s="25">
        <v>5</v>
      </c>
      <c r="AC66" s="25"/>
      <c r="AD66" s="25">
        <v>2</v>
      </c>
      <c r="AE66" s="25"/>
      <c r="AF66" s="25">
        <v>3</v>
      </c>
      <c r="AG66" s="25"/>
      <c r="AH66" s="459">
        <f>SUM(F66:AG66)</f>
        <v>15</v>
      </c>
      <c r="AI66" s="445"/>
      <c r="AJ66" s="445"/>
      <c r="AK66" s="445"/>
      <c r="AL66" s="445"/>
      <c r="AM66" s="445"/>
      <c r="AN66" s="445"/>
      <c r="AO66" s="445"/>
      <c r="AP66" s="445"/>
      <c r="AQ66" s="445"/>
      <c r="AR66" s="445"/>
      <c r="AS66" s="445"/>
      <c r="AT66" s="445"/>
      <c r="AU66" s="445"/>
      <c r="AV66" s="479"/>
      <c r="AW66" s="54"/>
    </row>
    <row r="67" spans="1:50">
      <c r="A67" s="449">
        <v>32</v>
      </c>
      <c r="B67" s="67">
        <v>96</v>
      </c>
      <c r="C67" s="56" t="s">
        <v>68</v>
      </c>
      <c r="D67" s="56" t="s">
        <v>31</v>
      </c>
      <c r="E67" s="71" t="s">
        <v>32</v>
      </c>
      <c r="F67" s="123" t="s">
        <v>14</v>
      </c>
      <c r="G67" s="123" t="s">
        <v>14</v>
      </c>
      <c r="H67" s="123" t="s">
        <v>23</v>
      </c>
      <c r="I67" s="123" t="s">
        <v>14</v>
      </c>
      <c r="J67" s="123" t="s">
        <v>14</v>
      </c>
      <c r="K67" s="123" t="s">
        <v>14</v>
      </c>
      <c r="L67" s="123" t="s">
        <v>14</v>
      </c>
      <c r="M67" s="123" t="s">
        <v>14</v>
      </c>
      <c r="N67" s="123" t="s">
        <v>14</v>
      </c>
      <c r="O67" s="123" t="s">
        <v>23</v>
      </c>
      <c r="P67" s="123" t="s">
        <v>14</v>
      </c>
      <c r="Q67" s="123" t="s">
        <v>14</v>
      </c>
      <c r="R67" s="123" t="s">
        <v>14</v>
      </c>
      <c r="S67" s="123" t="s">
        <v>14</v>
      </c>
      <c r="T67" s="123" t="s">
        <v>14</v>
      </c>
      <c r="U67" s="123" t="s">
        <v>14</v>
      </c>
      <c r="V67" s="123" t="s">
        <v>23</v>
      </c>
      <c r="W67" s="123" t="s">
        <v>14</v>
      </c>
      <c r="X67" s="123" t="s">
        <v>14</v>
      </c>
      <c r="Y67" s="123" t="s">
        <v>14</v>
      </c>
      <c r="Z67" s="123" t="s">
        <v>14</v>
      </c>
      <c r="AA67" s="123" t="s">
        <v>14</v>
      </c>
      <c r="AB67" s="123" t="s">
        <v>14</v>
      </c>
      <c r="AC67" s="123" t="s">
        <v>14</v>
      </c>
      <c r="AD67" s="123" t="s">
        <v>14</v>
      </c>
      <c r="AE67" s="123" t="s">
        <v>14</v>
      </c>
      <c r="AF67" s="123" t="s">
        <v>23</v>
      </c>
      <c r="AG67" s="123" t="s">
        <v>14</v>
      </c>
      <c r="AH67" s="30">
        <f>COUNTIF($F67:$AG67,$C$128)</f>
        <v>24</v>
      </c>
      <c r="AI67" s="30">
        <f>COUNTIF($F67:$AG67,$C$129)</f>
        <v>0</v>
      </c>
      <c r="AJ67" s="30">
        <f>COUNTIF($F67:$AG67,$C$130)</f>
        <v>0</v>
      </c>
      <c r="AK67" s="30">
        <f>COUNTIF($F67:$AG67,$C$131)</f>
        <v>0</v>
      </c>
      <c r="AL67" s="30">
        <f>COUNTIF($F67:$AG67,$C$132)</f>
        <v>0</v>
      </c>
      <c r="AM67" s="30">
        <f>COUNTIF($F67:$AG67,$C$133)</f>
        <v>0</v>
      </c>
      <c r="AN67" s="30">
        <f>COUNTIF($F67:$AG67,$C$134)</f>
        <v>0</v>
      </c>
      <c r="AO67" s="30">
        <f>COUNTIF($F67:$AG67,$C$135)</f>
        <v>0</v>
      </c>
      <c r="AP67" s="30">
        <f>COUNTIF($F67:$AG67,$C$136)</f>
        <v>0</v>
      </c>
      <c r="AQ67" s="30">
        <f>COUNTIF($F67:$AG67,$C$137)</f>
        <v>4</v>
      </c>
      <c r="AR67" s="30">
        <f>COUNTIF($F67:$AG67,$C$138)</f>
        <v>0</v>
      </c>
      <c r="AS67" s="30">
        <f>COUNTIF($F67:$AG67,$C$139)</f>
        <v>0</v>
      </c>
      <c r="AT67" s="30">
        <f>COUNTIF($F67:$AG67,$C$140)</f>
        <v>0</v>
      </c>
      <c r="AU67" s="30">
        <f>COUNTIF($F67:$AG67,$C$141)</f>
        <v>0</v>
      </c>
      <c r="AV67" s="30">
        <f>COUNTA(F67:AG67)</f>
        <v>28</v>
      </c>
      <c r="AW67" s="54">
        <f>AH67+AR67</f>
        <v>24</v>
      </c>
      <c r="AX67" s="54" cm="1">
        <f t="array" ref="AX67">IFERROR(
COUNTA(F67:AG67)-MAX(IF(TRIM(F67:AG67)="OD",COLUMN(F67:AG67)-COLUMN(F67)+1)),"")</f>
        <v>1</v>
      </c>
    </row>
    <row r="68" spans="1:50">
      <c r="A68" s="450"/>
      <c r="B68" s="60"/>
      <c r="C68" s="61"/>
      <c r="D68" s="61"/>
      <c r="E68" s="73" t="s">
        <v>34</v>
      </c>
      <c r="F68" s="249"/>
      <c r="G68" s="123"/>
      <c r="H68" s="26"/>
      <c r="I68" s="26"/>
      <c r="J68" s="123"/>
      <c r="K68" s="26"/>
      <c r="L68" s="44"/>
      <c r="M68" s="44"/>
      <c r="N68" s="123"/>
      <c r="O68" s="44"/>
      <c r="P68" s="26"/>
      <c r="Q68" s="26"/>
      <c r="R68" s="26"/>
      <c r="S68" s="26"/>
      <c r="T68" s="26"/>
      <c r="U68" s="26">
        <v>2</v>
      </c>
      <c r="V68" s="26"/>
      <c r="W68" s="26">
        <v>3</v>
      </c>
      <c r="X68" s="26">
        <v>3</v>
      </c>
      <c r="Y68" s="26">
        <v>3</v>
      </c>
      <c r="Z68" s="26">
        <v>3</v>
      </c>
      <c r="AA68" s="25">
        <v>3</v>
      </c>
      <c r="AB68" s="25">
        <v>3</v>
      </c>
      <c r="AC68" s="24">
        <v>3</v>
      </c>
      <c r="AD68" s="24">
        <v>3</v>
      </c>
      <c r="AE68" s="24">
        <v>3</v>
      </c>
      <c r="AF68" s="25"/>
      <c r="AG68" s="25">
        <v>3</v>
      </c>
      <c r="AH68" s="459">
        <f>SUM(F68:AG68)</f>
        <v>32</v>
      </c>
      <c r="AI68" s="445"/>
      <c r="AJ68" s="445"/>
      <c r="AK68" s="445"/>
      <c r="AL68" s="445"/>
      <c r="AM68" s="445"/>
      <c r="AN68" s="445"/>
      <c r="AO68" s="445"/>
      <c r="AP68" s="445"/>
      <c r="AQ68" s="445"/>
      <c r="AR68" s="445"/>
      <c r="AS68" s="445"/>
      <c r="AT68" s="445"/>
      <c r="AU68" s="445"/>
      <c r="AV68" s="479"/>
      <c r="AW68" s="54"/>
    </row>
    <row r="69" spans="1:50">
      <c r="A69" s="449">
        <v>33</v>
      </c>
      <c r="B69" s="67">
        <v>122</v>
      </c>
      <c r="C69" s="56" t="s">
        <v>69</v>
      </c>
      <c r="D69" s="56" t="s">
        <v>31</v>
      </c>
      <c r="E69" s="71" t="s">
        <v>32</v>
      </c>
      <c r="F69" s="123" t="s">
        <v>14</v>
      </c>
      <c r="G69" s="123" t="s">
        <v>14</v>
      </c>
      <c r="H69" s="123" t="s">
        <v>14</v>
      </c>
      <c r="I69" s="123" t="s">
        <v>14</v>
      </c>
      <c r="J69" s="123" t="s">
        <v>14</v>
      </c>
      <c r="K69" s="123" t="s">
        <v>14</v>
      </c>
      <c r="L69" s="123" t="s">
        <v>14</v>
      </c>
      <c r="M69" s="123" t="s">
        <v>14</v>
      </c>
      <c r="N69" s="123" t="s">
        <v>23</v>
      </c>
      <c r="O69" s="123" t="s">
        <v>14</v>
      </c>
      <c r="P69" s="123" t="s">
        <v>14</v>
      </c>
      <c r="Q69" s="123" t="s">
        <v>14</v>
      </c>
      <c r="R69" s="123" t="s">
        <v>14</v>
      </c>
      <c r="S69" s="123" t="s">
        <v>14</v>
      </c>
      <c r="T69" s="123" t="s">
        <v>14</v>
      </c>
      <c r="U69" s="123" t="s">
        <v>23</v>
      </c>
      <c r="V69" s="123" t="s">
        <v>14</v>
      </c>
      <c r="W69" s="123" t="s">
        <v>14</v>
      </c>
      <c r="X69" s="123" t="s">
        <v>14</v>
      </c>
      <c r="Y69" s="123" t="s">
        <v>14</v>
      </c>
      <c r="Z69" s="123" t="s">
        <v>14</v>
      </c>
      <c r="AA69" s="123" t="s">
        <v>14</v>
      </c>
      <c r="AB69" s="123" t="s">
        <v>23</v>
      </c>
      <c r="AC69" s="123" t="s">
        <v>14</v>
      </c>
      <c r="AD69" s="123" t="s">
        <v>14</v>
      </c>
      <c r="AE69" s="123" t="s">
        <v>14</v>
      </c>
      <c r="AF69" s="123" t="s">
        <v>23</v>
      </c>
      <c r="AG69" s="123" t="s">
        <v>14</v>
      </c>
      <c r="AH69" s="30">
        <f>COUNTIF($F69:$AG69,$C$128)</f>
        <v>24</v>
      </c>
      <c r="AI69" s="30">
        <f>COUNTIF($F69:$AG69,$C$129)</f>
        <v>0</v>
      </c>
      <c r="AJ69" s="30">
        <f>COUNTIF($F69:$AG69,$C$130)</f>
        <v>0</v>
      </c>
      <c r="AK69" s="30">
        <f>COUNTIF($F69:$AG69,$C$131)</f>
        <v>0</v>
      </c>
      <c r="AL69" s="30">
        <f>COUNTIF($F69:$AG69,$C$132)</f>
        <v>0</v>
      </c>
      <c r="AM69" s="30">
        <f>COUNTIF($F69:$AG69,$C$133)</f>
        <v>0</v>
      </c>
      <c r="AN69" s="30">
        <f>COUNTIF($F69:$AG69,$C$134)</f>
        <v>0</v>
      </c>
      <c r="AO69" s="30">
        <f>COUNTIF($F69:$AG69,$C$135)</f>
        <v>0</v>
      </c>
      <c r="AP69" s="30">
        <f>COUNTIF($F69:$AG69,$C$136)</f>
        <v>0</v>
      </c>
      <c r="AQ69" s="30">
        <f>COUNTIF($F69:$AG69,$C$137)</f>
        <v>4</v>
      </c>
      <c r="AR69" s="30">
        <f>COUNTIF($F69:$AG69,$C$138)</f>
        <v>0</v>
      </c>
      <c r="AS69" s="30">
        <f>COUNTIF($F69:$AG69,$C$139)</f>
        <v>0</v>
      </c>
      <c r="AT69" s="30">
        <f>COUNTIF($F69:$AG69,$C$140)</f>
        <v>0</v>
      </c>
      <c r="AU69" s="30">
        <f>COUNTIF($F69:$AG69,$C$141)</f>
        <v>0</v>
      </c>
      <c r="AV69" s="30">
        <f>COUNTA(F69:AG69)</f>
        <v>28</v>
      </c>
      <c r="AW69" s="54">
        <f>AH69+AR69</f>
        <v>24</v>
      </c>
      <c r="AX69" s="54" cm="1">
        <f t="array" ref="AX69">IFERROR(
COUNTA(F69:AG69)-MAX(IF(TRIM(F69:AG69)="OD",COLUMN(F69:AG69)-COLUMN(F69)+1)),"")</f>
        <v>1</v>
      </c>
    </row>
    <row r="70" spans="1:50">
      <c r="A70" s="450"/>
      <c r="B70" s="60"/>
      <c r="C70" s="61"/>
      <c r="D70" s="61"/>
      <c r="E70" s="73" t="s">
        <v>34</v>
      </c>
      <c r="F70" s="249"/>
      <c r="G70" s="123"/>
      <c r="H70" s="26"/>
      <c r="I70" s="26"/>
      <c r="J70" s="123"/>
      <c r="K70" s="26"/>
      <c r="L70" s="44">
        <v>2</v>
      </c>
      <c r="M70" s="44"/>
      <c r="N70" s="123"/>
      <c r="O70" s="44"/>
      <c r="P70" s="26"/>
      <c r="Q70" s="26">
        <v>3</v>
      </c>
      <c r="R70" s="26">
        <v>2</v>
      </c>
      <c r="S70" s="26">
        <v>1</v>
      </c>
      <c r="T70" s="26">
        <v>2</v>
      </c>
      <c r="U70" s="26"/>
      <c r="V70" s="26"/>
      <c r="W70" s="26">
        <v>3</v>
      </c>
      <c r="X70" s="26">
        <v>6</v>
      </c>
      <c r="Y70" s="26">
        <v>2</v>
      </c>
      <c r="Z70" s="26">
        <v>3</v>
      </c>
      <c r="AA70" s="25">
        <v>5</v>
      </c>
      <c r="AB70" s="25"/>
      <c r="AC70" s="24">
        <v>3</v>
      </c>
      <c r="AD70" s="24">
        <v>3</v>
      </c>
      <c r="AE70" s="24">
        <v>4</v>
      </c>
      <c r="AF70" s="25"/>
      <c r="AG70" s="25"/>
      <c r="AH70" s="459">
        <f>SUM(F70:AG70)</f>
        <v>39</v>
      </c>
      <c r="AI70" s="445"/>
      <c r="AJ70" s="445"/>
      <c r="AK70" s="445"/>
      <c r="AL70" s="445"/>
      <c r="AM70" s="445"/>
      <c r="AN70" s="445"/>
      <c r="AO70" s="445"/>
      <c r="AP70" s="445"/>
      <c r="AQ70" s="445"/>
      <c r="AR70" s="445"/>
      <c r="AS70" s="445"/>
      <c r="AT70" s="445"/>
      <c r="AU70" s="445"/>
      <c r="AV70" s="479"/>
      <c r="AW70" s="54"/>
    </row>
    <row r="71" spans="1:50">
      <c r="A71" s="449">
        <v>34</v>
      </c>
      <c r="B71" s="67">
        <v>121</v>
      </c>
      <c r="C71" s="56" t="s">
        <v>70</v>
      </c>
      <c r="D71" s="56" t="s">
        <v>31</v>
      </c>
      <c r="E71" s="71" t="s">
        <v>32</v>
      </c>
      <c r="F71" s="123" t="s">
        <v>14</v>
      </c>
      <c r="G71" s="123" t="s">
        <v>14</v>
      </c>
      <c r="H71" s="123" t="s">
        <v>14</v>
      </c>
      <c r="I71" s="123" t="s">
        <v>23</v>
      </c>
      <c r="J71" s="123" t="s">
        <v>14</v>
      </c>
      <c r="K71" s="123" t="s">
        <v>14</v>
      </c>
      <c r="L71" s="123" t="s">
        <v>14</v>
      </c>
      <c r="M71" s="123" t="s">
        <v>14</v>
      </c>
      <c r="N71" s="123" t="s">
        <v>14</v>
      </c>
      <c r="O71" s="123" t="s">
        <v>14</v>
      </c>
      <c r="P71" s="123" t="s">
        <v>14</v>
      </c>
      <c r="Q71" s="123" t="s">
        <v>23</v>
      </c>
      <c r="R71" s="123" t="s">
        <v>14</v>
      </c>
      <c r="S71" s="123" t="s">
        <v>14</v>
      </c>
      <c r="T71" s="123" t="s">
        <v>14</v>
      </c>
      <c r="U71" s="123" t="s">
        <v>14</v>
      </c>
      <c r="V71" s="123" t="s">
        <v>14</v>
      </c>
      <c r="W71" s="123" t="s">
        <v>14</v>
      </c>
      <c r="X71" s="123" t="s">
        <v>14</v>
      </c>
      <c r="Y71" s="123" t="s">
        <v>23</v>
      </c>
      <c r="Z71" s="123" t="s">
        <v>14</v>
      </c>
      <c r="AA71" s="123" t="s">
        <v>14</v>
      </c>
      <c r="AB71" s="123" t="s">
        <v>14</v>
      </c>
      <c r="AC71" s="123" t="s">
        <v>14</v>
      </c>
      <c r="AD71" s="123" t="s">
        <v>23</v>
      </c>
      <c r="AE71" s="123" t="s">
        <v>14</v>
      </c>
      <c r="AF71" s="123" t="s">
        <v>14</v>
      </c>
      <c r="AG71" s="123" t="s">
        <v>14</v>
      </c>
      <c r="AH71" s="30">
        <f>COUNTIF($F71:$AG71,$C$128)</f>
        <v>24</v>
      </c>
      <c r="AI71" s="30">
        <f>COUNTIF($F71:$AG71,$C$129)</f>
        <v>0</v>
      </c>
      <c r="AJ71" s="30">
        <f>COUNTIF($F71:$AG71,$C$130)</f>
        <v>0</v>
      </c>
      <c r="AK71" s="30">
        <f>COUNTIF($F71:$AG71,$C$131)</f>
        <v>0</v>
      </c>
      <c r="AL71" s="30">
        <f>COUNTIF($F71:$AG71,$C$132)</f>
        <v>0</v>
      </c>
      <c r="AM71" s="30">
        <f>COUNTIF($F71:$AG71,$C$133)</f>
        <v>0</v>
      </c>
      <c r="AN71" s="30">
        <f>COUNTIF($F71:$AG71,$C$134)</f>
        <v>0</v>
      </c>
      <c r="AO71" s="30">
        <f>COUNTIF($F71:$AG71,$C$135)</f>
        <v>0</v>
      </c>
      <c r="AP71" s="30">
        <f>COUNTIF($F71:$AG71,$C$136)</f>
        <v>0</v>
      </c>
      <c r="AQ71" s="30">
        <f>COUNTIF($F71:$AG71,$C$137)</f>
        <v>4</v>
      </c>
      <c r="AR71" s="30">
        <f>COUNTIF($F71:$AG71,$C$138)</f>
        <v>0</v>
      </c>
      <c r="AS71" s="30">
        <f>COUNTIF($F71:$AG71,$C$139)</f>
        <v>0</v>
      </c>
      <c r="AT71" s="30">
        <f>COUNTIF($F71:$AG71,$C$140)</f>
        <v>0</v>
      </c>
      <c r="AU71" s="30">
        <f>COUNTIF($F71:$AG71,$C$141)</f>
        <v>0</v>
      </c>
      <c r="AV71" s="30">
        <f>COUNTA(F71:AG71)</f>
        <v>28</v>
      </c>
      <c r="AW71" s="54">
        <f>AH71+AR71</f>
        <v>24</v>
      </c>
      <c r="AX71" s="54" cm="1">
        <f t="array" ref="AX71">IFERROR(
COUNTA(F71:AG71)-MAX(IF(TRIM(F71:AG71)="OD",COLUMN(F71:AG71)-COLUMN(F71)+1)),"")</f>
        <v>3</v>
      </c>
    </row>
    <row r="72" spans="1:50">
      <c r="A72" s="450"/>
      <c r="B72" s="60"/>
      <c r="C72" s="61"/>
      <c r="D72" s="61"/>
      <c r="E72" s="73" t="s">
        <v>34</v>
      </c>
      <c r="F72" s="249"/>
      <c r="G72" s="123"/>
      <c r="H72" s="26"/>
      <c r="I72" s="26"/>
      <c r="J72" s="123"/>
      <c r="K72" s="26"/>
      <c r="L72" s="44"/>
      <c r="M72" s="44"/>
      <c r="N72" s="123"/>
      <c r="O72" s="44"/>
      <c r="P72" s="26">
        <v>1</v>
      </c>
      <c r="Q72" s="26"/>
      <c r="R72" s="26"/>
      <c r="S72" s="26"/>
      <c r="T72" s="26"/>
      <c r="U72" s="26">
        <v>2</v>
      </c>
      <c r="V72" s="26"/>
      <c r="W72" s="26">
        <v>1</v>
      </c>
      <c r="X72" s="26">
        <v>4</v>
      </c>
      <c r="Y72" s="26"/>
      <c r="Z72" s="26">
        <v>3</v>
      </c>
      <c r="AA72" s="25">
        <v>3</v>
      </c>
      <c r="AB72" s="25"/>
      <c r="AC72" s="25">
        <v>3</v>
      </c>
      <c r="AD72" s="25"/>
      <c r="AE72" s="25">
        <v>3</v>
      </c>
      <c r="AF72" s="25">
        <v>4</v>
      </c>
      <c r="AG72" s="25">
        <v>3</v>
      </c>
      <c r="AH72" s="459">
        <f>SUM(F72:AG72)</f>
        <v>27</v>
      </c>
      <c r="AI72" s="445"/>
      <c r="AJ72" s="445"/>
      <c r="AK72" s="445"/>
      <c r="AL72" s="445"/>
      <c r="AM72" s="445"/>
      <c r="AN72" s="445"/>
      <c r="AO72" s="445"/>
      <c r="AP72" s="445"/>
      <c r="AQ72" s="445"/>
      <c r="AR72" s="445"/>
      <c r="AS72" s="445"/>
      <c r="AT72" s="445"/>
      <c r="AU72" s="445"/>
      <c r="AV72" s="479"/>
      <c r="AW72" s="54"/>
    </row>
    <row r="73" spans="1:50">
      <c r="A73" s="449">
        <v>35</v>
      </c>
      <c r="B73" s="67">
        <v>86</v>
      </c>
      <c r="C73" s="56" t="s">
        <v>71</v>
      </c>
      <c r="D73" s="56" t="s">
        <v>31</v>
      </c>
      <c r="E73" s="71" t="s">
        <v>32</v>
      </c>
      <c r="F73" s="123" t="s">
        <v>14</v>
      </c>
      <c r="G73" s="123" t="s">
        <v>24</v>
      </c>
      <c r="H73" s="123" t="s">
        <v>14</v>
      </c>
      <c r="I73" s="123" t="s">
        <v>14</v>
      </c>
      <c r="J73" s="123" t="s">
        <v>14</v>
      </c>
      <c r="K73" s="123" t="s">
        <v>14</v>
      </c>
      <c r="L73" s="123" t="s">
        <v>14</v>
      </c>
      <c r="M73" s="123" t="s">
        <v>14</v>
      </c>
      <c r="N73" s="123" t="s">
        <v>23</v>
      </c>
      <c r="O73" s="123" t="s">
        <v>14</v>
      </c>
      <c r="P73" s="123" t="s">
        <v>14</v>
      </c>
      <c r="Q73" s="123" t="s">
        <v>14</v>
      </c>
      <c r="R73" s="123" t="s">
        <v>14</v>
      </c>
      <c r="S73" s="123" t="s">
        <v>14</v>
      </c>
      <c r="T73" s="123" t="s">
        <v>14</v>
      </c>
      <c r="U73" s="123" t="s">
        <v>23</v>
      </c>
      <c r="V73" s="123" t="s">
        <v>14</v>
      </c>
      <c r="W73" s="123" t="s">
        <v>14</v>
      </c>
      <c r="X73" s="123" t="s">
        <v>14</v>
      </c>
      <c r="Y73" s="123" t="s">
        <v>14</v>
      </c>
      <c r="Z73" s="123" t="s">
        <v>14</v>
      </c>
      <c r="AA73" s="123" t="s">
        <v>14</v>
      </c>
      <c r="AB73" s="123" t="s">
        <v>14</v>
      </c>
      <c r="AC73" s="123" t="s">
        <v>23</v>
      </c>
      <c r="AD73" s="123" t="s">
        <v>14</v>
      </c>
      <c r="AE73" s="123" t="s">
        <v>14</v>
      </c>
      <c r="AF73" s="123" t="s">
        <v>14</v>
      </c>
      <c r="AG73" s="123" t="s">
        <v>14</v>
      </c>
      <c r="AH73" s="30">
        <f>COUNTIF($F73:$AG73,$C$128)</f>
        <v>24</v>
      </c>
      <c r="AI73" s="30">
        <f>COUNTIF($F73:$AG73,$C$129)</f>
        <v>0</v>
      </c>
      <c r="AJ73" s="30">
        <f>COUNTIF($F73:$AG73,$C$130)</f>
        <v>0</v>
      </c>
      <c r="AK73" s="30">
        <f>COUNTIF($F73:$AG73,$C$131)</f>
        <v>0</v>
      </c>
      <c r="AL73" s="30">
        <f>COUNTIF($F73:$AG73,$C$132)</f>
        <v>0</v>
      </c>
      <c r="AM73" s="30">
        <f>COUNTIF($F73:$AG73,$C$133)</f>
        <v>0</v>
      </c>
      <c r="AN73" s="30">
        <f>COUNTIF($F73:$AG73,$C$134)</f>
        <v>0</v>
      </c>
      <c r="AO73" s="30">
        <f>COUNTIF($F73:$AG73,$C$135)</f>
        <v>0</v>
      </c>
      <c r="AP73" s="7">
        <f>COUNTIF($F73:$AG73,$C$136)</f>
        <v>0</v>
      </c>
      <c r="AQ73" s="30">
        <f>COUNTIF($F73:$AG73,$C$137)</f>
        <v>3</v>
      </c>
      <c r="AR73" s="30">
        <f>COUNTIF($F73:$AG73,$C$138)</f>
        <v>1</v>
      </c>
      <c r="AS73" s="30">
        <f>COUNTIF($F73:$AG73,$C$139)</f>
        <v>0</v>
      </c>
      <c r="AT73" s="30">
        <f>COUNTIF($F73:$AG73,$C$140)</f>
        <v>0</v>
      </c>
      <c r="AU73" s="30">
        <f>COUNTIF($F73:$AG73,$C$141)</f>
        <v>0</v>
      </c>
      <c r="AV73" s="30">
        <f>COUNTA(F73:AG73)</f>
        <v>28</v>
      </c>
      <c r="AW73" s="54">
        <f>AH73+AR73</f>
        <v>25</v>
      </c>
      <c r="AX73" s="54" cm="1">
        <f t="array" ref="AX73">IFERROR(
COUNTA(F73:AG73)-MAX(IF(TRIM(F73:AG73)="OD",COLUMN(F73:AG73)-COLUMN(F73)+1)),"")</f>
        <v>4</v>
      </c>
    </row>
    <row r="74" spans="1:50">
      <c r="A74" s="450"/>
      <c r="B74" s="60"/>
      <c r="C74" s="61"/>
      <c r="D74" s="61"/>
      <c r="E74" s="73" t="s">
        <v>34</v>
      </c>
      <c r="F74" s="249">
        <v>5</v>
      </c>
      <c r="G74" s="123"/>
      <c r="H74" s="26"/>
      <c r="I74" s="26"/>
      <c r="J74" s="123"/>
      <c r="K74" s="26"/>
      <c r="L74" s="44"/>
      <c r="M74" s="44"/>
      <c r="N74" s="123"/>
      <c r="O74" s="44"/>
      <c r="P74" s="26"/>
      <c r="Q74" s="26"/>
      <c r="R74" s="26"/>
      <c r="S74" s="26"/>
      <c r="T74" s="26"/>
      <c r="U74" s="26"/>
      <c r="V74" s="26"/>
      <c r="W74" s="26">
        <v>3</v>
      </c>
      <c r="X74" s="26">
        <v>3</v>
      </c>
      <c r="Y74" s="26">
        <v>3</v>
      </c>
      <c r="Z74" s="26">
        <v>3</v>
      </c>
      <c r="AA74" s="25">
        <v>3</v>
      </c>
      <c r="AB74" s="25">
        <v>3</v>
      </c>
      <c r="AC74" s="24"/>
      <c r="AD74" s="24">
        <v>3</v>
      </c>
      <c r="AE74" s="24">
        <v>3</v>
      </c>
      <c r="AF74" s="25">
        <v>3</v>
      </c>
      <c r="AG74" s="25">
        <v>3</v>
      </c>
      <c r="AH74" s="459">
        <f>SUM(F74:AG74)</f>
        <v>35</v>
      </c>
      <c r="AI74" s="445"/>
      <c r="AJ74" s="445"/>
      <c r="AK74" s="445"/>
      <c r="AL74" s="445"/>
      <c r="AM74" s="445"/>
      <c r="AN74" s="445"/>
      <c r="AO74" s="445"/>
      <c r="AP74" s="445"/>
      <c r="AQ74" s="445"/>
      <c r="AR74" s="445"/>
      <c r="AS74" s="445"/>
      <c r="AT74" s="445"/>
      <c r="AU74" s="445"/>
      <c r="AV74" s="479"/>
      <c r="AW74" s="54"/>
    </row>
    <row r="75" spans="1:50">
      <c r="A75" s="449">
        <v>36</v>
      </c>
      <c r="B75" s="67">
        <v>81</v>
      </c>
      <c r="C75" s="56" t="s">
        <v>72</v>
      </c>
      <c r="D75" s="56" t="s">
        <v>31</v>
      </c>
      <c r="E75" s="71" t="s">
        <v>32</v>
      </c>
      <c r="F75" s="123" t="s">
        <v>23</v>
      </c>
      <c r="G75" s="123" t="s">
        <v>14</v>
      </c>
      <c r="H75" s="123" t="s">
        <v>14</v>
      </c>
      <c r="I75" s="123" t="s">
        <v>14</v>
      </c>
      <c r="J75" s="123" t="s">
        <v>14</v>
      </c>
      <c r="K75" s="123" t="s">
        <v>14</v>
      </c>
      <c r="L75" s="123" t="s">
        <v>14</v>
      </c>
      <c r="M75" s="123" t="s">
        <v>23</v>
      </c>
      <c r="N75" s="123" t="s">
        <v>14</v>
      </c>
      <c r="O75" s="123" t="s">
        <v>14</v>
      </c>
      <c r="P75" s="123" t="s">
        <v>14</v>
      </c>
      <c r="Q75" s="263" t="s">
        <v>17</v>
      </c>
      <c r="R75" s="263" t="s">
        <v>17</v>
      </c>
      <c r="S75" s="263" t="s">
        <v>17</v>
      </c>
      <c r="T75" s="263" t="s">
        <v>17</v>
      </c>
      <c r="U75" s="263" t="s">
        <v>17</v>
      </c>
      <c r="V75" s="263" t="s">
        <v>17</v>
      </c>
      <c r="W75" s="263" t="s">
        <v>17</v>
      </c>
      <c r="X75" s="263" t="s">
        <v>17</v>
      </c>
      <c r="Y75" s="263" t="s">
        <v>17</v>
      </c>
      <c r="Z75" s="263" t="s">
        <v>17</v>
      </c>
      <c r="AA75" s="263" t="s">
        <v>17</v>
      </c>
      <c r="AB75" s="263" t="s">
        <v>17</v>
      </c>
      <c r="AC75" s="263" t="s">
        <v>17</v>
      </c>
      <c r="AD75" s="263" t="s">
        <v>17</v>
      </c>
      <c r="AE75" s="263" t="s">
        <v>17</v>
      </c>
      <c r="AF75" s="263" t="s">
        <v>17</v>
      </c>
      <c r="AG75" s="263" t="s">
        <v>17</v>
      </c>
      <c r="AH75" s="30">
        <f>COUNTIF($F75:$AG75,$C$128)</f>
        <v>9</v>
      </c>
      <c r="AI75" s="30">
        <f>COUNTIF($F75:$AG75,$C$129)</f>
        <v>0</v>
      </c>
      <c r="AJ75" s="30">
        <f>COUNTIF($F75:$AG75,$C$130)</f>
        <v>0</v>
      </c>
      <c r="AK75" s="30">
        <f>COUNTIF($F75:$AG75,$C$131)</f>
        <v>17</v>
      </c>
      <c r="AL75" s="30">
        <f>COUNTIF($F75:$AG75,$C$132)</f>
        <v>0</v>
      </c>
      <c r="AM75" s="30">
        <f>COUNTIF($F75:$AG75,$C$133)</f>
        <v>0</v>
      </c>
      <c r="AN75" s="30">
        <f>COUNTIF($F75:$AG75,$C$134)</f>
        <v>0</v>
      </c>
      <c r="AO75" s="7">
        <f>COUNTIF($F75:$AG75,$C$135)</f>
        <v>0</v>
      </c>
      <c r="AP75" s="7">
        <f>COUNTIF($F75:$AG75,$C$136)</f>
        <v>0</v>
      </c>
      <c r="AQ75" s="7">
        <f>COUNTIF($F75:$AG75,$C$137)</f>
        <v>2</v>
      </c>
      <c r="AR75" s="30">
        <f>COUNTIF($F75:$AG75,$C$138)</f>
        <v>0</v>
      </c>
      <c r="AS75" s="30">
        <f>COUNTIF($F75:$AG75,$C$139)</f>
        <v>0</v>
      </c>
      <c r="AT75" s="30">
        <f>COUNTIF($F75:$AG75,$C$140)</f>
        <v>0</v>
      </c>
      <c r="AU75" s="30">
        <f>COUNTIF($F75:$AG75,$C$141)</f>
        <v>0</v>
      </c>
      <c r="AV75" s="30">
        <f>COUNTA(F75:AG75)</f>
        <v>28</v>
      </c>
      <c r="AW75" s="54">
        <f>AH75+AR75</f>
        <v>9</v>
      </c>
      <c r="AX75" s="54" cm="1">
        <f t="array" ref="AX75">IFERROR(
COUNTA(F75:AG75)-MAX(IF(TRIM(F75:AG75)="OD",COLUMN(F75:AG75)-COLUMN(F75)+1)),"")</f>
        <v>20</v>
      </c>
    </row>
    <row r="76" spans="1:50">
      <c r="A76" s="450"/>
      <c r="B76" s="60"/>
      <c r="C76" s="61"/>
      <c r="D76" s="61"/>
      <c r="E76" s="73" t="s">
        <v>34</v>
      </c>
      <c r="F76" s="249"/>
      <c r="G76" s="123"/>
      <c r="H76" s="26"/>
      <c r="I76" s="26"/>
      <c r="J76" s="26">
        <v>1</v>
      </c>
      <c r="K76" s="26">
        <v>2</v>
      </c>
      <c r="L76" s="26">
        <v>1</v>
      </c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5"/>
      <c r="AB76" s="25"/>
      <c r="AC76" s="25"/>
      <c r="AD76" s="25"/>
      <c r="AE76" s="25"/>
      <c r="AF76" s="25"/>
      <c r="AG76" s="25"/>
      <c r="AH76" s="459">
        <f>SUM(F76:AG76)</f>
        <v>4</v>
      </c>
      <c r="AI76" s="445"/>
      <c r="AJ76" s="445"/>
      <c r="AK76" s="445"/>
      <c r="AL76" s="445"/>
      <c r="AM76" s="445"/>
      <c r="AN76" s="445"/>
      <c r="AO76" s="445"/>
      <c r="AP76" s="445"/>
      <c r="AQ76" s="445"/>
      <c r="AR76" s="445"/>
      <c r="AS76" s="445"/>
      <c r="AT76" s="445"/>
      <c r="AU76" s="445"/>
      <c r="AV76" s="479"/>
      <c r="AW76" s="54"/>
    </row>
    <row r="77" spans="1:50">
      <c r="A77" s="449">
        <v>37</v>
      </c>
      <c r="B77" s="67">
        <v>116</v>
      </c>
      <c r="C77" s="56" t="s">
        <v>73</v>
      </c>
      <c r="D77" s="56" t="s">
        <v>31</v>
      </c>
      <c r="E77" s="71" t="s">
        <v>32</v>
      </c>
      <c r="F77" s="123" t="s">
        <v>14</v>
      </c>
      <c r="G77" s="123" t="s">
        <v>23</v>
      </c>
      <c r="H77" s="123" t="s">
        <v>14</v>
      </c>
      <c r="I77" s="123" t="s">
        <v>14</v>
      </c>
      <c r="J77" s="123" t="s">
        <v>14</v>
      </c>
      <c r="K77" s="123" t="s">
        <v>14</v>
      </c>
      <c r="L77" s="123" t="s">
        <v>14</v>
      </c>
      <c r="M77" s="123" t="s">
        <v>23</v>
      </c>
      <c r="N77" s="123" t="s">
        <v>14</v>
      </c>
      <c r="O77" s="123" t="s">
        <v>14</v>
      </c>
      <c r="P77" s="123" t="s">
        <v>14</v>
      </c>
      <c r="Q77" s="123" t="s">
        <v>14</v>
      </c>
      <c r="R77" s="123" t="s">
        <v>14</v>
      </c>
      <c r="S77" s="123" t="s">
        <v>14</v>
      </c>
      <c r="T77" s="123" t="s">
        <v>23</v>
      </c>
      <c r="U77" s="123" t="s">
        <v>14</v>
      </c>
      <c r="V77" s="123" t="s">
        <v>14</v>
      </c>
      <c r="W77" s="123" t="s">
        <v>14</v>
      </c>
      <c r="X77" s="123" t="s">
        <v>14</v>
      </c>
      <c r="Y77" s="123" t="s">
        <v>14</v>
      </c>
      <c r="Z77" s="123" t="s">
        <v>14</v>
      </c>
      <c r="AA77" s="123" t="s">
        <v>14</v>
      </c>
      <c r="AB77" s="123" t="s">
        <v>14</v>
      </c>
      <c r="AC77" s="123" t="s">
        <v>14</v>
      </c>
      <c r="AD77" s="123" t="s">
        <v>14</v>
      </c>
      <c r="AE77" s="123" t="s">
        <v>14</v>
      </c>
      <c r="AF77" s="123" t="s">
        <v>14</v>
      </c>
      <c r="AG77" s="123" t="s">
        <v>23</v>
      </c>
      <c r="AH77" s="30">
        <f>COUNTIF($F77:$AG77,$C$128)</f>
        <v>24</v>
      </c>
      <c r="AI77" s="30">
        <f>COUNTIF($F77:$AG77,$C$129)</f>
        <v>0</v>
      </c>
      <c r="AJ77" s="30">
        <f>COUNTIF($F77:$AG77,$C$130)</f>
        <v>0</v>
      </c>
      <c r="AK77" s="30">
        <f>COUNTIF($F77:$AG77,$C$131)</f>
        <v>0</v>
      </c>
      <c r="AL77" s="30">
        <f>COUNTIF($F77:$AG77,$C$132)</f>
        <v>0</v>
      </c>
      <c r="AM77" s="74">
        <f>COUNTIF($F77:$AG77,$C$133)</f>
        <v>0</v>
      </c>
      <c r="AN77" s="74">
        <f>COUNTIF($F77:$AG77,$C$134)</f>
        <v>0</v>
      </c>
      <c r="AO77" s="30">
        <f>COUNTIF($F77:$AG77,$C$135)</f>
        <v>0</v>
      </c>
      <c r="AP77" s="30">
        <f>COUNTIF($F77:$AG77,$C$136)</f>
        <v>0</v>
      </c>
      <c r="AQ77" s="30">
        <f>COUNTIF($F77:$AG77,$C$137)</f>
        <v>4</v>
      </c>
      <c r="AR77" s="30">
        <f>COUNTIF($F77:$AG77,$C$138)</f>
        <v>0</v>
      </c>
      <c r="AS77" s="30">
        <f>COUNTIF($F77:$AG77,$C$139)</f>
        <v>0</v>
      </c>
      <c r="AT77" s="30">
        <f>COUNTIF($F77:$AG77,$C$140)</f>
        <v>0</v>
      </c>
      <c r="AU77" s="30">
        <f>COUNTIF($F77:$AG77,$C$141)</f>
        <v>0</v>
      </c>
      <c r="AV77" s="30">
        <f>COUNTA(F77:AG77)</f>
        <v>28</v>
      </c>
      <c r="AW77" s="54">
        <f>AH77+AR77</f>
        <v>24</v>
      </c>
      <c r="AX77" s="54" cm="1">
        <f t="array" ref="AX77">IFERROR(
COUNTA(F77:AG77)-MAX(IF(TRIM(F77:AG77)="OD",COLUMN(F77:AG77)-COLUMN(F77)+1)),"")</f>
        <v>0</v>
      </c>
    </row>
    <row r="78" spans="1:50">
      <c r="A78" s="450"/>
      <c r="B78" s="60"/>
      <c r="C78" s="61"/>
      <c r="D78" s="61"/>
      <c r="E78" s="73" t="s">
        <v>34</v>
      </c>
      <c r="F78" s="242"/>
      <c r="G78" s="123"/>
      <c r="H78" s="26"/>
      <c r="I78" s="26"/>
      <c r="J78" s="123">
        <v>1</v>
      </c>
      <c r="K78" s="26"/>
      <c r="L78" s="44"/>
      <c r="M78" s="44"/>
      <c r="N78" s="123"/>
      <c r="O78" s="44"/>
      <c r="P78" s="26"/>
      <c r="Q78" s="26"/>
      <c r="R78" s="26"/>
      <c r="S78" s="26"/>
      <c r="T78" s="26"/>
      <c r="U78" s="26"/>
      <c r="V78" s="26"/>
      <c r="W78" s="26">
        <v>3</v>
      </c>
      <c r="X78" s="26">
        <v>3</v>
      </c>
      <c r="Y78" s="26">
        <v>3</v>
      </c>
      <c r="Z78" s="26">
        <v>3</v>
      </c>
      <c r="AA78" s="25">
        <v>3</v>
      </c>
      <c r="AB78" s="25">
        <v>4</v>
      </c>
      <c r="AC78" s="25">
        <v>3</v>
      </c>
      <c r="AD78" s="25">
        <v>3</v>
      </c>
      <c r="AE78" s="25">
        <v>3</v>
      </c>
      <c r="AF78" s="25">
        <v>3</v>
      </c>
      <c r="AG78" s="25"/>
      <c r="AH78" s="459">
        <f>SUM(F78:AG78)</f>
        <v>32</v>
      </c>
      <c r="AI78" s="445"/>
      <c r="AJ78" s="445"/>
      <c r="AK78" s="445"/>
      <c r="AL78" s="445"/>
      <c r="AM78" s="445"/>
      <c r="AN78" s="445"/>
      <c r="AO78" s="445"/>
      <c r="AP78" s="445"/>
      <c r="AQ78" s="445"/>
      <c r="AR78" s="445"/>
      <c r="AS78" s="445"/>
      <c r="AT78" s="445"/>
      <c r="AU78" s="445"/>
      <c r="AV78" s="479"/>
      <c r="AW78" s="54"/>
    </row>
    <row r="79" spans="1:50">
      <c r="A79" s="449">
        <v>38</v>
      </c>
      <c r="B79" s="67">
        <v>58</v>
      </c>
      <c r="C79" s="56" t="s">
        <v>74</v>
      </c>
      <c r="D79" s="56" t="s">
        <v>31</v>
      </c>
      <c r="E79" s="71" t="s">
        <v>32</v>
      </c>
      <c r="F79" s="123" t="s">
        <v>14</v>
      </c>
      <c r="G79" s="123" t="s">
        <v>14</v>
      </c>
      <c r="H79" s="123" t="s">
        <v>14</v>
      </c>
      <c r="I79" s="123" t="s">
        <v>14</v>
      </c>
      <c r="J79" s="123" t="s">
        <v>14</v>
      </c>
      <c r="K79" s="123" t="s">
        <v>14</v>
      </c>
      <c r="L79" s="123" t="s">
        <v>14</v>
      </c>
      <c r="M79" s="123" t="s">
        <v>14</v>
      </c>
      <c r="N79" s="123" t="s">
        <v>14</v>
      </c>
      <c r="O79" s="123" t="s">
        <v>23</v>
      </c>
      <c r="P79" s="123" t="s">
        <v>14</v>
      </c>
      <c r="Q79" s="123" t="s">
        <v>14</v>
      </c>
      <c r="R79" s="123" t="s">
        <v>14</v>
      </c>
      <c r="S79" s="123" t="s">
        <v>23</v>
      </c>
      <c r="T79" s="123" t="s">
        <v>14</v>
      </c>
      <c r="U79" s="123" t="s">
        <v>14</v>
      </c>
      <c r="V79" s="123" t="s">
        <v>14</v>
      </c>
      <c r="W79" s="123" t="s">
        <v>14</v>
      </c>
      <c r="X79" s="123" t="s">
        <v>14</v>
      </c>
      <c r="Y79" s="123" t="s">
        <v>14</v>
      </c>
      <c r="Z79" s="123" t="s">
        <v>23</v>
      </c>
      <c r="AA79" s="123" t="s">
        <v>14</v>
      </c>
      <c r="AB79" s="123" t="s">
        <v>14</v>
      </c>
      <c r="AC79" s="123" t="s">
        <v>14</v>
      </c>
      <c r="AD79" s="123" t="s">
        <v>14</v>
      </c>
      <c r="AE79" s="123" t="s">
        <v>23</v>
      </c>
      <c r="AF79" s="123" t="s">
        <v>14</v>
      </c>
      <c r="AG79" s="123" t="s">
        <v>14</v>
      </c>
      <c r="AH79" s="30">
        <f>COUNTIF($F79:$AG79,$C$128)</f>
        <v>24</v>
      </c>
      <c r="AI79" s="30">
        <f>COUNTIF($F79:$AG79,$C$129)</f>
        <v>0</v>
      </c>
      <c r="AJ79" s="30">
        <f>COUNTIF($F79:$AG79,$C$130)</f>
        <v>0</v>
      </c>
      <c r="AK79" s="30">
        <f>COUNTIF($F79:$AG79,$C$131)</f>
        <v>0</v>
      </c>
      <c r="AL79" s="30">
        <f>COUNTIF($F79:$AG79,$C$132)</f>
        <v>0</v>
      </c>
      <c r="AM79" s="30">
        <f>COUNTIF($F79:$AG79,$C$133)</f>
        <v>0</v>
      </c>
      <c r="AN79" s="30">
        <f>COUNTIF($F79:$AG79,$C$134)</f>
        <v>0</v>
      </c>
      <c r="AO79" s="30">
        <f>COUNTIF($F79:$AG79,$C$135)</f>
        <v>0</v>
      </c>
      <c r="AP79" s="30">
        <f>COUNTIF($F79:$AG79,$C$136)</f>
        <v>0</v>
      </c>
      <c r="AQ79" s="30">
        <f>COUNTIF($F79:$AG79,$C$137)</f>
        <v>4</v>
      </c>
      <c r="AR79" s="30">
        <f>COUNTIF($F79:$AG79,$C$138)</f>
        <v>0</v>
      </c>
      <c r="AS79" s="30">
        <f>COUNTIF($F79:$AG79,$C$139)</f>
        <v>0</v>
      </c>
      <c r="AT79" s="30">
        <f>COUNTIF($F79:$AG79,$C$140)</f>
        <v>0</v>
      </c>
      <c r="AU79" s="30">
        <f>COUNTIF($F79:$AG79,$C$141)</f>
        <v>0</v>
      </c>
      <c r="AV79" s="30">
        <f>COUNTA(F79:AG79)</f>
        <v>28</v>
      </c>
      <c r="AW79" s="54">
        <f>AH79+AR79</f>
        <v>24</v>
      </c>
      <c r="AX79" s="54" cm="1">
        <f t="array" ref="AX79">IFERROR(
COUNTA(F79:AG79)-MAX(IF(TRIM(F79:AG79)="OD",COLUMN(F79:AG79)-COLUMN(F79)+1)),"")</f>
        <v>2</v>
      </c>
    </row>
    <row r="80" spans="1:50">
      <c r="A80" s="450"/>
      <c r="B80" s="60"/>
      <c r="C80" s="61"/>
      <c r="D80" s="61"/>
      <c r="E80" s="73" t="s">
        <v>34</v>
      </c>
      <c r="F80" s="242"/>
      <c r="G80" s="26">
        <v>4</v>
      </c>
      <c r="H80" s="26">
        <v>3</v>
      </c>
      <c r="I80" s="26"/>
      <c r="J80" s="26">
        <v>3</v>
      </c>
      <c r="K80" s="26"/>
      <c r="L80" s="26"/>
      <c r="M80" s="26">
        <v>1</v>
      </c>
      <c r="N80" s="26"/>
      <c r="O80" s="26"/>
      <c r="P80" s="26">
        <v>1</v>
      </c>
      <c r="Q80" s="26">
        <v>2</v>
      </c>
      <c r="R80" s="26">
        <v>3</v>
      </c>
      <c r="S80" s="26"/>
      <c r="T80" s="26"/>
      <c r="U80" s="26">
        <v>2</v>
      </c>
      <c r="V80" s="26">
        <v>1</v>
      </c>
      <c r="W80" s="26"/>
      <c r="X80" s="26"/>
      <c r="Y80" s="26">
        <v>2</v>
      </c>
      <c r="Z80" s="26"/>
      <c r="AA80" s="25"/>
      <c r="AB80" s="25">
        <v>4</v>
      </c>
      <c r="AC80" s="25">
        <v>2</v>
      </c>
      <c r="AD80" s="25"/>
      <c r="AE80" s="25"/>
      <c r="AF80" s="25">
        <v>3</v>
      </c>
      <c r="AG80" s="25"/>
      <c r="AH80" s="459">
        <f>SUM(F80:AG80)</f>
        <v>31</v>
      </c>
      <c r="AI80" s="445"/>
      <c r="AJ80" s="445"/>
      <c r="AK80" s="445"/>
      <c r="AL80" s="445"/>
      <c r="AM80" s="445"/>
      <c r="AN80" s="445"/>
      <c r="AO80" s="445"/>
      <c r="AP80" s="445"/>
      <c r="AQ80" s="445"/>
      <c r="AR80" s="445"/>
      <c r="AS80" s="445"/>
      <c r="AT80" s="445"/>
      <c r="AU80" s="445"/>
      <c r="AV80" s="479"/>
      <c r="AW80" s="54"/>
    </row>
    <row r="81" spans="1:51">
      <c r="A81" s="449">
        <v>39</v>
      </c>
      <c r="B81" s="67">
        <v>92</v>
      </c>
      <c r="C81" s="70" t="s">
        <v>75</v>
      </c>
      <c r="D81" s="56" t="s">
        <v>31</v>
      </c>
      <c r="E81" s="71" t="s">
        <v>32</v>
      </c>
      <c r="F81" s="123" t="s">
        <v>23</v>
      </c>
      <c r="G81" s="123" t="s">
        <v>14</v>
      </c>
      <c r="H81" s="45" t="s">
        <v>14</v>
      </c>
      <c r="I81" s="45" t="s">
        <v>14</v>
      </c>
      <c r="J81" s="45" t="s">
        <v>14</v>
      </c>
      <c r="K81" s="45" t="s">
        <v>14</v>
      </c>
      <c r="L81" s="45" t="s">
        <v>14</v>
      </c>
      <c r="M81" s="123" t="s">
        <v>14</v>
      </c>
      <c r="N81" s="45" t="s">
        <v>14</v>
      </c>
      <c r="O81" s="123" t="s">
        <v>23</v>
      </c>
      <c r="P81" s="123" t="s">
        <v>14</v>
      </c>
      <c r="Q81" s="123" t="s">
        <v>14</v>
      </c>
      <c r="R81" s="123" t="s">
        <v>14</v>
      </c>
      <c r="S81" s="123" t="s">
        <v>14</v>
      </c>
      <c r="T81" s="123" t="s">
        <v>14</v>
      </c>
      <c r="U81" s="123" t="s">
        <v>14</v>
      </c>
      <c r="V81" s="123" t="s">
        <v>23</v>
      </c>
      <c r="W81" s="123" t="s">
        <v>14</v>
      </c>
      <c r="X81" s="123" t="s">
        <v>14</v>
      </c>
      <c r="Y81" s="123" t="s">
        <v>14</v>
      </c>
      <c r="Z81" s="123" t="s">
        <v>14</v>
      </c>
      <c r="AA81" s="123" t="s">
        <v>23</v>
      </c>
      <c r="AB81" s="123" t="s">
        <v>14</v>
      </c>
      <c r="AC81" s="123" t="s">
        <v>14</v>
      </c>
      <c r="AD81" s="123" t="s">
        <v>14</v>
      </c>
      <c r="AE81" s="123" t="s">
        <v>14</v>
      </c>
      <c r="AF81" s="123" t="s">
        <v>14</v>
      </c>
      <c r="AG81" s="123" t="s">
        <v>14</v>
      </c>
      <c r="AH81" s="30">
        <f>COUNTIF($F81:$AG81,$C$128)</f>
        <v>24</v>
      </c>
      <c r="AI81" s="30">
        <f>COUNTIF($F81:$AG81,$C$129)</f>
        <v>0</v>
      </c>
      <c r="AJ81" s="30">
        <f>COUNTIF($F81:$AG81,$C$130)</f>
        <v>0</v>
      </c>
      <c r="AK81" s="30">
        <f>COUNTIF($F81:$AG81,$C$131)</f>
        <v>0</v>
      </c>
      <c r="AL81" s="30">
        <f>COUNTIF($F81:$AG81,$C$132)</f>
        <v>0</v>
      </c>
      <c r="AM81" s="30">
        <f>COUNTIF($F81:$AG81,$C$133)</f>
        <v>0</v>
      </c>
      <c r="AN81" s="30">
        <f>COUNTIF($F81:$AG81,$C$134)</f>
        <v>0</v>
      </c>
      <c r="AO81" s="30">
        <f>COUNTIF($F81:$AG81,$C$135)</f>
        <v>0</v>
      </c>
      <c r="AP81" s="30">
        <f>COUNTIF($F81:$AG81,$C$136)</f>
        <v>0</v>
      </c>
      <c r="AQ81" s="30">
        <f>COUNTIF($F81:$AG81,$C$137)</f>
        <v>4</v>
      </c>
      <c r="AR81" s="30">
        <f>COUNTIF($F81:$AG81,$C$138)</f>
        <v>0</v>
      </c>
      <c r="AS81" s="30">
        <f>COUNTIF($F81:$AG81,$C$139)</f>
        <v>0</v>
      </c>
      <c r="AT81" s="30">
        <f>COUNTIF($F81:$AG81,$C$140)</f>
        <v>0</v>
      </c>
      <c r="AU81" s="30">
        <f>COUNTIF($F81:$AG81,$C$141)</f>
        <v>0</v>
      </c>
      <c r="AV81" s="30">
        <f>COUNTA(F81:AG81)</f>
        <v>28</v>
      </c>
      <c r="AW81" s="54">
        <f>AH81+AR81</f>
        <v>24</v>
      </c>
      <c r="AX81" s="54" cm="1">
        <f t="array" ref="AX81">IFERROR(
COUNTA(F81:AG81)-MAX(IF(TRIM(F81:AG81)="OD",COLUMN(F81:AG81)-COLUMN(F81)+1)),"")</f>
        <v>6</v>
      </c>
    </row>
    <row r="82" spans="1:51">
      <c r="A82" s="470"/>
      <c r="B82" s="55"/>
      <c r="C82" s="167"/>
      <c r="D82" s="64"/>
      <c r="E82" s="73" t="s">
        <v>34</v>
      </c>
      <c r="F82" s="242"/>
      <c r="G82" s="123">
        <v>3</v>
      </c>
      <c r="H82" s="45"/>
      <c r="I82" s="45"/>
      <c r="J82" s="45"/>
      <c r="K82" s="45"/>
      <c r="L82" s="45"/>
      <c r="M82" s="45"/>
      <c r="N82" s="45"/>
      <c r="O82" s="44"/>
      <c r="P82" s="26"/>
      <c r="Q82" s="26"/>
      <c r="R82" s="26"/>
      <c r="S82" s="26">
        <v>2</v>
      </c>
      <c r="T82" s="26"/>
      <c r="U82" s="26"/>
      <c r="V82" s="26"/>
      <c r="W82" s="26">
        <v>3</v>
      </c>
      <c r="X82" s="26">
        <v>3</v>
      </c>
      <c r="Y82" s="26">
        <v>3</v>
      </c>
      <c r="Z82" s="26">
        <v>3</v>
      </c>
      <c r="AA82" s="25"/>
      <c r="AB82" s="25">
        <v>3</v>
      </c>
      <c r="AC82" s="25">
        <v>3</v>
      </c>
      <c r="AD82" s="25">
        <v>3</v>
      </c>
      <c r="AE82" s="25">
        <v>3</v>
      </c>
      <c r="AF82" s="25">
        <v>3</v>
      </c>
      <c r="AG82" s="25">
        <v>3</v>
      </c>
      <c r="AH82" s="459">
        <f>SUM(F82:AG82)</f>
        <v>35</v>
      </c>
      <c r="AI82" s="445"/>
      <c r="AJ82" s="445"/>
      <c r="AK82" s="445"/>
      <c r="AL82" s="445"/>
      <c r="AM82" s="445"/>
      <c r="AN82" s="445"/>
      <c r="AO82" s="445"/>
      <c r="AP82" s="445"/>
      <c r="AQ82" s="445"/>
      <c r="AR82" s="445"/>
      <c r="AS82" s="445"/>
      <c r="AT82" s="445"/>
      <c r="AU82" s="445"/>
      <c r="AV82" s="479"/>
      <c r="AW82" s="54"/>
    </row>
    <row r="83" spans="1:51">
      <c r="A83" s="487">
        <v>40</v>
      </c>
      <c r="B83" s="164">
        <v>103</v>
      </c>
      <c r="C83" s="168" t="s">
        <v>76</v>
      </c>
      <c r="D83" s="171" t="s">
        <v>31</v>
      </c>
      <c r="E83" s="71" t="s">
        <v>32</v>
      </c>
      <c r="F83" s="123" t="s">
        <v>23</v>
      </c>
      <c r="G83" s="123" t="s">
        <v>14</v>
      </c>
      <c r="H83" s="45" t="s">
        <v>14</v>
      </c>
      <c r="I83" s="45" t="s">
        <v>14</v>
      </c>
      <c r="J83" s="45" t="s">
        <v>14</v>
      </c>
      <c r="K83" s="45" t="s">
        <v>14</v>
      </c>
      <c r="L83" s="45" t="s">
        <v>14</v>
      </c>
      <c r="M83" s="123" t="s">
        <v>23</v>
      </c>
      <c r="N83" s="45" t="s">
        <v>14</v>
      </c>
      <c r="O83" s="123" t="s">
        <v>14</v>
      </c>
      <c r="P83" s="123" t="s">
        <v>14</v>
      </c>
      <c r="Q83" s="123" t="s">
        <v>14</v>
      </c>
      <c r="R83" s="123" t="s">
        <v>14</v>
      </c>
      <c r="S83" s="123" t="s">
        <v>14</v>
      </c>
      <c r="T83" s="123" t="s">
        <v>23</v>
      </c>
      <c r="U83" s="123" t="s">
        <v>14</v>
      </c>
      <c r="V83" s="123" t="s">
        <v>14</v>
      </c>
      <c r="W83" s="123" t="s">
        <v>14</v>
      </c>
      <c r="X83" s="123" t="s">
        <v>14</v>
      </c>
      <c r="Y83" s="123" t="s">
        <v>14</v>
      </c>
      <c r="Z83" s="123" t="s">
        <v>14</v>
      </c>
      <c r="AA83" s="123" t="s">
        <v>23</v>
      </c>
      <c r="AB83" s="123" t="s">
        <v>14</v>
      </c>
      <c r="AC83" s="123" t="s">
        <v>14</v>
      </c>
      <c r="AD83" s="123" t="s">
        <v>14</v>
      </c>
      <c r="AE83" s="123" t="s">
        <v>14</v>
      </c>
      <c r="AF83" s="123" t="s">
        <v>14</v>
      </c>
      <c r="AG83" s="123" t="s">
        <v>14</v>
      </c>
      <c r="AH83" s="30">
        <f>COUNTIF($F83:$AG83,$C$128)</f>
        <v>24</v>
      </c>
      <c r="AI83" s="30">
        <f>COUNTIF($F83:$AG83,$C$129)</f>
        <v>0</v>
      </c>
      <c r="AJ83" s="30">
        <f>COUNTIF($F83:$AG83,$C$130)</f>
        <v>0</v>
      </c>
      <c r="AK83" s="30">
        <f>COUNTIF($F83:$AG83,$C$131)</f>
        <v>0</v>
      </c>
      <c r="AL83" s="30">
        <f>COUNTIF($F83:$AG83,$C$132)</f>
        <v>0</v>
      </c>
      <c r="AM83" s="30">
        <f>COUNTIF($F83:$AG83,$C$133)</f>
        <v>0</v>
      </c>
      <c r="AN83" s="30">
        <f>COUNTIF($F83:$AG83,$C$134)</f>
        <v>0</v>
      </c>
      <c r="AO83" s="30">
        <f>COUNTIF($F83:$AG83,$C$135)</f>
        <v>0</v>
      </c>
      <c r="AP83" s="30">
        <f>COUNTIF($F83:$AG83,$C$136)</f>
        <v>0</v>
      </c>
      <c r="AQ83" s="30">
        <f>COUNTIF($F83:$AG83,$C$137)</f>
        <v>4</v>
      </c>
      <c r="AR83" s="30">
        <f>COUNTIF($F83:$AG83,$C$138)</f>
        <v>0</v>
      </c>
      <c r="AS83" s="30">
        <f>COUNTIF($F83:$AG83,$C$139)</f>
        <v>0</v>
      </c>
      <c r="AT83" s="30">
        <f>COUNTIF($F83:$AG83,$C$140)</f>
        <v>0</v>
      </c>
      <c r="AU83" s="30">
        <f>COUNTIF($F83:$AG83,$C$141)</f>
        <v>0</v>
      </c>
      <c r="AV83" s="30">
        <f>COUNTA(F83:AG83)</f>
        <v>28</v>
      </c>
      <c r="AW83" s="54">
        <f>AH83+AR83</f>
        <v>24</v>
      </c>
      <c r="AX83" s="54" cm="1">
        <f t="array" ref="AX83">IFERROR(
COUNTA(F83:AG83)-MAX(IF(TRIM(F83:AG83)="OD",COLUMN(F83:AG83)-COLUMN(F83)+1)),"")</f>
        <v>6</v>
      </c>
    </row>
    <row r="84" spans="1:51">
      <c r="A84" s="488"/>
      <c r="B84" s="162"/>
      <c r="C84" s="169"/>
      <c r="D84" s="87"/>
      <c r="E84" s="73" t="s">
        <v>34</v>
      </c>
      <c r="F84" s="242"/>
      <c r="G84" s="123">
        <v>4</v>
      </c>
      <c r="H84" s="45"/>
      <c r="I84" s="45"/>
      <c r="J84" s="45"/>
      <c r="K84" s="45"/>
      <c r="L84" s="45"/>
      <c r="M84" s="45"/>
      <c r="N84" s="45"/>
      <c r="O84" s="44"/>
      <c r="P84" s="26"/>
      <c r="Q84" s="26"/>
      <c r="R84" s="26"/>
      <c r="S84" s="26"/>
      <c r="T84" s="26"/>
      <c r="U84" s="26"/>
      <c r="V84" s="26"/>
      <c r="W84" s="26">
        <v>3</v>
      </c>
      <c r="X84" s="26">
        <v>3</v>
      </c>
      <c r="Y84" s="26">
        <v>3</v>
      </c>
      <c r="Z84" s="26">
        <v>3</v>
      </c>
      <c r="AA84" s="25"/>
      <c r="AB84" s="25">
        <v>3</v>
      </c>
      <c r="AC84" s="25">
        <v>3</v>
      </c>
      <c r="AD84" s="25">
        <v>3</v>
      </c>
      <c r="AE84" s="25">
        <v>3</v>
      </c>
      <c r="AF84" s="25">
        <v>3</v>
      </c>
      <c r="AG84" s="25">
        <v>3</v>
      </c>
      <c r="AH84" s="459">
        <f>SUM(F84:AG84)</f>
        <v>34</v>
      </c>
      <c r="AI84" s="445"/>
      <c r="AJ84" s="445"/>
      <c r="AK84" s="445"/>
      <c r="AL84" s="445"/>
      <c r="AM84" s="445"/>
      <c r="AN84" s="445"/>
      <c r="AO84" s="445"/>
      <c r="AP84" s="445"/>
      <c r="AQ84" s="445"/>
      <c r="AR84" s="445"/>
      <c r="AS84" s="445"/>
      <c r="AT84" s="445"/>
      <c r="AU84" s="445"/>
      <c r="AV84" s="479"/>
      <c r="AW84" s="54"/>
    </row>
    <row r="85" spans="1:51">
      <c r="A85" s="425">
        <v>41</v>
      </c>
      <c r="B85" s="165">
        <v>117</v>
      </c>
      <c r="C85" s="170" t="s">
        <v>77</v>
      </c>
      <c r="D85" s="172" t="s">
        <v>31</v>
      </c>
      <c r="E85" s="153" t="s">
        <v>32</v>
      </c>
      <c r="F85" s="329" t="s">
        <v>14</v>
      </c>
      <c r="G85" s="261" t="s">
        <v>23</v>
      </c>
      <c r="H85" s="360" t="s">
        <v>14</v>
      </c>
      <c r="I85" s="360" t="s">
        <v>14</v>
      </c>
      <c r="J85" s="360" t="s">
        <v>14</v>
      </c>
      <c r="K85" s="360" t="s">
        <v>14</v>
      </c>
      <c r="L85" s="360" t="s">
        <v>14</v>
      </c>
      <c r="M85" s="329" t="s">
        <v>14</v>
      </c>
      <c r="N85" s="360" t="s">
        <v>14</v>
      </c>
      <c r="O85" s="366" t="s">
        <v>14</v>
      </c>
      <c r="P85" s="366" t="s">
        <v>14</v>
      </c>
      <c r="Q85" s="366" t="s">
        <v>14</v>
      </c>
      <c r="R85" s="367" t="s">
        <v>23</v>
      </c>
      <c r="S85" s="366" t="s">
        <v>14</v>
      </c>
      <c r="T85" s="366" t="s">
        <v>14</v>
      </c>
      <c r="U85" s="366" t="s">
        <v>14</v>
      </c>
      <c r="V85" s="366" t="s">
        <v>14</v>
      </c>
      <c r="W85" s="365" t="s">
        <v>22</v>
      </c>
      <c r="X85" s="365" t="s">
        <v>22</v>
      </c>
      <c r="Y85" s="365" t="s">
        <v>22</v>
      </c>
      <c r="Z85" s="365" t="s">
        <v>22</v>
      </c>
      <c r="AA85" s="365" t="s">
        <v>22</v>
      </c>
      <c r="AB85" s="365" t="s">
        <v>22</v>
      </c>
      <c r="AC85" s="365" t="s">
        <v>22</v>
      </c>
      <c r="AD85" s="365" t="s">
        <v>22</v>
      </c>
      <c r="AE85" s="365" t="s">
        <v>22</v>
      </c>
      <c r="AF85" s="365" t="s">
        <v>22</v>
      </c>
      <c r="AG85" s="365" t="s">
        <v>22</v>
      </c>
      <c r="AH85" s="30">
        <f>COUNTIF($F85:$AG85,$C$128)</f>
        <v>15</v>
      </c>
      <c r="AI85" s="30">
        <f>COUNTIF($F85:$AG85,$C$129)</f>
        <v>0</v>
      </c>
      <c r="AJ85" s="30">
        <f>COUNTIF($F85:$AG85,$C$130)</f>
        <v>0</v>
      </c>
      <c r="AK85" s="30">
        <f>COUNTIF($F85:$AG85,$C$131)</f>
        <v>0</v>
      </c>
      <c r="AL85" s="30">
        <f>COUNTIF($F85:$AG85,$C$132)</f>
        <v>0</v>
      </c>
      <c r="AM85" s="30">
        <f>COUNTIF($F85:$AG85,$C$133)</f>
        <v>0</v>
      </c>
      <c r="AN85" s="30">
        <f>COUNTIF($F85:$AG85,$C$134)</f>
        <v>0</v>
      </c>
      <c r="AO85" s="7">
        <f>COUNTIF($F85:$AG85,$C$135)</f>
        <v>0</v>
      </c>
      <c r="AP85" s="7">
        <f>COUNTIF($F85:$AG85,$C$136)</f>
        <v>11</v>
      </c>
      <c r="AQ85" s="30">
        <f>COUNTIF($F85:$AG85,$C$137)</f>
        <v>2</v>
      </c>
      <c r="AR85" s="30">
        <f>COUNTIF($F85:$AG85,$C$138)</f>
        <v>0</v>
      </c>
      <c r="AS85" s="30">
        <f>COUNTIF($F85:$AG85,$C$139)</f>
        <v>0</v>
      </c>
      <c r="AT85" s="30">
        <f>COUNTIF($F85:$AG85,$C$140)</f>
        <v>0</v>
      </c>
      <c r="AU85" s="30">
        <f>COUNTIF($F85:$AG85,$C$141)</f>
        <v>0</v>
      </c>
      <c r="AV85" s="30">
        <f>COUNTA(F85:AG85)</f>
        <v>28</v>
      </c>
      <c r="AW85" s="54">
        <f>AH85+AR85</f>
        <v>15</v>
      </c>
      <c r="AX85" s="54" cm="1">
        <f t="array" ref="AX85">IFERROR(
COUNTA(F85:AG85)-MAX(IF(TRIM(F85:AG85)="OD",COLUMN(F85:AG85)-COLUMN(F85)+1)),"")</f>
        <v>15</v>
      </c>
    </row>
    <row r="86" spans="1:51">
      <c r="A86" s="426"/>
      <c r="B86" s="166"/>
      <c r="C86" s="169"/>
      <c r="D86" s="87"/>
      <c r="E86" s="253" t="s">
        <v>34</v>
      </c>
      <c r="F86" s="130"/>
      <c r="G86" s="130"/>
      <c r="H86" s="45"/>
      <c r="I86" s="251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77">
        <f>SUM(F86:AG86)</f>
        <v>0</v>
      </c>
      <c r="AI86" s="461"/>
      <c r="AJ86" s="461"/>
      <c r="AK86" s="461"/>
      <c r="AL86" s="461"/>
      <c r="AM86" s="461"/>
      <c r="AN86" s="461"/>
      <c r="AO86" s="461"/>
      <c r="AP86" s="461"/>
      <c r="AQ86" s="461"/>
      <c r="AR86" s="461"/>
      <c r="AS86" s="461"/>
      <c r="AT86" s="461"/>
      <c r="AU86" s="461"/>
      <c r="AV86" s="480"/>
      <c r="AW86" s="54"/>
    </row>
    <row r="87" spans="1:51">
      <c r="A87" s="427">
        <v>42</v>
      </c>
      <c r="B87" s="160">
        <v>134</v>
      </c>
      <c r="C87" s="64" t="s">
        <v>78</v>
      </c>
      <c r="D87" s="65" t="s">
        <v>31</v>
      </c>
      <c r="E87" s="252" t="s">
        <v>32</v>
      </c>
      <c r="F87" s="123" t="s">
        <v>14</v>
      </c>
      <c r="G87" s="123" t="s">
        <v>14</v>
      </c>
      <c r="H87" s="45" t="s">
        <v>14</v>
      </c>
      <c r="I87" s="45" t="s">
        <v>14</v>
      </c>
      <c r="J87" s="45" t="s">
        <v>14</v>
      </c>
      <c r="K87" s="45" t="s">
        <v>14</v>
      </c>
      <c r="L87" s="45" t="s">
        <v>14</v>
      </c>
      <c r="M87" s="130" t="s">
        <v>14</v>
      </c>
      <c r="N87" s="45" t="s">
        <v>23</v>
      </c>
      <c r="O87" s="45" t="s">
        <v>14</v>
      </c>
      <c r="P87" s="45" t="s">
        <v>14</v>
      </c>
      <c r="Q87" s="45" t="s">
        <v>14</v>
      </c>
      <c r="R87" s="45" t="s">
        <v>14</v>
      </c>
      <c r="S87" s="45" t="s">
        <v>14</v>
      </c>
      <c r="T87" s="126" t="s">
        <v>14</v>
      </c>
      <c r="U87" s="45" t="s">
        <v>23</v>
      </c>
      <c r="V87" s="45" t="s">
        <v>14</v>
      </c>
      <c r="W87" s="45" t="s">
        <v>14</v>
      </c>
      <c r="X87" s="45" t="s">
        <v>14</v>
      </c>
      <c r="Y87" s="45" t="s">
        <v>14</v>
      </c>
      <c r="Z87" s="45" t="s">
        <v>14</v>
      </c>
      <c r="AA87" s="45" t="s">
        <v>14</v>
      </c>
      <c r="AB87" s="45" t="s">
        <v>23</v>
      </c>
      <c r="AC87" s="45" t="s">
        <v>14</v>
      </c>
      <c r="AD87" s="45" t="s">
        <v>14</v>
      </c>
      <c r="AE87" s="45" t="s">
        <v>14</v>
      </c>
      <c r="AF87" s="45" t="s">
        <v>14</v>
      </c>
      <c r="AG87" s="176" t="s">
        <v>23</v>
      </c>
      <c r="AH87" s="173">
        <f>COUNTIF($F87:$AG87,$C$128)</f>
        <v>24</v>
      </c>
      <c r="AI87" s="97">
        <f>COUNTIF($F87:$AG87,$C$129)</f>
        <v>0</v>
      </c>
      <c r="AJ87" s="97">
        <f>COUNTIF($F87:$AG87,$C$130)</f>
        <v>0</v>
      </c>
      <c r="AK87" s="97">
        <f>COUNTIF($F87:$AG87,$C$131)</f>
        <v>0</v>
      </c>
      <c r="AL87" s="97">
        <f>COUNTIF($F87:$AG87,$C$132)</f>
        <v>0</v>
      </c>
      <c r="AM87" s="97">
        <f>COUNTIF($F87:$AG87,$C$133)</f>
        <v>0</v>
      </c>
      <c r="AN87" s="97">
        <f>COUNTIF($F87:$AG87,$C$134)</f>
        <v>0</v>
      </c>
      <c r="AO87" s="174">
        <f>COUNTIF($F87:$AG87,$C$135)</f>
        <v>0</v>
      </c>
      <c r="AP87" s="174">
        <f>COUNTIF($F87:$AG87,$C$136)</f>
        <v>0</v>
      </c>
      <c r="AQ87" s="97">
        <f>COUNTIF($F87:$AG87,$C$137)</f>
        <v>4</v>
      </c>
      <c r="AR87" s="97">
        <f>COUNTIF($F87:$AG87,$C$138)</f>
        <v>0</v>
      </c>
      <c r="AS87" s="97">
        <f>COUNTIF($F87:$AG87,$C$139)</f>
        <v>0</v>
      </c>
      <c r="AT87" s="97">
        <f>COUNTIF($F87:$AG87,$C$140)</f>
        <v>0</v>
      </c>
      <c r="AU87" s="97">
        <f>COUNTIF($F87:$AG87,$C$141)</f>
        <v>0</v>
      </c>
      <c r="AV87" s="175">
        <f>COUNTA(F87:AG87)</f>
        <v>28</v>
      </c>
      <c r="AW87" s="54">
        <f t="shared" ref="AW87:AW88" si="1">AH87+AR87</f>
        <v>24</v>
      </c>
      <c r="AX87" s="54" cm="1">
        <f t="array" ref="AX87">IFERROR(
COUNTA(F87:AG87)-MAX(IF(TRIM(F87:AG87)="OD",COLUMN(F87:AG87)-COLUMN(F87)+1)),"")</f>
        <v>0</v>
      </c>
    </row>
    <row r="88" spans="1:51">
      <c r="A88" s="427"/>
      <c r="B88" s="160"/>
      <c r="C88" s="254"/>
      <c r="D88" s="255"/>
      <c r="E88" s="295" t="s">
        <v>34</v>
      </c>
      <c r="F88" s="296"/>
      <c r="G88" s="39"/>
      <c r="H88" s="39"/>
      <c r="I88" s="37">
        <v>2</v>
      </c>
      <c r="J88" s="37">
        <v>2</v>
      </c>
      <c r="K88" s="37"/>
      <c r="L88" s="37"/>
      <c r="M88" s="339">
        <v>1</v>
      </c>
      <c r="N88" s="37"/>
      <c r="O88" s="37"/>
      <c r="P88" s="37">
        <v>1</v>
      </c>
      <c r="Q88" s="37"/>
      <c r="R88" s="37"/>
      <c r="S88" s="37"/>
      <c r="T88" s="339">
        <v>5</v>
      </c>
      <c r="U88" s="37"/>
      <c r="V88" s="37"/>
      <c r="W88" s="37">
        <v>1</v>
      </c>
      <c r="X88" s="37"/>
      <c r="Y88" s="37"/>
      <c r="Z88" s="37">
        <v>1</v>
      </c>
      <c r="AA88" s="37">
        <v>3</v>
      </c>
      <c r="AB88" s="37"/>
      <c r="AC88" s="37"/>
      <c r="AD88" s="37">
        <v>3</v>
      </c>
      <c r="AE88" s="37"/>
      <c r="AF88" s="37">
        <v>1</v>
      </c>
      <c r="AG88" s="37"/>
      <c r="AH88" s="484">
        <f>SUM(F88:AG88)</f>
        <v>20</v>
      </c>
      <c r="AI88" s="485"/>
      <c r="AJ88" s="485"/>
      <c r="AK88" s="485"/>
      <c r="AL88" s="485"/>
      <c r="AM88" s="485"/>
      <c r="AN88" s="485"/>
      <c r="AO88" s="485"/>
      <c r="AP88" s="485"/>
      <c r="AQ88" s="485"/>
      <c r="AR88" s="485"/>
      <c r="AS88" s="485"/>
      <c r="AT88" s="485"/>
      <c r="AU88" s="485"/>
      <c r="AV88" s="486"/>
      <c r="AW88" s="54"/>
    </row>
    <row r="89" spans="1:51">
      <c r="A89" s="428">
        <v>43</v>
      </c>
      <c r="B89" s="78">
        <v>111</v>
      </c>
      <c r="C89" s="248" t="s">
        <v>79</v>
      </c>
      <c r="D89" s="256" t="s">
        <v>80</v>
      </c>
      <c r="E89" s="293" t="s">
        <v>32</v>
      </c>
      <c r="F89" s="294" t="s">
        <v>23</v>
      </c>
      <c r="G89" s="238" t="s">
        <v>14</v>
      </c>
      <c r="H89" s="47" t="s">
        <v>14</v>
      </c>
      <c r="I89" s="47" t="s">
        <v>14</v>
      </c>
      <c r="J89" s="235" t="s">
        <v>14</v>
      </c>
      <c r="K89" s="235" t="s">
        <v>14</v>
      </c>
      <c r="L89" s="235" t="s">
        <v>23</v>
      </c>
      <c r="M89" s="123" t="s">
        <v>23</v>
      </c>
      <c r="N89" s="235" t="s">
        <v>14</v>
      </c>
      <c r="O89" s="236" t="s">
        <v>14</v>
      </c>
      <c r="P89" s="236" t="s">
        <v>14</v>
      </c>
      <c r="Q89" s="235" t="s">
        <v>14</v>
      </c>
      <c r="R89" s="235" t="s">
        <v>14</v>
      </c>
      <c r="S89" s="235" t="s">
        <v>23</v>
      </c>
      <c r="T89" s="123" t="s">
        <v>23</v>
      </c>
      <c r="U89" s="235" t="s">
        <v>14</v>
      </c>
      <c r="V89" s="236" t="s">
        <v>14</v>
      </c>
      <c r="W89" s="236" t="s">
        <v>14</v>
      </c>
      <c r="X89" s="235" t="s">
        <v>14</v>
      </c>
      <c r="Y89" s="235" t="s">
        <v>14</v>
      </c>
      <c r="Z89" s="236" t="s">
        <v>23</v>
      </c>
      <c r="AA89" s="236" t="s">
        <v>23</v>
      </c>
      <c r="AB89" s="235" t="s">
        <v>14</v>
      </c>
      <c r="AC89" s="235" t="s">
        <v>14</v>
      </c>
      <c r="AD89" s="47" t="s">
        <v>14</v>
      </c>
      <c r="AE89" s="47" t="s">
        <v>14</v>
      </c>
      <c r="AF89" s="47" t="s">
        <v>14</v>
      </c>
      <c r="AG89" s="236" t="s">
        <v>23</v>
      </c>
      <c r="AH89" s="80">
        <f>COUNTIF($F89:$AG89,$C$128)</f>
        <v>20</v>
      </c>
      <c r="AI89" s="80">
        <f>COUNTIF($F89:$AG89,$C$129)</f>
        <v>0</v>
      </c>
      <c r="AJ89" s="80">
        <f>COUNTIF($F89:$AG89,$C$130)</f>
        <v>0</v>
      </c>
      <c r="AK89" s="80">
        <f>COUNTIF($F89:$AG89,$C$131)</f>
        <v>0</v>
      </c>
      <c r="AL89" s="80">
        <f>COUNTIF($F89:$AG89,$C$132)</f>
        <v>0</v>
      </c>
      <c r="AM89" s="80">
        <f>COUNTIF($F89:$AG89,$C$133)</f>
        <v>0</v>
      </c>
      <c r="AN89" s="80">
        <f>COUNTIF($F89:$AG89,$C$134)</f>
        <v>0</v>
      </c>
      <c r="AO89" s="80">
        <f>COUNTIF($F89:$AG89,$C$135)</f>
        <v>0</v>
      </c>
      <c r="AP89" s="80">
        <f>COUNTIF($F89:$AG89,$C$136)</f>
        <v>0</v>
      </c>
      <c r="AQ89" s="80">
        <f>COUNTIF($F89:$AG89,$C$137)</f>
        <v>8</v>
      </c>
      <c r="AR89" s="80">
        <f>COUNTIF($F89:$AG89,$C$138)</f>
        <v>0</v>
      </c>
      <c r="AS89" s="80">
        <f>COUNTIF($F89:$AG89,$C$139)</f>
        <v>0</v>
      </c>
      <c r="AT89" s="80">
        <f>COUNTIF($F89:$AG89,$C$140)</f>
        <v>0</v>
      </c>
      <c r="AU89" s="80">
        <f>COUNTIF($F89:$AG89,$C$141)</f>
        <v>0</v>
      </c>
      <c r="AV89" s="81">
        <f>COUNTA(F89:AG89)</f>
        <v>28</v>
      </c>
      <c r="AW89" s="54">
        <f>AH89+AR89</f>
        <v>20</v>
      </c>
    </row>
    <row r="90" spans="1:51">
      <c r="A90" s="429"/>
      <c r="B90" s="60"/>
      <c r="C90" s="61"/>
      <c r="D90" s="61"/>
      <c r="E90" s="69" t="s">
        <v>34</v>
      </c>
      <c r="F90" s="250"/>
      <c r="G90" s="239"/>
      <c r="H90" s="237"/>
      <c r="I90" s="24"/>
      <c r="J90" s="23"/>
      <c r="K90" s="24"/>
      <c r="L90" s="23"/>
      <c r="M90" s="24"/>
      <c r="N90" s="23"/>
      <c r="O90" s="24"/>
      <c r="P90" s="24"/>
      <c r="Q90" s="23"/>
      <c r="R90" s="24"/>
      <c r="S90" s="23"/>
      <c r="T90" s="24"/>
      <c r="U90" s="23"/>
      <c r="V90" s="24"/>
      <c r="W90" s="24"/>
      <c r="X90" s="24"/>
      <c r="Y90" s="23"/>
      <c r="Z90" s="24"/>
      <c r="AA90" s="24"/>
      <c r="AB90" s="23"/>
      <c r="AC90" s="24"/>
      <c r="AD90" s="23"/>
      <c r="AE90" s="24"/>
      <c r="AF90" s="23"/>
      <c r="AG90" s="24"/>
      <c r="AH90" s="459">
        <f>SUM(F90:AG90)</f>
        <v>0</v>
      </c>
      <c r="AI90" s="445"/>
      <c r="AJ90" s="445"/>
      <c r="AK90" s="445"/>
      <c r="AL90" s="445"/>
      <c r="AM90" s="445"/>
      <c r="AN90" s="445"/>
      <c r="AO90" s="445"/>
      <c r="AP90" s="445"/>
      <c r="AQ90" s="445"/>
      <c r="AR90" s="445"/>
      <c r="AS90" s="445"/>
      <c r="AT90" s="445"/>
      <c r="AU90" s="445"/>
      <c r="AV90" s="446"/>
      <c r="AW90" s="54"/>
    </row>
    <row r="91" spans="1:51">
      <c r="A91" s="430">
        <v>44</v>
      </c>
      <c r="B91" s="67">
        <v>105</v>
      </c>
      <c r="C91" s="56" t="s">
        <v>81</v>
      </c>
      <c r="D91" s="56" t="s">
        <v>82</v>
      </c>
      <c r="E91" s="71" t="s">
        <v>32</v>
      </c>
      <c r="F91" s="261" t="s">
        <v>23</v>
      </c>
      <c r="G91" s="359" t="s">
        <v>14</v>
      </c>
      <c r="H91" s="357" t="s">
        <v>15</v>
      </c>
      <c r="I91" s="329" t="s">
        <v>14</v>
      </c>
      <c r="J91" s="358" t="s">
        <v>15</v>
      </c>
      <c r="K91" s="360" t="s">
        <v>14</v>
      </c>
      <c r="L91" s="260" t="s">
        <v>23</v>
      </c>
      <c r="M91" s="261" t="s">
        <v>23</v>
      </c>
      <c r="N91" s="361" t="s">
        <v>14</v>
      </c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335"/>
      <c r="AD91" s="335"/>
      <c r="AE91" s="336"/>
      <c r="AF91" s="336"/>
      <c r="AG91" s="337"/>
      <c r="AH91" s="363">
        <f>COUNTIF($F91:$AG91,$C$128)</f>
        <v>4</v>
      </c>
      <c r="AI91" s="364">
        <f>COUNTIF($F91:$AG91,$C$129)</f>
        <v>2</v>
      </c>
      <c r="AJ91" s="30">
        <f>COUNTIF($F91:$AG91,$C$130)</f>
        <v>0</v>
      </c>
      <c r="AK91" s="30">
        <f>COUNTIF($F91:$AG91,$C$131)</f>
        <v>0</v>
      </c>
      <c r="AL91" s="30">
        <f>COUNTIF($F91:$AG91,$C$132)</f>
        <v>0</v>
      </c>
      <c r="AM91" s="43">
        <f>COUNTIF($F91:$AG91,$C$133)</f>
        <v>0</v>
      </c>
      <c r="AN91" s="30">
        <f>COUNTIF($F91:$AG91,$C$134)</f>
        <v>0</v>
      </c>
      <c r="AO91" s="30">
        <f>COUNTIF($F91:$AG91,$C$135)</f>
        <v>0</v>
      </c>
      <c r="AP91" s="30">
        <f>COUNTIF($F91:$AG91,$C$136)</f>
        <v>0</v>
      </c>
      <c r="AQ91" s="362">
        <f>COUNTIF($F91:$AG91,$C$137)</f>
        <v>3</v>
      </c>
      <c r="AR91" s="30">
        <f>COUNTIF($F91:$AG91,$C$138)</f>
        <v>0</v>
      </c>
      <c r="AS91" s="30">
        <f>COUNTIF($F91:$AG91,$C$139)</f>
        <v>0</v>
      </c>
      <c r="AT91" s="30">
        <f>COUNTIF($F91:$AG91,$C$140)</f>
        <v>0</v>
      </c>
      <c r="AU91" s="30">
        <f>COUNTIF($F91:$AG91,$C$141)</f>
        <v>0</v>
      </c>
      <c r="AV91" s="82">
        <f>COUNTA(F91:AG91)</f>
        <v>9</v>
      </c>
      <c r="AW91" s="54">
        <f>AH91+AR91</f>
        <v>4</v>
      </c>
      <c r="AY91" s="34"/>
    </row>
    <row r="92" spans="1:51">
      <c r="A92" s="429"/>
      <c r="B92" s="60"/>
      <c r="C92" s="61"/>
      <c r="D92" s="61"/>
      <c r="E92" s="73" t="s">
        <v>34</v>
      </c>
      <c r="F92" s="241"/>
      <c r="G92" s="240"/>
      <c r="H92" s="26"/>
      <c r="I92" s="24"/>
      <c r="J92" s="23"/>
      <c r="K92" s="25"/>
      <c r="L92" s="25"/>
      <c r="M92" s="24"/>
      <c r="N92" s="24"/>
      <c r="O92" s="24"/>
      <c r="P92" s="24"/>
      <c r="Q92" s="23"/>
      <c r="R92" s="25"/>
      <c r="S92" s="25"/>
      <c r="T92" s="24"/>
      <c r="U92" s="24"/>
      <c r="V92" s="24"/>
      <c r="W92" s="24"/>
      <c r="X92" s="24"/>
      <c r="Y92" s="24"/>
      <c r="Z92" s="24"/>
      <c r="AA92" s="24"/>
      <c r="AB92" s="23"/>
      <c r="AC92" s="25"/>
      <c r="AD92" s="25"/>
      <c r="AE92" s="24"/>
      <c r="AF92" s="24"/>
      <c r="AG92" s="24"/>
      <c r="AH92" s="499">
        <f>SUM(F92:AG92)</f>
        <v>0</v>
      </c>
      <c r="AI92" s="500"/>
      <c r="AJ92" s="500"/>
      <c r="AK92" s="500"/>
      <c r="AL92" s="500"/>
      <c r="AM92" s="500"/>
      <c r="AN92" s="500"/>
      <c r="AO92" s="500"/>
      <c r="AP92" s="500"/>
      <c r="AQ92" s="500"/>
      <c r="AR92" s="500"/>
      <c r="AS92" s="500"/>
      <c r="AT92" s="500"/>
      <c r="AU92" s="500"/>
      <c r="AV92" s="501"/>
      <c r="AW92" s="54"/>
      <c r="AY92" s="34"/>
    </row>
    <row r="93" spans="1:51">
      <c r="A93" s="430">
        <v>45</v>
      </c>
      <c r="B93" s="67">
        <v>18</v>
      </c>
      <c r="C93" s="56" t="s">
        <v>83</v>
      </c>
      <c r="D93" s="56" t="s">
        <v>84</v>
      </c>
      <c r="E93" s="71" t="s">
        <v>32</v>
      </c>
      <c r="F93" s="123" t="s">
        <v>23</v>
      </c>
      <c r="G93" s="27" t="s">
        <v>14</v>
      </c>
      <c r="H93" s="45" t="s">
        <v>14</v>
      </c>
      <c r="I93" s="45" t="s">
        <v>14</v>
      </c>
      <c r="J93" s="45" t="s">
        <v>14</v>
      </c>
      <c r="K93" s="45" t="s">
        <v>14</v>
      </c>
      <c r="L93" s="45" t="s">
        <v>14</v>
      </c>
      <c r="M93" s="123" t="s">
        <v>23</v>
      </c>
      <c r="N93" s="45" t="s">
        <v>14</v>
      </c>
      <c r="O93" s="45" t="s">
        <v>14</v>
      </c>
      <c r="P93" s="24" t="s">
        <v>14</v>
      </c>
      <c r="Q93" s="24" t="s">
        <v>14</v>
      </c>
      <c r="R93" s="24" t="s">
        <v>14</v>
      </c>
      <c r="S93" s="45" t="s">
        <v>14</v>
      </c>
      <c r="T93" s="123" t="s">
        <v>23</v>
      </c>
      <c r="U93" s="24" t="s">
        <v>14</v>
      </c>
      <c r="V93" s="24" t="s">
        <v>14</v>
      </c>
      <c r="W93" s="24" t="s">
        <v>14</v>
      </c>
      <c r="X93" s="24" t="s">
        <v>14</v>
      </c>
      <c r="Y93" s="24" t="s">
        <v>14</v>
      </c>
      <c r="Z93" s="24" t="s">
        <v>14</v>
      </c>
      <c r="AA93" s="123" t="s">
        <v>23</v>
      </c>
      <c r="AB93" s="24" t="s">
        <v>14</v>
      </c>
      <c r="AC93" s="24" t="s">
        <v>14</v>
      </c>
      <c r="AD93" s="45" t="s">
        <v>14</v>
      </c>
      <c r="AE93" s="45" t="s">
        <v>14</v>
      </c>
      <c r="AF93" s="45" t="s">
        <v>14</v>
      </c>
      <c r="AG93" s="24" t="s">
        <v>14</v>
      </c>
      <c r="AH93" s="30">
        <f>COUNTIF($F93:$AG93,$C$128)</f>
        <v>24</v>
      </c>
      <c r="AI93" s="30">
        <f>COUNTIF($F93:$AG93,$C$129)</f>
        <v>0</v>
      </c>
      <c r="AJ93" s="30">
        <f>COUNTIF($F93:$AG93,$C$130)</f>
        <v>0</v>
      </c>
      <c r="AK93" s="30">
        <f>COUNTIF($F93:$AG93,$C$131)</f>
        <v>0</v>
      </c>
      <c r="AL93" s="30">
        <f>COUNTIF($F93:$AG93,$C$132)</f>
        <v>0</v>
      </c>
      <c r="AM93" s="30">
        <f>COUNTIF($F93:$AG93,$C$133)</f>
        <v>0</v>
      </c>
      <c r="AN93" s="30">
        <f>COUNTIF($F93:$AG93,$C$134)</f>
        <v>0</v>
      </c>
      <c r="AO93" s="30">
        <f>COUNTIF($F93:$AG93,$C$135)</f>
        <v>0</v>
      </c>
      <c r="AP93" s="30">
        <f>COUNTIF($F93:$AG93,$C$136)</f>
        <v>0</v>
      </c>
      <c r="AQ93" s="30">
        <f>COUNTIF($F93:$AG93,$C$137)</f>
        <v>4</v>
      </c>
      <c r="AR93" s="30">
        <f>COUNTIF($F93:$AG93,$C$138)</f>
        <v>0</v>
      </c>
      <c r="AS93" s="30">
        <f>COUNTIF($F93:$AG93,$C$139)</f>
        <v>0</v>
      </c>
      <c r="AT93" s="30">
        <f>COUNTIF($F93:$AG93,$C$140)</f>
        <v>0</v>
      </c>
      <c r="AU93" s="30">
        <f>COUNTIF($F93:$AG93,$C$141)</f>
        <v>0</v>
      </c>
      <c r="AV93" s="82">
        <f>COUNTA(F93:AG93)</f>
        <v>28</v>
      </c>
      <c r="AW93" s="54">
        <f>AH93+AR93</f>
        <v>24</v>
      </c>
      <c r="AY93" s="34"/>
    </row>
    <row r="94" spans="1:51">
      <c r="A94" s="429"/>
      <c r="B94" s="60"/>
      <c r="C94" s="61"/>
      <c r="D94" s="61"/>
      <c r="E94" s="73" t="s">
        <v>34</v>
      </c>
      <c r="F94" s="242"/>
      <c r="G94" s="27"/>
      <c r="H94" s="45"/>
      <c r="I94" s="45"/>
      <c r="J94" s="45"/>
      <c r="K94" s="45"/>
      <c r="L94" s="45"/>
      <c r="M94" s="45"/>
      <c r="N94" s="45"/>
      <c r="O94" s="45"/>
      <c r="P94" s="24"/>
      <c r="Q94" s="23"/>
      <c r="R94" s="23"/>
      <c r="S94" s="45"/>
      <c r="T94" s="23"/>
      <c r="U94" s="24"/>
      <c r="V94" s="24"/>
      <c r="W94" s="25">
        <v>2</v>
      </c>
      <c r="X94" s="25">
        <v>2</v>
      </c>
      <c r="Y94" s="24"/>
      <c r="Z94" s="24"/>
      <c r="AA94" s="24"/>
      <c r="AB94" s="23"/>
      <c r="AC94" s="23"/>
      <c r="AD94" s="45"/>
      <c r="AE94" s="23"/>
      <c r="AF94" s="24"/>
      <c r="AG94" s="24"/>
      <c r="AH94" s="459">
        <f>SUM(F94:AG94)</f>
        <v>4</v>
      </c>
      <c r="AI94" s="445"/>
      <c r="AJ94" s="445"/>
      <c r="AK94" s="445"/>
      <c r="AL94" s="445"/>
      <c r="AM94" s="445"/>
      <c r="AN94" s="445"/>
      <c r="AO94" s="445"/>
      <c r="AP94" s="445"/>
      <c r="AQ94" s="445"/>
      <c r="AR94" s="445"/>
      <c r="AS94" s="445"/>
      <c r="AT94" s="445"/>
      <c r="AU94" s="445"/>
      <c r="AV94" s="446"/>
      <c r="AW94" s="54"/>
      <c r="AY94" s="34"/>
    </row>
    <row r="95" spans="1:51">
      <c r="A95" s="430">
        <v>46</v>
      </c>
      <c r="B95" s="67">
        <v>44</v>
      </c>
      <c r="C95" s="56" t="s">
        <v>85</v>
      </c>
      <c r="D95" s="83" t="s">
        <v>84</v>
      </c>
      <c r="E95" s="71" t="s">
        <v>32</v>
      </c>
      <c r="F95" s="123" t="s">
        <v>14</v>
      </c>
      <c r="G95" s="27" t="s">
        <v>14</v>
      </c>
      <c r="H95" s="45" t="s">
        <v>14</v>
      </c>
      <c r="I95" s="45" t="s">
        <v>14</v>
      </c>
      <c r="J95" s="45" t="s">
        <v>14</v>
      </c>
      <c r="K95" s="45" t="s">
        <v>14</v>
      </c>
      <c r="L95" s="45" t="s">
        <v>14</v>
      </c>
      <c r="M95" s="123" t="s">
        <v>14</v>
      </c>
      <c r="N95" s="45" t="s">
        <v>14</v>
      </c>
      <c r="O95" s="45" t="s">
        <v>23</v>
      </c>
      <c r="P95" s="24" t="s">
        <v>14</v>
      </c>
      <c r="Q95" s="24" t="s">
        <v>14</v>
      </c>
      <c r="R95" s="24" t="s">
        <v>14</v>
      </c>
      <c r="S95" s="24" t="s">
        <v>14</v>
      </c>
      <c r="T95" s="24" t="s">
        <v>14</v>
      </c>
      <c r="U95" s="45" t="s">
        <v>14</v>
      </c>
      <c r="V95" s="24" t="s">
        <v>23</v>
      </c>
      <c r="W95" s="24" t="s">
        <v>14</v>
      </c>
      <c r="X95" s="24" t="s">
        <v>14</v>
      </c>
      <c r="Y95" s="45" t="s">
        <v>14</v>
      </c>
      <c r="Z95" s="24" t="s">
        <v>14</v>
      </c>
      <c r="AA95" s="24" t="s">
        <v>14</v>
      </c>
      <c r="AB95" s="24" t="s">
        <v>14</v>
      </c>
      <c r="AC95" s="24" t="s">
        <v>23</v>
      </c>
      <c r="AD95" s="24" t="s">
        <v>14</v>
      </c>
      <c r="AE95" s="24" t="s">
        <v>14</v>
      </c>
      <c r="AF95" s="45" t="s">
        <v>14</v>
      </c>
      <c r="AG95" s="24" t="s">
        <v>14</v>
      </c>
      <c r="AH95" s="30">
        <f>COUNTIF($F95:$AG95,$C$128)</f>
        <v>25</v>
      </c>
      <c r="AI95" s="30">
        <f>COUNTIF($F95:$AG95,$C$129)</f>
        <v>0</v>
      </c>
      <c r="AJ95" s="30">
        <f>COUNTIF($F95:$AG95,$C$130)</f>
        <v>0</v>
      </c>
      <c r="AK95" s="30">
        <f>COUNTIF($F95:$AG95,$C$131)</f>
        <v>0</v>
      </c>
      <c r="AL95" s="30">
        <f>COUNTIF($F95:$AG95,$C$132)</f>
        <v>0</v>
      </c>
      <c r="AM95" s="30">
        <f>COUNTIF($F95:$AG95,$C$133)</f>
        <v>0</v>
      </c>
      <c r="AN95" s="30">
        <f>COUNTIF($F95:$AG95,$C$134)</f>
        <v>0</v>
      </c>
      <c r="AO95" s="30">
        <f>COUNTIF($F95:$AG95,$C$135)</f>
        <v>0</v>
      </c>
      <c r="AP95" s="30">
        <f>COUNTIF($F95:$AG95,$C$136)</f>
        <v>0</v>
      </c>
      <c r="AQ95" s="30">
        <f>COUNTIF($F95:$AG95,$C$137)</f>
        <v>3</v>
      </c>
      <c r="AR95" s="30">
        <f>COUNTIF($F95:$AG95,$C$138)</f>
        <v>0</v>
      </c>
      <c r="AS95" s="30">
        <f>COUNTIF($F95:$AG95,$C$139)</f>
        <v>0</v>
      </c>
      <c r="AT95" s="30">
        <f>COUNTIF($F95:$AG95,$C$140)</f>
        <v>0</v>
      </c>
      <c r="AU95" s="30">
        <f>COUNTIF($F95:$AG95,$C$141)</f>
        <v>0</v>
      </c>
      <c r="AV95" s="82">
        <f>COUNTA(F95:AG95)</f>
        <v>28</v>
      </c>
      <c r="AW95" s="54">
        <f>AH95+AR95</f>
        <v>25</v>
      </c>
    </row>
    <row r="96" spans="1:51">
      <c r="A96" s="429"/>
      <c r="B96" s="60"/>
      <c r="C96" s="61"/>
      <c r="D96" s="84"/>
      <c r="E96" s="73" t="s">
        <v>34</v>
      </c>
      <c r="F96" s="242"/>
      <c r="G96" s="27"/>
      <c r="H96" s="45"/>
      <c r="I96" s="45"/>
      <c r="J96" s="45"/>
      <c r="K96" s="45"/>
      <c r="L96" s="45"/>
      <c r="M96" s="45"/>
      <c r="N96" s="45"/>
      <c r="O96" s="45"/>
      <c r="P96" s="24"/>
      <c r="Q96" s="23"/>
      <c r="R96" s="23"/>
      <c r="S96" s="45"/>
      <c r="T96" s="23"/>
      <c r="U96" s="24"/>
      <c r="V96" s="24"/>
      <c r="W96" s="24"/>
      <c r="X96" s="24"/>
      <c r="Y96" s="24"/>
      <c r="Z96" s="24"/>
      <c r="AA96" s="24"/>
      <c r="AB96" s="23"/>
      <c r="AC96" s="23"/>
      <c r="AD96" s="45"/>
      <c r="AE96" s="23"/>
      <c r="AF96" s="24"/>
      <c r="AG96" s="24"/>
      <c r="AH96" s="459">
        <f>SUM(F96:AG96)</f>
        <v>0</v>
      </c>
      <c r="AI96" s="445"/>
      <c r="AJ96" s="445"/>
      <c r="AK96" s="445"/>
      <c r="AL96" s="445"/>
      <c r="AM96" s="445"/>
      <c r="AN96" s="445"/>
      <c r="AO96" s="445"/>
      <c r="AP96" s="445"/>
      <c r="AQ96" s="445"/>
      <c r="AR96" s="445"/>
      <c r="AS96" s="445"/>
      <c r="AT96" s="445"/>
      <c r="AU96" s="445"/>
      <c r="AV96" s="446"/>
      <c r="AW96" s="54"/>
    </row>
    <row r="97" spans="1:49">
      <c r="A97" s="430">
        <v>47</v>
      </c>
      <c r="B97" s="67">
        <v>73</v>
      </c>
      <c r="C97" s="56" t="s">
        <v>86</v>
      </c>
      <c r="D97" s="83" t="s">
        <v>84</v>
      </c>
      <c r="E97" s="71" t="s">
        <v>32</v>
      </c>
      <c r="F97" s="123" t="s">
        <v>14</v>
      </c>
      <c r="G97" s="368" t="s">
        <v>19</v>
      </c>
      <c r="H97" s="369" t="s">
        <v>19</v>
      </c>
      <c r="I97" s="45" t="s">
        <v>14</v>
      </c>
      <c r="J97" s="45" t="s">
        <v>14</v>
      </c>
      <c r="K97" s="45" t="s">
        <v>23</v>
      </c>
      <c r="L97" s="45" t="s">
        <v>14</v>
      </c>
      <c r="M97" s="123" t="s">
        <v>14</v>
      </c>
      <c r="N97" s="45" t="s">
        <v>14</v>
      </c>
      <c r="O97" s="45" t="s">
        <v>14</v>
      </c>
      <c r="P97" s="24" t="s">
        <v>14</v>
      </c>
      <c r="Q97" s="24" t="s">
        <v>14</v>
      </c>
      <c r="R97" s="24" t="s">
        <v>23</v>
      </c>
      <c r="S97" s="24" t="s">
        <v>14</v>
      </c>
      <c r="T97" s="45" t="s">
        <v>14</v>
      </c>
      <c r="U97" s="24" t="s">
        <v>14</v>
      </c>
      <c r="V97" s="24" t="s">
        <v>14</v>
      </c>
      <c r="W97" s="24" t="s">
        <v>14</v>
      </c>
      <c r="X97" s="24" t="s">
        <v>14</v>
      </c>
      <c r="Y97" s="24" t="s">
        <v>23</v>
      </c>
      <c r="Z97" s="24" t="s">
        <v>14</v>
      </c>
      <c r="AA97" s="24" t="s">
        <v>14</v>
      </c>
      <c r="AB97" s="24" t="s">
        <v>14</v>
      </c>
      <c r="AC97" s="24" t="s">
        <v>14</v>
      </c>
      <c r="AD97" s="24" t="s">
        <v>14</v>
      </c>
      <c r="AE97" s="24" t="s">
        <v>23</v>
      </c>
      <c r="AF97" s="24" t="s">
        <v>14</v>
      </c>
      <c r="AG97" s="24" t="s">
        <v>14</v>
      </c>
      <c r="AH97" s="30">
        <f>COUNTIF($F97:$AG97,$C$128)</f>
        <v>22</v>
      </c>
      <c r="AI97" s="30">
        <f>COUNTIF($F97:$AG97,$C$129)</f>
        <v>0</v>
      </c>
      <c r="AJ97" s="30">
        <f>COUNTIF($F97:$AG97,$C$130)</f>
        <v>0</v>
      </c>
      <c r="AK97" s="30">
        <f>COUNTIF($F97:$AG97,$C$131)</f>
        <v>0</v>
      </c>
      <c r="AL97" s="30">
        <f>COUNTIF($F97:$AG97,$C$132)</f>
        <v>0</v>
      </c>
      <c r="AM97" s="30">
        <f>COUNTIF($F97:$AG97,$C$133)</f>
        <v>2</v>
      </c>
      <c r="AN97" s="30">
        <f>COUNTIF($F97:$AG97,$C$134)</f>
        <v>0</v>
      </c>
      <c r="AO97" s="30">
        <f>COUNTIF($F97:$AG97,$C$135)</f>
        <v>0</v>
      </c>
      <c r="AP97" s="30">
        <f>COUNTIF($F97:$AG97,$C$136)</f>
        <v>0</v>
      </c>
      <c r="AQ97" s="30">
        <f>COUNTIF($F97:$AG97,$C$137)</f>
        <v>4</v>
      </c>
      <c r="AR97" s="30">
        <f>COUNTIF($F97:$AG97,$C$138)</f>
        <v>0</v>
      </c>
      <c r="AS97" s="30">
        <f>COUNTIF($F97:$AG97,$C$139)</f>
        <v>0</v>
      </c>
      <c r="AT97" s="30">
        <f>COUNTIF($F97:$AG97,$C$140)</f>
        <v>0</v>
      </c>
      <c r="AU97" s="30">
        <f>COUNTIF($F97:$AG97,$C$141)</f>
        <v>0</v>
      </c>
      <c r="AV97" s="82">
        <f>COUNTA(F97:AG97)</f>
        <v>28</v>
      </c>
      <c r="AW97" s="54">
        <f>AH97+AR97</f>
        <v>22</v>
      </c>
    </row>
    <row r="98" spans="1:49">
      <c r="A98" s="429"/>
      <c r="B98" s="60"/>
      <c r="C98" s="61"/>
      <c r="D98" s="84"/>
      <c r="E98" s="73" t="s">
        <v>34</v>
      </c>
      <c r="F98" s="242"/>
      <c r="G98" s="27"/>
      <c r="H98" s="45"/>
      <c r="I98" s="45">
        <v>1</v>
      </c>
      <c r="J98" s="25"/>
      <c r="K98" s="25"/>
      <c r="L98" s="25"/>
      <c r="M98" s="25"/>
      <c r="N98" s="25">
        <v>1</v>
      </c>
      <c r="O98" s="25"/>
      <c r="P98" s="125">
        <v>1</v>
      </c>
      <c r="Q98" s="125"/>
      <c r="R98" s="125"/>
      <c r="S98" s="25"/>
      <c r="T98" s="25"/>
      <c r="U98" s="25">
        <v>1</v>
      </c>
      <c r="V98" s="25"/>
      <c r="W98" s="25">
        <v>1</v>
      </c>
      <c r="X98" s="25">
        <v>2</v>
      </c>
      <c r="Y98" s="25"/>
      <c r="Z98" s="25"/>
      <c r="AA98" s="25"/>
      <c r="AB98" s="25">
        <v>1</v>
      </c>
      <c r="AC98" s="25"/>
      <c r="AD98" s="25">
        <v>1</v>
      </c>
      <c r="AE98" s="25"/>
      <c r="AF98" s="25"/>
      <c r="AG98" s="25"/>
      <c r="AH98" s="459">
        <f>SUM(F98:AG98)</f>
        <v>9</v>
      </c>
      <c r="AI98" s="445"/>
      <c r="AJ98" s="445"/>
      <c r="AK98" s="445"/>
      <c r="AL98" s="445"/>
      <c r="AM98" s="445"/>
      <c r="AN98" s="445"/>
      <c r="AO98" s="445"/>
      <c r="AP98" s="445"/>
      <c r="AQ98" s="445"/>
      <c r="AR98" s="445"/>
      <c r="AS98" s="445"/>
      <c r="AT98" s="445"/>
      <c r="AU98" s="445"/>
      <c r="AV98" s="446"/>
      <c r="AW98" s="54"/>
    </row>
    <row r="99" spans="1:49">
      <c r="A99" s="430">
        <v>48</v>
      </c>
      <c r="B99" s="67">
        <v>113</v>
      </c>
      <c r="C99" s="56" t="s">
        <v>87</v>
      </c>
      <c r="D99" s="83" t="s">
        <v>84</v>
      </c>
      <c r="E99" s="71" t="s">
        <v>32</v>
      </c>
      <c r="F99" s="372" t="s">
        <v>22</v>
      </c>
      <c r="G99" s="27" t="s">
        <v>14</v>
      </c>
      <c r="H99" s="45" t="s">
        <v>14</v>
      </c>
      <c r="I99" s="45" t="s">
        <v>14</v>
      </c>
      <c r="J99" s="45" t="s">
        <v>23</v>
      </c>
      <c r="K99" s="45" t="s">
        <v>14</v>
      </c>
      <c r="L99" s="45" t="s">
        <v>14</v>
      </c>
      <c r="M99" s="123" t="s">
        <v>14</v>
      </c>
      <c r="N99" s="45" t="s">
        <v>14</v>
      </c>
      <c r="O99" s="45" t="s">
        <v>14</v>
      </c>
      <c r="P99" s="45" t="s">
        <v>14</v>
      </c>
      <c r="Q99" s="24" t="s">
        <v>23</v>
      </c>
      <c r="R99" s="370" t="s">
        <v>17</v>
      </c>
      <c r="S99" s="370" t="s">
        <v>17</v>
      </c>
      <c r="T99" s="370" t="s">
        <v>17</v>
      </c>
      <c r="U99" s="370" t="s">
        <v>17</v>
      </c>
      <c r="V99" s="370" t="s">
        <v>17</v>
      </c>
      <c r="W99" s="371" t="s">
        <v>17</v>
      </c>
      <c r="X99" s="370" t="s">
        <v>17</v>
      </c>
      <c r="Y99" s="24" t="s">
        <v>14</v>
      </c>
      <c r="Z99" s="24" t="s">
        <v>14</v>
      </c>
      <c r="AA99" s="45" t="s">
        <v>14</v>
      </c>
      <c r="AB99" s="24" t="s">
        <v>14</v>
      </c>
      <c r="AC99" s="24" t="s">
        <v>14</v>
      </c>
      <c r="AD99" s="24" t="s">
        <v>14</v>
      </c>
      <c r="AE99" s="24" t="s">
        <v>14</v>
      </c>
      <c r="AF99" s="44" t="s">
        <v>23</v>
      </c>
      <c r="AG99" s="44" t="s">
        <v>14</v>
      </c>
      <c r="AH99" s="30">
        <f>COUNTIF($F99:$AG99,$C$128)</f>
        <v>17</v>
      </c>
      <c r="AI99" s="30">
        <f>COUNTIF($F99:$AG99,$C$129)</f>
        <v>0</v>
      </c>
      <c r="AJ99" s="30">
        <f>COUNTIF($F99:$AG99,$C$130)</f>
        <v>0</v>
      </c>
      <c r="AK99" s="30">
        <f>COUNTIF($F99:$AG99,$C$131)</f>
        <v>7</v>
      </c>
      <c r="AL99" s="30">
        <f>COUNTIF($F99:$AG99,$C$132)</f>
        <v>0</v>
      </c>
      <c r="AM99" s="30">
        <f>COUNTIF($F99:$AG99,$C$133)</f>
        <v>0</v>
      </c>
      <c r="AN99" s="30">
        <f>COUNTIF($F99:$AG99,$C$134)</f>
        <v>0</v>
      </c>
      <c r="AO99" s="30">
        <f>COUNTIF($F99:$AG99,$C$135)</f>
        <v>0</v>
      </c>
      <c r="AP99" s="7">
        <f>COUNTIF($F99:$AG99,$C$136)</f>
        <v>1</v>
      </c>
      <c r="AQ99" s="30">
        <f>COUNTIF($F99:$AG99,$C$137)</f>
        <v>3</v>
      </c>
      <c r="AR99" s="30">
        <f>COUNTIF($F99:$AG99,$C$138)</f>
        <v>0</v>
      </c>
      <c r="AS99" s="30">
        <f>COUNTIF($F99:$AG99,$C$139)</f>
        <v>0</v>
      </c>
      <c r="AT99" s="30">
        <f>COUNTIF($F99:$AG99,$C$140)</f>
        <v>0</v>
      </c>
      <c r="AU99" s="30">
        <f>COUNTIF($F99:$AG99,$C$141)</f>
        <v>0</v>
      </c>
      <c r="AV99" s="82">
        <f>COUNTA(F99:AG99)</f>
        <v>28</v>
      </c>
      <c r="AW99" s="54">
        <f>AH99+AR99</f>
        <v>17</v>
      </c>
    </row>
    <row r="100" spans="1:49">
      <c r="A100" s="429"/>
      <c r="B100" s="60"/>
      <c r="C100" s="61"/>
      <c r="D100" s="84"/>
      <c r="E100" s="73" t="s">
        <v>34</v>
      </c>
      <c r="F100" s="242"/>
      <c r="G100" s="27"/>
      <c r="H100" s="45"/>
      <c r="I100" s="45"/>
      <c r="J100" s="45"/>
      <c r="K100" s="45"/>
      <c r="L100" s="45"/>
      <c r="M100" s="45"/>
      <c r="N100" s="45"/>
      <c r="O100" s="45"/>
      <c r="P100" s="24"/>
      <c r="Q100" s="23"/>
      <c r="R100" s="23"/>
      <c r="S100" s="45"/>
      <c r="T100" s="23"/>
      <c r="U100" s="24"/>
      <c r="V100" s="24"/>
      <c r="W100" s="24"/>
      <c r="X100" s="24"/>
      <c r="Y100" s="24"/>
      <c r="Z100" s="24"/>
      <c r="AA100" s="24"/>
      <c r="AB100" s="23"/>
      <c r="AC100" s="23"/>
      <c r="AD100" s="45"/>
      <c r="AE100" s="23"/>
      <c r="AF100" s="24"/>
      <c r="AG100" s="24"/>
      <c r="AH100" s="459">
        <f>SUM(F100:AG100)</f>
        <v>0</v>
      </c>
      <c r="AI100" s="445"/>
      <c r="AJ100" s="445"/>
      <c r="AK100" s="445"/>
      <c r="AL100" s="445"/>
      <c r="AM100" s="445"/>
      <c r="AN100" s="445"/>
      <c r="AO100" s="445"/>
      <c r="AP100" s="445"/>
      <c r="AQ100" s="445"/>
      <c r="AR100" s="445"/>
      <c r="AS100" s="445"/>
      <c r="AT100" s="445"/>
      <c r="AU100" s="445"/>
      <c r="AV100" s="446"/>
      <c r="AW100" s="54"/>
    </row>
    <row r="101" spans="1:49">
      <c r="A101" s="430">
        <v>49</v>
      </c>
      <c r="B101" s="67">
        <v>89</v>
      </c>
      <c r="C101" s="56" t="s">
        <v>88</v>
      </c>
      <c r="D101" s="83" t="s">
        <v>84</v>
      </c>
      <c r="E101" s="71" t="s">
        <v>32</v>
      </c>
      <c r="F101" s="123" t="s">
        <v>14</v>
      </c>
      <c r="G101" s="27" t="s">
        <v>14</v>
      </c>
      <c r="H101" s="45" t="s">
        <v>14</v>
      </c>
      <c r="I101" s="45" t="s">
        <v>23</v>
      </c>
      <c r="J101" s="45" t="s">
        <v>14</v>
      </c>
      <c r="K101" s="45" t="s">
        <v>14</v>
      </c>
      <c r="L101" s="45" t="s">
        <v>14</v>
      </c>
      <c r="M101" s="123" t="s">
        <v>14</v>
      </c>
      <c r="N101" s="45" t="s">
        <v>14</v>
      </c>
      <c r="O101" s="45" t="s">
        <v>14</v>
      </c>
      <c r="P101" s="24" t="s">
        <v>23</v>
      </c>
      <c r="Q101" s="24" t="s">
        <v>14</v>
      </c>
      <c r="R101" s="24" t="s">
        <v>14</v>
      </c>
      <c r="S101" s="24" t="s">
        <v>14</v>
      </c>
      <c r="T101" s="24" t="s">
        <v>14</v>
      </c>
      <c r="U101" s="24" t="s">
        <v>14</v>
      </c>
      <c r="V101" s="45" t="s">
        <v>14</v>
      </c>
      <c r="W101" s="24" t="s">
        <v>14</v>
      </c>
      <c r="X101" s="24" t="s">
        <v>23</v>
      </c>
      <c r="Y101" s="24" t="s">
        <v>14</v>
      </c>
      <c r="Z101" s="45" t="s">
        <v>14</v>
      </c>
      <c r="AA101" s="24" t="s">
        <v>14</v>
      </c>
      <c r="AB101" s="24" t="s">
        <v>14</v>
      </c>
      <c r="AC101" s="24" t="s">
        <v>23</v>
      </c>
      <c r="AD101" s="24" t="s">
        <v>14</v>
      </c>
      <c r="AE101" s="24" t="s">
        <v>14</v>
      </c>
      <c r="AF101" s="24" t="s">
        <v>14</v>
      </c>
      <c r="AG101" s="45" t="s">
        <v>14</v>
      </c>
      <c r="AH101" s="30">
        <f>COUNTIF($F101:$AG101,$C$128)</f>
        <v>24</v>
      </c>
      <c r="AI101" s="30">
        <f>COUNTIF($F101:$AG101,$C$129)</f>
        <v>0</v>
      </c>
      <c r="AJ101" s="30">
        <f>COUNTIF($F101:$AG101,$C$130)</f>
        <v>0</v>
      </c>
      <c r="AK101" s="30">
        <f>COUNTIF($F101:$AG101,$C$131)</f>
        <v>0</v>
      </c>
      <c r="AL101" s="30">
        <f>COUNTIF($F101:$AG101,$C$132)</f>
        <v>0</v>
      </c>
      <c r="AM101" s="30">
        <f>COUNTIF($F101:$AG101,$C$133)</f>
        <v>0</v>
      </c>
      <c r="AN101" s="30">
        <f>COUNTIF($F101:$AG101,$C$134)</f>
        <v>0</v>
      </c>
      <c r="AO101" s="30">
        <f>COUNTIF($F101:$AG101,$C$135)</f>
        <v>0</v>
      </c>
      <c r="AP101" s="30">
        <f>COUNTIF($F101:$AG101,$C$136)</f>
        <v>0</v>
      </c>
      <c r="AQ101" s="30">
        <f>COUNTIF($F101:$AG101,$C$137)</f>
        <v>4</v>
      </c>
      <c r="AR101" s="30">
        <f>COUNTIF($F101:$AG101,$C$138)</f>
        <v>0</v>
      </c>
      <c r="AS101" s="30">
        <f>COUNTIF($F101:$AG101,$C$139)</f>
        <v>0</v>
      </c>
      <c r="AT101" s="30">
        <f>COUNTIF($F101:$AG101,$C$140)</f>
        <v>0</v>
      </c>
      <c r="AU101" s="30">
        <f>COUNTIF($F101:$AG101,$C$141)</f>
        <v>0</v>
      </c>
      <c r="AV101" s="82">
        <f>COUNTA(F101:AG101)</f>
        <v>28</v>
      </c>
      <c r="AW101" s="54">
        <f>AH101+AR101</f>
        <v>24</v>
      </c>
    </row>
    <row r="102" spans="1:49">
      <c r="A102" s="429"/>
      <c r="B102" s="60"/>
      <c r="C102" s="61"/>
      <c r="D102" s="84"/>
      <c r="E102" s="73" t="s">
        <v>34</v>
      </c>
      <c r="F102" s="242"/>
      <c r="G102" s="27"/>
      <c r="H102" s="45"/>
      <c r="I102" s="45"/>
      <c r="J102" s="45">
        <v>1</v>
      </c>
      <c r="K102" s="45"/>
      <c r="L102" s="45"/>
      <c r="M102" s="45"/>
      <c r="N102" s="45"/>
      <c r="O102" s="45"/>
      <c r="P102" s="24"/>
      <c r="Q102" s="23"/>
      <c r="R102" s="23"/>
      <c r="S102" s="45"/>
      <c r="T102" s="23"/>
      <c r="U102" s="24"/>
      <c r="V102" s="24"/>
      <c r="W102" s="25">
        <v>2</v>
      </c>
      <c r="X102" s="24"/>
      <c r="Y102" s="24"/>
      <c r="Z102" s="24"/>
      <c r="AA102" s="24"/>
      <c r="AB102" s="23"/>
      <c r="AC102" s="23"/>
      <c r="AD102" s="45"/>
      <c r="AE102" s="23"/>
      <c r="AF102" s="24"/>
      <c r="AG102" s="24"/>
      <c r="AH102" s="459">
        <f>SUM(F102:AG102)</f>
        <v>3</v>
      </c>
      <c r="AI102" s="445"/>
      <c r="AJ102" s="445"/>
      <c r="AK102" s="445"/>
      <c r="AL102" s="445"/>
      <c r="AM102" s="445"/>
      <c r="AN102" s="445"/>
      <c r="AO102" s="445"/>
      <c r="AP102" s="445"/>
      <c r="AQ102" s="445"/>
      <c r="AR102" s="445"/>
      <c r="AS102" s="445"/>
      <c r="AT102" s="445"/>
      <c r="AU102" s="445"/>
      <c r="AV102" s="446"/>
      <c r="AW102" s="54"/>
    </row>
    <row r="103" spans="1:49">
      <c r="A103" s="430">
        <v>50</v>
      </c>
      <c r="B103" s="67">
        <v>118</v>
      </c>
      <c r="C103" s="56" t="s">
        <v>89</v>
      </c>
      <c r="D103" s="83" t="s">
        <v>84</v>
      </c>
      <c r="E103" s="71" t="s">
        <v>32</v>
      </c>
      <c r="F103" s="123" t="s">
        <v>14</v>
      </c>
      <c r="G103" s="27" t="s">
        <v>14</v>
      </c>
      <c r="H103" s="45" t="s">
        <v>14</v>
      </c>
      <c r="I103" s="45" t="s">
        <v>23</v>
      </c>
      <c r="J103" s="45" t="s">
        <v>14</v>
      </c>
      <c r="K103" s="45" t="s">
        <v>14</v>
      </c>
      <c r="L103" s="45" t="s">
        <v>14</v>
      </c>
      <c r="M103" s="123" t="s">
        <v>14</v>
      </c>
      <c r="N103" s="45" t="s">
        <v>14</v>
      </c>
      <c r="O103" s="45" t="s">
        <v>14</v>
      </c>
      <c r="P103" s="24" t="s">
        <v>23</v>
      </c>
      <c r="Q103" s="45" t="s">
        <v>14</v>
      </c>
      <c r="R103" s="24" t="s">
        <v>14</v>
      </c>
      <c r="S103" s="24" t="s">
        <v>14</v>
      </c>
      <c r="T103" s="24" t="s">
        <v>14</v>
      </c>
      <c r="U103" s="24" t="s">
        <v>14</v>
      </c>
      <c r="V103" s="45" t="s">
        <v>14</v>
      </c>
      <c r="W103" s="24" t="s">
        <v>23</v>
      </c>
      <c r="X103" s="24" t="s">
        <v>14</v>
      </c>
      <c r="Y103" s="24" t="s">
        <v>14</v>
      </c>
      <c r="Z103" s="24" t="s">
        <v>14</v>
      </c>
      <c r="AA103" s="24" t="s">
        <v>14</v>
      </c>
      <c r="AB103" s="45" t="s">
        <v>14</v>
      </c>
      <c r="AC103" s="24" t="s">
        <v>14</v>
      </c>
      <c r="AD103" s="24" t="s">
        <v>23</v>
      </c>
      <c r="AE103" s="24" t="s">
        <v>14</v>
      </c>
      <c r="AF103" s="24" t="s">
        <v>14</v>
      </c>
      <c r="AG103" s="24" t="s">
        <v>14</v>
      </c>
      <c r="AH103" s="30">
        <f>COUNTIF($F103:$AG103,$C$128)</f>
        <v>24</v>
      </c>
      <c r="AI103" s="30">
        <f>COUNTIF($F103:$AG103,$C$129)</f>
        <v>0</v>
      </c>
      <c r="AJ103" s="30">
        <f>COUNTIF($F103:$AG103,$C$130)</f>
        <v>0</v>
      </c>
      <c r="AK103" s="30">
        <f>COUNTIF($F103:$AG103,$C$131)</f>
        <v>0</v>
      </c>
      <c r="AL103" s="30">
        <f>COUNTIF($F103:$AG103,$C$132)</f>
        <v>0</v>
      </c>
      <c r="AM103" s="30">
        <f>COUNTIF($F103:$AG103,$C$133)</f>
        <v>0</v>
      </c>
      <c r="AN103" s="30">
        <f>COUNTIF($F103:$AG103,$C$134)</f>
        <v>0</v>
      </c>
      <c r="AO103" s="30">
        <f>COUNTIF($F103:$AG103,$C$135)</f>
        <v>0</v>
      </c>
      <c r="AP103" s="30">
        <f>COUNTIF($F103:$AG103,$C$136)</f>
        <v>0</v>
      </c>
      <c r="AQ103" s="30">
        <f>COUNTIF($F103:$AG103,$C$137)</f>
        <v>4</v>
      </c>
      <c r="AR103" s="30">
        <f>COUNTIF($F103:$AG103,$C$138)</f>
        <v>0</v>
      </c>
      <c r="AS103" s="30">
        <f>COUNTIF($F103:$AG103,$C$139)</f>
        <v>0</v>
      </c>
      <c r="AT103" s="30">
        <f>COUNTIF($F103:$AG103,$C$140)</f>
        <v>0</v>
      </c>
      <c r="AU103" s="30">
        <f>COUNTIF($F103:$AG103,$C$141)</f>
        <v>0</v>
      </c>
      <c r="AV103" s="82">
        <f>COUNTA(F103:AG103)</f>
        <v>28</v>
      </c>
      <c r="AW103" s="54">
        <f>AH103+AR103</f>
        <v>24</v>
      </c>
    </row>
    <row r="104" spans="1:49">
      <c r="A104" s="429"/>
      <c r="B104" s="60"/>
      <c r="C104" s="61"/>
      <c r="D104" s="84"/>
      <c r="E104" s="73" t="s">
        <v>34</v>
      </c>
      <c r="F104" s="243">
        <v>1</v>
      </c>
      <c r="G104" s="26">
        <v>1</v>
      </c>
      <c r="H104" s="25">
        <v>1</v>
      </c>
      <c r="I104" s="25"/>
      <c r="J104" s="25">
        <v>1</v>
      </c>
      <c r="K104" s="25">
        <v>1</v>
      </c>
      <c r="L104" s="25">
        <v>1</v>
      </c>
      <c r="M104" s="25">
        <v>1</v>
      </c>
      <c r="N104" s="25">
        <v>1</v>
      </c>
      <c r="O104" s="25">
        <v>1</v>
      </c>
      <c r="P104" s="25"/>
      <c r="Q104" s="25">
        <v>1</v>
      </c>
      <c r="R104" s="25">
        <v>1</v>
      </c>
      <c r="S104" s="25">
        <v>1</v>
      </c>
      <c r="T104" s="25">
        <v>1</v>
      </c>
      <c r="U104" s="25">
        <v>1</v>
      </c>
      <c r="V104" s="25">
        <v>1</v>
      </c>
      <c r="W104" s="25"/>
      <c r="X104" s="25">
        <v>1</v>
      </c>
      <c r="Y104" s="25">
        <v>1</v>
      </c>
      <c r="Z104" s="25">
        <v>1</v>
      </c>
      <c r="AA104" s="25">
        <v>1</v>
      </c>
      <c r="AB104" s="25">
        <v>1</v>
      </c>
      <c r="AC104" s="25">
        <v>1</v>
      </c>
      <c r="AD104" s="25"/>
      <c r="AE104" s="25">
        <v>1</v>
      </c>
      <c r="AF104" s="25">
        <v>1</v>
      </c>
      <c r="AG104" s="24">
        <v>1</v>
      </c>
      <c r="AH104" s="459">
        <f>SUM(F104:AG104)</f>
        <v>24</v>
      </c>
      <c r="AI104" s="445"/>
      <c r="AJ104" s="445"/>
      <c r="AK104" s="445"/>
      <c r="AL104" s="445"/>
      <c r="AM104" s="445"/>
      <c r="AN104" s="445"/>
      <c r="AO104" s="445"/>
      <c r="AP104" s="445"/>
      <c r="AQ104" s="445"/>
      <c r="AR104" s="445"/>
      <c r="AS104" s="445"/>
      <c r="AT104" s="445"/>
      <c r="AU104" s="445"/>
      <c r="AV104" s="446"/>
      <c r="AW104" s="54"/>
    </row>
    <row r="105" spans="1:49">
      <c r="A105" s="430">
        <v>51</v>
      </c>
      <c r="B105" s="67">
        <v>14</v>
      </c>
      <c r="C105" s="56" t="s">
        <v>90</v>
      </c>
      <c r="D105" s="83" t="s">
        <v>84</v>
      </c>
      <c r="E105" s="71" t="s">
        <v>32</v>
      </c>
      <c r="F105" s="123" t="s">
        <v>14</v>
      </c>
      <c r="G105" s="27" t="s">
        <v>14</v>
      </c>
      <c r="H105" s="45" t="s">
        <v>14</v>
      </c>
      <c r="I105" s="45" t="s">
        <v>14</v>
      </c>
      <c r="J105" s="45" t="s">
        <v>14</v>
      </c>
      <c r="K105" s="45" t="s">
        <v>14</v>
      </c>
      <c r="L105" s="45" t="s">
        <v>23</v>
      </c>
      <c r="M105" s="45" t="s">
        <v>14</v>
      </c>
      <c r="N105" s="45" t="s">
        <v>14</v>
      </c>
      <c r="O105" s="45" t="s">
        <v>14</v>
      </c>
      <c r="P105" s="24" t="s">
        <v>14</v>
      </c>
      <c r="Q105" s="24" t="s">
        <v>14</v>
      </c>
      <c r="R105" s="45" t="s">
        <v>14</v>
      </c>
      <c r="S105" s="24" t="s">
        <v>23</v>
      </c>
      <c r="T105" s="24" t="s">
        <v>14</v>
      </c>
      <c r="U105" s="24" t="s">
        <v>14</v>
      </c>
      <c r="V105" s="24" t="s">
        <v>14</v>
      </c>
      <c r="W105" s="24" t="s">
        <v>14</v>
      </c>
      <c r="X105" s="24" t="s">
        <v>14</v>
      </c>
      <c r="Y105" s="44" t="s">
        <v>14</v>
      </c>
      <c r="Z105" s="24" t="s">
        <v>23</v>
      </c>
      <c r="AA105" s="44" t="s">
        <v>14</v>
      </c>
      <c r="AB105" s="44" t="s">
        <v>14</v>
      </c>
      <c r="AC105" s="44" t="s">
        <v>14</v>
      </c>
      <c r="AD105" s="24" t="s">
        <v>14</v>
      </c>
      <c r="AE105" s="24" t="s">
        <v>14</v>
      </c>
      <c r="AF105" s="24" t="s">
        <v>14</v>
      </c>
      <c r="AG105" s="24" t="s">
        <v>14</v>
      </c>
      <c r="AH105" s="30">
        <f>COUNTIF($F105:$AG105,$C$128)</f>
        <v>25</v>
      </c>
      <c r="AI105" s="30">
        <f>COUNTIF($F105:$AG105,$C$129)</f>
        <v>0</v>
      </c>
      <c r="AJ105" s="30">
        <f>COUNTIF($F105:$AG105,$C$130)</f>
        <v>0</v>
      </c>
      <c r="AK105" s="30">
        <f>COUNTIF($F105:$AG105,$C$131)</f>
        <v>0</v>
      </c>
      <c r="AL105" s="30">
        <f>COUNTIF($F105:$AG105,$C$132)</f>
        <v>0</v>
      </c>
      <c r="AM105" s="30">
        <f>COUNTIF($F105:$AG105,$C$133)</f>
        <v>0</v>
      </c>
      <c r="AN105" s="30">
        <f>COUNTIF($F105:$AG105,$C$134)</f>
        <v>0</v>
      </c>
      <c r="AO105" s="30">
        <f>COUNTIF($F105:$AG105,$C$135)</f>
        <v>0</v>
      </c>
      <c r="AP105" s="30">
        <f>COUNTIF($F105:$AG105,$C$136)</f>
        <v>0</v>
      </c>
      <c r="AQ105" s="30">
        <f>COUNTIF($F105:$AG105,$C$137)</f>
        <v>3</v>
      </c>
      <c r="AR105" s="30">
        <f>COUNTIF($F105:$AG105,$C$138)</f>
        <v>0</v>
      </c>
      <c r="AS105" s="30">
        <f>COUNTIF($F105:$AG105,$C$139)</f>
        <v>0</v>
      </c>
      <c r="AT105" s="30">
        <f>COUNTIF($F105:$AG105,$C$140)</f>
        <v>0</v>
      </c>
      <c r="AU105" s="30">
        <f>COUNTIF($F105:$AG105,$C$141)</f>
        <v>0</v>
      </c>
      <c r="AV105" s="82">
        <f>COUNTA(F105:AG105)</f>
        <v>28</v>
      </c>
      <c r="AW105" s="54">
        <f>AH105+AR105</f>
        <v>25</v>
      </c>
    </row>
    <row r="106" spans="1:49">
      <c r="A106" s="429"/>
      <c r="B106" s="60"/>
      <c r="C106" s="61"/>
      <c r="D106" s="84"/>
      <c r="E106" s="73" t="s">
        <v>34</v>
      </c>
      <c r="F106" s="123"/>
      <c r="G106" s="27"/>
      <c r="H106" s="45"/>
      <c r="I106" s="45"/>
      <c r="J106" s="45"/>
      <c r="K106" s="45"/>
      <c r="L106" s="45"/>
      <c r="M106" s="45"/>
      <c r="N106" s="45"/>
      <c r="O106" s="45"/>
      <c r="P106" s="24"/>
      <c r="Q106" s="23"/>
      <c r="R106" s="23"/>
      <c r="S106" s="45"/>
      <c r="T106" s="23"/>
      <c r="U106" s="24"/>
      <c r="V106" s="24"/>
      <c r="W106" s="25">
        <v>2</v>
      </c>
      <c r="X106" s="25">
        <v>2</v>
      </c>
      <c r="Y106" s="24"/>
      <c r="Z106" s="24"/>
      <c r="AA106" s="24"/>
      <c r="AB106" s="23"/>
      <c r="AC106" s="23"/>
      <c r="AD106" s="45"/>
      <c r="AE106" s="23"/>
      <c r="AF106" s="24"/>
      <c r="AG106" s="24"/>
      <c r="AH106" s="459">
        <f>SUM(F106:AG106)</f>
        <v>4</v>
      </c>
      <c r="AI106" s="445"/>
      <c r="AJ106" s="445"/>
      <c r="AK106" s="445"/>
      <c r="AL106" s="445"/>
      <c r="AM106" s="445"/>
      <c r="AN106" s="445"/>
      <c r="AO106" s="445"/>
      <c r="AP106" s="445"/>
      <c r="AQ106" s="445"/>
      <c r="AR106" s="445"/>
      <c r="AS106" s="445"/>
      <c r="AT106" s="445"/>
      <c r="AU106" s="445"/>
      <c r="AV106" s="446"/>
      <c r="AW106" s="54"/>
    </row>
    <row r="107" spans="1:49">
      <c r="A107" s="430">
        <v>52</v>
      </c>
      <c r="B107" s="67">
        <v>132</v>
      </c>
      <c r="C107" s="56" t="s">
        <v>91</v>
      </c>
      <c r="D107" s="83" t="s">
        <v>84</v>
      </c>
      <c r="E107" s="71" t="s">
        <v>32</v>
      </c>
      <c r="F107" s="123" t="s">
        <v>23</v>
      </c>
      <c r="G107" s="27" t="s">
        <v>14</v>
      </c>
      <c r="H107" s="45" t="s">
        <v>14</v>
      </c>
      <c r="I107" s="123" t="s">
        <v>14</v>
      </c>
      <c r="J107" s="45" t="s">
        <v>14</v>
      </c>
      <c r="K107" s="45" t="s">
        <v>14</v>
      </c>
      <c r="L107" s="45" t="s">
        <v>14</v>
      </c>
      <c r="M107" s="123" t="s">
        <v>23</v>
      </c>
      <c r="N107" s="45" t="s">
        <v>14</v>
      </c>
      <c r="O107" s="45" t="s">
        <v>14</v>
      </c>
      <c r="P107" s="45" t="s">
        <v>14</v>
      </c>
      <c r="Q107" s="45" t="s">
        <v>14</v>
      </c>
      <c r="R107" s="24" t="s">
        <v>14</v>
      </c>
      <c r="S107" s="45" t="s">
        <v>14</v>
      </c>
      <c r="T107" s="123" t="s">
        <v>23</v>
      </c>
      <c r="U107" s="45" t="s">
        <v>14</v>
      </c>
      <c r="V107" s="45" t="s">
        <v>14</v>
      </c>
      <c r="W107" s="24" t="s">
        <v>14</v>
      </c>
      <c r="X107" s="45" t="s">
        <v>14</v>
      </c>
      <c r="Y107" s="45" t="s">
        <v>14</v>
      </c>
      <c r="Z107" s="45" t="s">
        <v>14</v>
      </c>
      <c r="AA107" s="123" t="s">
        <v>23</v>
      </c>
      <c r="AB107" s="45" t="s">
        <v>14</v>
      </c>
      <c r="AC107" s="24" t="s">
        <v>14</v>
      </c>
      <c r="AD107" s="45" t="s">
        <v>14</v>
      </c>
      <c r="AE107" s="45" t="s">
        <v>14</v>
      </c>
      <c r="AF107" s="45" t="s">
        <v>14</v>
      </c>
      <c r="AG107" s="45" t="s">
        <v>14</v>
      </c>
      <c r="AH107" s="30">
        <f>COUNTIF($F107:$AG107,$C$128)</f>
        <v>24</v>
      </c>
      <c r="AI107" s="30">
        <f>COUNTIF($F107:$AG107,$C$129)</f>
        <v>0</v>
      </c>
      <c r="AJ107" s="30">
        <f>COUNTIF($F107:$AG107,$C$130)</f>
        <v>0</v>
      </c>
      <c r="AK107" s="30">
        <f>COUNTIF($F107:$AG107,$C$131)</f>
        <v>0</v>
      </c>
      <c r="AL107" s="30">
        <f>COUNTIF($F107:$AG107,$C$132)</f>
        <v>0</v>
      </c>
      <c r="AM107" s="30">
        <f>COUNTIF($F107:$AG107,$C$133)</f>
        <v>0</v>
      </c>
      <c r="AN107" s="30">
        <f>COUNTIF($F107:$AG107,$C$134)</f>
        <v>0</v>
      </c>
      <c r="AO107" s="7">
        <f>COUNTIF($F107:$AG107,$C$135)</f>
        <v>0</v>
      </c>
      <c r="AP107" s="30">
        <f>COUNTIF($F107:$AG107,$C$136)</f>
        <v>0</v>
      </c>
      <c r="AQ107" s="30">
        <f>COUNTIF($F107:$AG107,$C$137)</f>
        <v>4</v>
      </c>
      <c r="AR107" s="30">
        <f>COUNTIF($F107:$AG107,$C$138)</f>
        <v>0</v>
      </c>
      <c r="AS107" s="30">
        <f>COUNTIF($F107:$AG107,$C$139)</f>
        <v>0</v>
      </c>
      <c r="AT107" s="30">
        <f>COUNTIF($F107:$AG107,$C$140)</f>
        <v>0</v>
      </c>
      <c r="AU107" s="30">
        <f>COUNTIF($F107:$AG107,$C$141)</f>
        <v>0</v>
      </c>
      <c r="AV107" s="82">
        <f>COUNTA(F107:AG107)</f>
        <v>28</v>
      </c>
      <c r="AW107" s="54">
        <f>AH107+AR107</f>
        <v>24</v>
      </c>
    </row>
    <row r="108" spans="1:49">
      <c r="A108" s="429"/>
      <c r="B108" s="60"/>
      <c r="C108" s="61"/>
      <c r="D108" s="84"/>
      <c r="E108" s="73" t="s">
        <v>34</v>
      </c>
      <c r="F108" s="242"/>
      <c r="G108" s="27"/>
      <c r="H108" s="45">
        <v>2</v>
      </c>
      <c r="I108" s="45"/>
      <c r="J108" s="45"/>
      <c r="K108" s="45"/>
      <c r="L108" s="45"/>
      <c r="M108" s="45"/>
      <c r="N108" s="45"/>
      <c r="O108" s="45"/>
      <c r="P108" s="24"/>
      <c r="Q108" s="23"/>
      <c r="R108" s="25"/>
      <c r="S108" s="25"/>
      <c r="T108" s="24"/>
      <c r="U108" s="24"/>
      <c r="V108" s="24"/>
      <c r="W108" s="24"/>
      <c r="X108" s="24"/>
      <c r="Y108" s="24"/>
      <c r="Z108" s="24"/>
      <c r="AA108" s="24"/>
      <c r="AB108" s="23"/>
      <c r="AC108" s="25"/>
      <c r="AD108" s="25"/>
      <c r="AE108" s="24"/>
      <c r="AF108" s="24"/>
      <c r="AG108" s="24"/>
      <c r="AH108" s="459">
        <f>SUM(F108:AG108)</f>
        <v>2</v>
      </c>
      <c r="AI108" s="445"/>
      <c r="AJ108" s="445"/>
      <c r="AK108" s="445"/>
      <c r="AL108" s="445"/>
      <c r="AM108" s="445"/>
      <c r="AN108" s="445"/>
      <c r="AO108" s="445"/>
      <c r="AP108" s="445"/>
      <c r="AQ108" s="445"/>
      <c r="AR108" s="445"/>
      <c r="AS108" s="445"/>
      <c r="AT108" s="445"/>
      <c r="AU108" s="445"/>
      <c r="AV108" s="446"/>
      <c r="AW108" s="54"/>
    </row>
    <row r="109" spans="1:49">
      <c r="A109" s="430">
        <v>53</v>
      </c>
      <c r="B109" s="471">
        <v>133</v>
      </c>
      <c r="C109" s="473" t="s">
        <v>92</v>
      </c>
      <c r="D109" s="475" t="s">
        <v>84</v>
      </c>
      <c r="E109" s="71" t="s">
        <v>32</v>
      </c>
      <c r="F109" s="123" t="s">
        <v>14</v>
      </c>
      <c r="G109" s="27" t="s">
        <v>14</v>
      </c>
      <c r="H109" s="45" t="s">
        <v>14</v>
      </c>
      <c r="I109" s="45" t="s">
        <v>14</v>
      </c>
      <c r="J109" s="45" t="s">
        <v>23</v>
      </c>
      <c r="K109" s="45" t="s">
        <v>14</v>
      </c>
      <c r="L109" s="45" t="s">
        <v>14</v>
      </c>
      <c r="M109" s="45" t="s">
        <v>14</v>
      </c>
      <c r="N109" s="45" t="s">
        <v>23</v>
      </c>
      <c r="O109" s="45" t="s">
        <v>14</v>
      </c>
      <c r="P109" s="24" t="s">
        <v>14</v>
      </c>
      <c r="Q109" s="24" t="s">
        <v>14</v>
      </c>
      <c r="R109" s="45" t="s">
        <v>14</v>
      </c>
      <c r="S109" s="24" t="s">
        <v>14</v>
      </c>
      <c r="T109" s="24" t="s">
        <v>14</v>
      </c>
      <c r="U109" s="24" t="s">
        <v>23</v>
      </c>
      <c r="V109" s="24" t="s">
        <v>14</v>
      </c>
      <c r="W109" s="24" t="s">
        <v>14</v>
      </c>
      <c r="X109" s="24" t="s">
        <v>14</v>
      </c>
      <c r="Y109" s="24" t="s">
        <v>14</v>
      </c>
      <c r="Z109" s="24" t="s">
        <v>14</v>
      </c>
      <c r="AA109" s="24" t="s">
        <v>14</v>
      </c>
      <c r="AB109" s="24" t="s">
        <v>23</v>
      </c>
      <c r="AC109" s="45" t="s">
        <v>14</v>
      </c>
      <c r="AD109" s="24" t="s">
        <v>14</v>
      </c>
      <c r="AE109" s="24" t="s">
        <v>14</v>
      </c>
      <c r="AF109" s="24" t="s">
        <v>14</v>
      </c>
      <c r="AG109" s="24" t="s">
        <v>14</v>
      </c>
      <c r="AH109" s="30">
        <f>COUNTIF($F109:$AG109,$C$128)</f>
        <v>24</v>
      </c>
      <c r="AI109" s="30">
        <f>COUNTIF($F109:$AG109,$C$129)</f>
        <v>0</v>
      </c>
      <c r="AJ109" s="30">
        <f>COUNTIF($F109:$AG109,$C$130)</f>
        <v>0</v>
      </c>
      <c r="AK109" s="30">
        <f>COUNTIF($F109:$AG109,$C$131)</f>
        <v>0</v>
      </c>
      <c r="AL109" s="30">
        <f>COUNTIF($F109:$AG109,$C$132)</f>
        <v>0</v>
      </c>
      <c r="AM109" s="30">
        <f>COUNTIF($F109:$AG109,$C$133)</f>
        <v>0</v>
      </c>
      <c r="AN109" s="30">
        <f>COUNTIF($F109:$AG109,$C$134)</f>
        <v>0</v>
      </c>
      <c r="AO109" s="30">
        <f>COUNTIF($F109:$AG109,$C$135)</f>
        <v>0</v>
      </c>
      <c r="AP109" s="30">
        <f>COUNTIF($F109:$AG109,$C$136)</f>
        <v>0</v>
      </c>
      <c r="AQ109" s="30">
        <f>COUNTIF($F109:$AG109,$C$137)</f>
        <v>4</v>
      </c>
      <c r="AR109" s="30">
        <f>COUNTIF($F109:$AG109,$C$138)</f>
        <v>0</v>
      </c>
      <c r="AS109" s="30">
        <f>COUNTIF($F109:$AG109,$C$139)</f>
        <v>0</v>
      </c>
      <c r="AT109" s="30">
        <f>COUNTIF($F109:$AG109,$C$140)</f>
        <v>0</v>
      </c>
      <c r="AU109" s="30">
        <f>COUNTIF($F109:$AG109,$C$141)</f>
        <v>0</v>
      </c>
      <c r="AV109" s="82">
        <f>COUNTA(F109:AG109)</f>
        <v>28</v>
      </c>
      <c r="AW109" s="54">
        <f>AH109+AR109</f>
        <v>24</v>
      </c>
    </row>
    <row r="110" spans="1:49">
      <c r="A110" s="468"/>
      <c r="B110" s="472"/>
      <c r="C110" s="474"/>
      <c r="D110" s="476"/>
      <c r="E110" s="77" t="s">
        <v>34</v>
      </c>
      <c r="F110" s="244">
        <v>1</v>
      </c>
      <c r="G110" s="39">
        <v>1</v>
      </c>
      <c r="H110" s="37">
        <v>1</v>
      </c>
      <c r="I110" s="37">
        <v>1</v>
      </c>
      <c r="J110" s="37"/>
      <c r="K110" s="37">
        <v>1</v>
      </c>
      <c r="L110" s="37">
        <v>1</v>
      </c>
      <c r="M110" s="37">
        <v>1</v>
      </c>
      <c r="N110" s="37"/>
      <c r="O110" s="37">
        <v>1</v>
      </c>
      <c r="P110" s="37">
        <v>1</v>
      </c>
      <c r="Q110" s="94">
        <v>1</v>
      </c>
      <c r="R110" s="37">
        <v>1</v>
      </c>
      <c r="S110" s="37">
        <v>1</v>
      </c>
      <c r="T110" s="37">
        <v>1</v>
      </c>
      <c r="U110" s="37"/>
      <c r="V110" s="37">
        <v>1</v>
      </c>
      <c r="W110" s="37">
        <v>1</v>
      </c>
      <c r="X110" s="37">
        <v>1</v>
      </c>
      <c r="Y110" s="42">
        <v>1</v>
      </c>
      <c r="Z110" s="42">
        <v>1</v>
      </c>
      <c r="AA110" s="42">
        <v>1</v>
      </c>
      <c r="AB110" s="94"/>
      <c r="AC110" s="94">
        <v>1</v>
      </c>
      <c r="AD110" s="126">
        <v>1</v>
      </c>
      <c r="AE110" s="94">
        <v>1</v>
      </c>
      <c r="AF110" s="42">
        <v>1</v>
      </c>
      <c r="AG110" s="42">
        <v>1</v>
      </c>
      <c r="AH110" s="477">
        <f>SUM(F110:AG110)</f>
        <v>24</v>
      </c>
      <c r="AI110" s="461"/>
      <c r="AJ110" s="461"/>
      <c r="AK110" s="461"/>
      <c r="AL110" s="461"/>
      <c r="AM110" s="461"/>
      <c r="AN110" s="461"/>
      <c r="AO110" s="461"/>
      <c r="AP110" s="461"/>
      <c r="AQ110" s="461"/>
      <c r="AR110" s="461"/>
      <c r="AS110" s="461"/>
      <c r="AT110" s="461"/>
      <c r="AU110" s="461"/>
      <c r="AV110" s="478"/>
      <c r="AW110" s="54"/>
    </row>
    <row r="111" spans="1:49">
      <c r="A111" s="466">
        <v>54</v>
      </c>
      <c r="B111" s="186">
        <v>71</v>
      </c>
      <c r="C111" s="159" t="s">
        <v>93</v>
      </c>
      <c r="D111" s="159" t="s">
        <v>94</v>
      </c>
      <c r="E111" s="232" t="s">
        <v>32</v>
      </c>
      <c r="F111" s="123" t="s">
        <v>14</v>
      </c>
      <c r="G111" s="187" t="s">
        <v>14</v>
      </c>
      <c r="H111" s="188" t="s">
        <v>14</v>
      </c>
      <c r="I111" s="188" t="s">
        <v>14</v>
      </c>
      <c r="J111" s="188" t="s">
        <v>14</v>
      </c>
      <c r="K111" s="188" t="s">
        <v>14</v>
      </c>
      <c r="L111" s="188" t="s">
        <v>23</v>
      </c>
      <c r="M111" s="188" t="s">
        <v>14</v>
      </c>
      <c r="N111" s="188" t="s">
        <v>14</v>
      </c>
      <c r="O111" s="188" t="s">
        <v>14</v>
      </c>
      <c r="P111" s="189" t="s">
        <v>14</v>
      </c>
      <c r="Q111" s="189" t="s">
        <v>14</v>
      </c>
      <c r="R111" s="189" t="s">
        <v>14</v>
      </c>
      <c r="S111" s="189" t="s">
        <v>23</v>
      </c>
      <c r="T111" s="189" t="s">
        <v>14</v>
      </c>
      <c r="U111" s="189" t="s">
        <v>14</v>
      </c>
      <c r="V111" s="189" t="s">
        <v>14</v>
      </c>
      <c r="W111" s="189" t="s">
        <v>14</v>
      </c>
      <c r="X111" s="189" t="s">
        <v>14</v>
      </c>
      <c r="Y111" s="189" t="s">
        <v>14</v>
      </c>
      <c r="Z111" s="189" t="s">
        <v>24</v>
      </c>
      <c r="AA111" s="189" t="s">
        <v>14</v>
      </c>
      <c r="AB111" s="189" t="s">
        <v>14</v>
      </c>
      <c r="AC111" s="189" t="s">
        <v>14</v>
      </c>
      <c r="AD111" s="189" t="s">
        <v>14</v>
      </c>
      <c r="AE111" s="189" t="s">
        <v>14</v>
      </c>
      <c r="AF111" s="189" t="s">
        <v>14</v>
      </c>
      <c r="AG111" s="202" t="s">
        <v>23</v>
      </c>
      <c r="AH111" s="199">
        <f>COUNTIF($F111:$AG111,$C$128)</f>
        <v>24</v>
      </c>
      <c r="AI111" s="190">
        <f>COUNTIF($F111:$AG111,$C$129)</f>
        <v>0</v>
      </c>
      <c r="AJ111" s="190">
        <f>COUNTIF($F111:$AG111,$C$130)</f>
        <v>0</v>
      </c>
      <c r="AK111" s="190">
        <f>COUNTIF($F111:$AG111,$C$131)</f>
        <v>0</v>
      </c>
      <c r="AL111" s="190">
        <f>COUNTIF($F111:$AG111,$C$132)</f>
        <v>0</v>
      </c>
      <c r="AM111" s="190">
        <f>COUNTIF($F111:$AG111,$C$133)</f>
        <v>0</v>
      </c>
      <c r="AN111" s="190">
        <f>COUNTIF($F111:$AG111,$C$134)</f>
        <v>0</v>
      </c>
      <c r="AO111" s="191">
        <f>COUNTIF($F111:$AG111,$C$135)</f>
        <v>0</v>
      </c>
      <c r="AP111" s="191">
        <f>COUNTIF($F111:$AG111,$C$136)</f>
        <v>0</v>
      </c>
      <c r="AQ111" s="190">
        <f>COUNTIF($F111:$AG111,$C$137)</f>
        <v>3</v>
      </c>
      <c r="AR111" s="190">
        <f>COUNTIF($F111:$AG111,$C$138)</f>
        <v>1</v>
      </c>
      <c r="AS111" s="190">
        <f>COUNTIF($F111:$AG111,$C$139)</f>
        <v>0</v>
      </c>
      <c r="AT111" s="190">
        <f>COUNTIF($F111:$AG111,$C$140)</f>
        <v>0</v>
      </c>
      <c r="AU111" s="190">
        <f>COUNTIF($F111:$AG111,$C$141)</f>
        <v>0</v>
      </c>
      <c r="AV111" s="218">
        <f>COUNTA(F111:AG111)</f>
        <v>28</v>
      </c>
      <c r="AW111" s="54">
        <f>AH111+AR111</f>
        <v>25</v>
      </c>
    </row>
    <row r="112" spans="1:49" ht="17.25" customHeight="1">
      <c r="A112" s="467"/>
      <c r="B112" s="192"/>
      <c r="C112" s="161"/>
      <c r="D112" s="64"/>
      <c r="E112" s="233" t="s">
        <v>34</v>
      </c>
      <c r="F112" s="245"/>
      <c r="G112" s="193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>
        <v>1</v>
      </c>
      <c r="Z112" s="194">
        <v>1</v>
      </c>
      <c r="AA112" s="194">
        <v>1</v>
      </c>
      <c r="AB112" s="194"/>
      <c r="AC112" s="194"/>
      <c r="AD112" s="194"/>
      <c r="AE112" s="194"/>
      <c r="AF112" s="194">
        <v>1</v>
      </c>
      <c r="AG112" s="203"/>
      <c r="AH112" s="460">
        <f>SUM(F112:AG112)</f>
        <v>4</v>
      </c>
      <c r="AI112" s="461"/>
      <c r="AJ112" s="462"/>
      <c r="AK112" s="462"/>
      <c r="AL112" s="462"/>
      <c r="AM112" s="462"/>
      <c r="AN112" s="462"/>
      <c r="AO112" s="462"/>
      <c r="AP112" s="462"/>
      <c r="AQ112" s="462"/>
      <c r="AR112" s="462"/>
      <c r="AS112" s="462"/>
      <c r="AT112" s="462"/>
      <c r="AU112" s="462"/>
      <c r="AV112" s="463"/>
      <c r="AW112" s="54"/>
    </row>
    <row r="113" spans="1:49">
      <c r="A113" s="468">
        <v>55</v>
      </c>
      <c r="B113" s="85">
        <v>131</v>
      </c>
      <c r="C113" s="163" t="s">
        <v>95</v>
      </c>
      <c r="D113" s="171" t="s">
        <v>94</v>
      </c>
      <c r="E113" s="71" t="s">
        <v>32</v>
      </c>
      <c r="F113" s="123" t="s">
        <v>14</v>
      </c>
      <c r="G113" s="193" t="s">
        <v>14</v>
      </c>
      <c r="H113" s="27" t="s">
        <v>14</v>
      </c>
      <c r="I113" s="193" t="s">
        <v>14</v>
      </c>
      <c r="J113" s="193" t="s">
        <v>14</v>
      </c>
      <c r="K113" s="193" t="s">
        <v>23</v>
      </c>
      <c r="L113" s="193" t="s">
        <v>14</v>
      </c>
      <c r="M113" s="188" t="s">
        <v>14</v>
      </c>
      <c r="N113" s="193" t="s">
        <v>14</v>
      </c>
      <c r="O113" s="193" t="s">
        <v>14</v>
      </c>
      <c r="P113" s="196" t="s">
        <v>14</v>
      </c>
      <c r="Q113" s="196" t="s">
        <v>14</v>
      </c>
      <c r="R113" s="196" t="s">
        <v>23</v>
      </c>
      <c r="S113" s="196" t="s">
        <v>14</v>
      </c>
      <c r="T113" s="196" t="s">
        <v>14</v>
      </c>
      <c r="U113" s="196" t="s">
        <v>14</v>
      </c>
      <c r="V113" s="196" t="s">
        <v>14</v>
      </c>
      <c r="W113" s="196" t="s">
        <v>14</v>
      </c>
      <c r="X113" s="196" t="s">
        <v>14</v>
      </c>
      <c r="Y113" s="196" t="s">
        <v>23</v>
      </c>
      <c r="Z113" s="419" t="s">
        <v>21</v>
      </c>
      <c r="AA113" s="196" t="s">
        <v>14</v>
      </c>
      <c r="AB113" s="196" t="s">
        <v>14</v>
      </c>
      <c r="AC113" s="196" t="s">
        <v>14</v>
      </c>
      <c r="AD113" s="196" t="s">
        <v>14</v>
      </c>
      <c r="AE113" s="196" t="s">
        <v>14</v>
      </c>
      <c r="AF113" s="197" t="s">
        <v>23</v>
      </c>
      <c r="AG113" s="198" t="s">
        <v>14</v>
      </c>
      <c r="AH113" s="205">
        <f>COUNTIF($F113:$AG113,$C$128)</f>
        <v>23</v>
      </c>
      <c r="AI113" s="204">
        <f>COUNTIF($F113:$AG113,$C$129)</f>
        <v>0</v>
      </c>
      <c r="AJ113" s="200">
        <f>COUNTIF($F113:$AG113,$C$130)</f>
        <v>0</v>
      </c>
      <c r="AK113" s="201">
        <f>COUNTIF($F113:$AG113,$C$131)</f>
        <v>0</v>
      </c>
      <c r="AL113" s="201">
        <f>COUNTIF($F113:$AG113,$C$132)</f>
        <v>0</v>
      </c>
      <c r="AM113" s="201">
        <f>COUNTIF($F113:$AG113,$C$133)</f>
        <v>0</v>
      </c>
      <c r="AN113" s="201">
        <f>COUNTIF($F113:$AG113,$C$134)</f>
        <v>0</v>
      </c>
      <c r="AO113" s="420">
        <f>COUNTIF($F113:$AG113,$C$135)</f>
        <v>1</v>
      </c>
      <c r="AP113" s="201">
        <f>COUNTIF($F113:$AG113,$C$136)</f>
        <v>0</v>
      </c>
      <c r="AQ113" s="201">
        <f>COUNTIF($F113:$AG113,$C$137)</f>
        <v>4</v>
      </c>
      <c r="AR113" s="201">
        <f>COUNTIF($F113:$AG113,$C$138)</f>
        <v>0</v>
      </c>
      <c r="AS113" s="201">
        <f>COUNTIF($F113:$AG113,$C$139)</f>
        <v>0</v>
      </c>
      <c r="AT113" s="201">
        <f>COUNTIF($F113:$AG113,$C$140)</f>
        <v>0</v>
      </c>
      <c r="AU113" s="201">
        <f>COUNTIF($F113:$AG113,$C$141)</f>
        <v>0</v>
      </c>
      <c r="AV113" s="219">
        <f>COUNTA(F113:AG113)</f>
        <v>28</v>
      </c>
      <c r="AW113" s="54">
        <f>AH113+AR113</f>
        <v>23</v>
      </c>
    </row>
    <row r="114" spans="1:49">
      <c r="A114" s="469"/>
      <c r="B114" s="150"/>
      <c r="C114" s="151"/>
      <c r="D114" s="220"/>
      <c r="E114" s="234" t="s">
        <v>34</v>
      </c>
      <c r="F114" s="246"/>
      <c r="G114" s="152"/>
      <c r="H114" s="152"/>
      <c r="I114" s="41"/>
      <c r="J114" s="134"/>
      <c r="K114" s="101"/>
      <c r="L114" s="134"/>
      <c r="M114" s="10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>
        <v>1</v>
      </c>
      <c r="AB114" s="41"/>
      <c r="AC114" s="41"/>
      <c r="AD114" s="41"/>
      <c r="AE114" s="41"/>
      <c r="AF114" s="135"/>
      <c r="AG114" s="154">
        <v>1</v>
      </c>
      <c r="AH114" s="443">
        <f>SUM(F114:AG114)</f>
        <v>2</v>
      </c>
      <c r="AI114" s="443"/>
      <c r="AJ114" s="443"/>
      <c r="AK114" s="443"/>
      <c r="AL114" s="443"/>
      <c r="AM114" s="443"/>
      <c r="AN114" s="443"/>
      <c r="AO114" s="443"/>
      <c r="AP114" s="443"/>
      <c r="AQ114" s="443"/>
      <c r="AR114" s="443"/>
      <c r="AS114" s="443"/>
      <c r="AT114" s="443"/>
      <c r="AU114" s="443"/>
      <c r="AV114" s="444"/>
      <c r="AW114" s="54"/>
    </row>
    <row r="115" spans="1:49">
      <c r="A115" s="468">
        <v>56</v>
      </c>
      <c r="B115" s="64">
        <v>125</v>
      </c>
      <c r="C115" s="64" t="s">
        <v>96</v>
      </c>
      <c r="D115" s="64" t="s">
        <v>94</v>
      </c>
      <c r="E115" s="153" t="s">
        <v>32</v>
      </c>
      <c r="F115" s="261" t="s">
        <v>23</v>
      </c>
      <c r="G115" s="138" t="s">
        <v>14</v>
      </c>
      <c r="H115" s="360" t="s">
        <v>14</v>
      </c>
      <c r="I115" s="360" t="s">
        <v>14</v>
      </c>
      <c r="J115" s="360" t="s">
        <v>14</v>
      </c>
      <c r="K115" s="360" t="s">
        <v>14</v>
      </c>
      <c r="L115" s="360" t="s">
        <v>14</v>
      </c>
      <c r="M115" s="261" t="s">
        <v>23</v>
      </c>
      <c r="N115" s="360" t="s">
        <v>14</v>
      </c>
      <c r="O115" s="360" t="s">
        <v>14</v>
      </c>
      <c r="P115" s="366" t="s">
        <v>14</v>
      </c>
      <c r="Q115" s="366" t="s">
        <v>14</v>
      </c>
      <c r="R115" s="366" t="s">
        <v>14</v>
      </c>
      <c r="S115" s="366" t="s">
        <v>14</v>
      </c>
      <c r="T115" s="261" t="s">
        <v>23</v>
      </c>
      <c r="U115" s="366" t="s">
        <v>14</v>
      </c>
      <c r="V115" s="366" t="s">
        <v>14</v>
      </c>
      <c r="W115" s="366" t="s">
        <v>14</v>
      </c>
      <c r="X115" s="366" t="s">
        <v>14</v>
      </c>
      <c r="Y115" s="366" t="s">
        <v>14</v>
      </c>
      <c r="Z115" s="366" t="s">
        <v>14</v>
      </c>
      <c r="AA115" s="261" t="s">
        <v>23</v>
      </c>
      <c r="AB115" s="366" t="s">
        <v>14</v>
      </c>
      <c r="AC115" s="366" t="s">
        <v>14</v>
      </c>
      <c r="AD115" s="366" t="s">
        <v>14</v>
      </c>
      <c r="AE115" s="366" t="s">
        <v>14</v>
      </c>
      <c r="AF115" s="413" t="s">
        <v>14</v>
      </c>
      <c r="AG115" s="414" t="s">
        <v>14</v>
      </c>
      <c r="AH115" s="415">
        <f>COUNTIF($F115:$AG115,$C$128)</f>
        <v>24</v>
      </c>
      <c r="AI115" s="136">
        <f>COUNTIF($F115:$AG115,$C$129)</f>
        <v>0</v>
      </c>
      <c r="AJ115" s="136">
        <f>COUNTIF($F115:$AG115,$C$130)</f>
        <v>0</v>
      </c>
      <c r="AK115" s="136">
        <f>COUNTIF($F115:$AG115,$C$131)</f>
        <v>0</v>
      </c>
      <c r="AL115" s="136">
        <f>COUNTIF($F115:$AG115,$C$132)</f>
        <v>0</v>
      </c>
      <c r="AM115" s="136">
        <f>COUNTIF($F115:$AG115,$C$133)</f>
        <v>0</v>
      </c>
      <c r="AN115" s="136">
        <f>COUNTIF($F115:$AG115,$C$134)</f>
        <v>0</v>
      </c>
      <c r="AO115" s="136">
        <f>COUNTIF($F115:$AG115,$C$135)</f>
        <v>0</v>
      </c>
      <c r="AP115" s="136">
        <f>COUNTIF($F115:$AG115,$C$136)</f>
        <v>0</v>
      </c>
      <c r="AQ115" s="412">
        <f>COUNTIF($F115:$AG115,$C$137)</f>
        <v>4</v>
      </c>
      <c r="AR115" s="136">
        <f>COUNTIF($F115:$AG115,$C$138)</f>
        <v>0</v>
      </c>
      <c r="AS115" s="136">
        <f>COUNTIF($F115:$AG115,$C$139)</f>
        <v>0</v>
      </c>
      <c r="AT115" s="136">
        <f>COUNTIF($F115:$AG115,$C$140)</f>
        <v>0</v>
      </c>
      <c r="AU115" s="136">
        <f>COUNTIF($F115:$AG115,$C$141)</f>
        <v>0</v>
      </c>
      <c r="AV115" s="137">
        <f>COUNTA(F115:AG115)</f>
        <v>28</v>
      </c>
      <c r="AW115" s="54">
        <f>AH115+AR115</f>
        <v>24</v>
      </c>
    </row>
    <row r="116" spans="1:49" ht="21" customHeight="1">
      <c r="A116" s="468"/>
      <c r="B116" s="64"/>
      <c r="C116" s="64"/>
      <c r="D116" s="65"/>
      <c r="E116" s="302" t="s">
        <v>34</v>
      </c>
      <c r="F116" s="244"/>
      <c r="G116" s="130"/>
      <c r="H116" s="126"/>
      <c r="I116" s="126"/>
      <c r="J116" s="126"/>
      <c r="K116" s="126"/>
      <c r="L116" s="126"/>
      <c r="M116" s="126"/>
      <c r="N116" s="126"/>
      <c r="O116" s="126"/>
      <c r="P116" s="42"/>
      <c r="Q116" s="42"/>
      <c r="R116" s="42"/>
      <c r="S116" s="42"/>
      <c r="T116" s="42"/>
      <c r="U116" s="42"/>
      <c r="V116" s="42"/>
      <c r="W116" s="42"/>
      <c r="X116" s="42"/>
      <c r="Y116" s="416">
        <v>1</v>
      </c>
      <c r="Z116" s="416">
        <v>1</v>
      </c>
      <c r="AA116" s="42"/>
      <c r="AB116" s="42"/>
      <c r="AC116" s="42"/>
      <c r="AD116" s="42"/>
      <c r="AE116" s="42"/>
      <c r="AF116" s="417">
        <v>1</v>
      </c>
      <c r="AG116" s="418">
        <v>1</v>
      </c>
      <c r="AH116" s="461">
        <f>SUM(F116:AG116)</f>
        <v>4</v>
      </c>
      <c r="AI116" s="461"/>
      <c r="AJ116" s="461"/>
      <c r="AK116" s="461"/>
      <c r="AL116" s="461"/>
      <c r="AM116" s="461"/>
      <c r="AN116" s="461"/>
      <c r="AO116" s="461"/>
      <c r="AP116" s="461"/>
      <c r="AQ116" s="461"/>
      <c r="AR116" s="461"/>
      <c r="AS116" s="461"/>
      <c r="AT116" s="461"/>
      <c r="AU116" s="461"/>
      <c r="AV116" s="478"/>
      <c r="AW116" s="54"/>
    </row>
    <row r="117" spans="1:49">
      <c r="A117" s="428">
        <v>57</v>
      </c>
      <c r="B117" s="297">
        <v>128</v>
      </c>
      <c r="C117" s="298" t="s">
        <v>97</v>
      </c>
      <c r="D117" s="299" t="s">
        <v>98</v>
      </c>
      <c r="E117" s="231" t="s">
        <v>32</v>
      </c>
      <c r="F117" s="294" t="s">
        <v>23</v>
      </c>
      <c r="G117" s="238" t="s">
        <v>14</v>
      </c>
      <c r="H117" s="47" t="s">
        <v>14</v>
      </c>
      <c r="I117" s="47" t="s">
        <v>14</v>
      </c>
      <c r="J117" s="235" t="s">
        <v>14</v>
      </c>
      <c r="K117" s="235" t="s">
        <v>14</v>
      </c>
      <c r="L117" s="235" t="s">
        <v>23</v>
      </c>
      <c r="M117" s="294" t="s">
        <v>23</v>
      </c>
      <c r="N117" s="235" t="s">
        <v>14</v>
      </c>
      <c r="O117" s="236" t="s">
        <v>14</v>
      </c>
      <c r="P117" s="236" t="s">
        <v>14</v>
      </c>
      <c r="Q117" s="235" t="s">
        <v>14</v>
      </c>
      <c r="R117" s="235" t="s">
        <v>14</v>
      </c>
      <c r="S117" s="235" t="s">
        <v>23</v>
      </c>
      <c r="T117" s="294" t="s">
        <v>23</v>
      </c>
      <c r="U117" s="235" t="s">
        <v>14</v>
      </c>
      <c r="V117" s="236" t="s">
        <v>14</v>
      </c>
      <c r="W117" s="236" t="s">
        <v>14</v>
      </c>
      <c r="X117" s="235" t="s">
        <v>14</v>
      </c>
      <c r="Y117" s="235"/>
      <c r="Z117" s="236"/>
      <c r="AA117" s="236"/>
      <c r="AB117" s="235"/>
      <c r="AC117" s="235"/>
      <c r="AD117" s="47"/>
      <c r="AE117" s="47"/>
      <c r="AF117" s="300"/>
      <c r="AG117" s="236"/>
      <c r="AH117" s="301">
        <f>COUNTIF($F117:$AG117,$C$128)</f>
        <v>14</v>
      </c>
      <c r="AI117" s="80">
        <f>COUNTIF($F117:$AG117,$C$129)</f>
        <v>0</v>
      </c>
      <c r="AJ117" s="80">
        <f>COUNTIF($F117:$AG117,$C$130)</f>
        <v>0</v>
      </c>
      <c r="AK117" s="80">
        <f>COUNTIF($F117:$AG117,$C$131)</f>
        <v>0</v>
      </c>
      <c r="AL117" s="80">
        <f>COUNTIF($F117:$AG117,$C$132)</f>
        <v>0</v>
      </c>
      <c r="AM117" s="80">
        <f>COUNTIF($F117:$AG117,$C$133)</f>
        <v>0</v>
      </c>
      <c r="AN117" s="80">
        <f>COUNTIF($F117:$AG117,$C$134)</f>
        <v>0</v>
      </c>
      <c r="AO117" s="80">
        <f>COUNTIF($F117:$AG117,$C$135)</f>
        <v>0</v>
      </c>
      <c r="AP117" s="80">
        <f>COUNTIF($F117:$AG117,$C$136)</f>
        <v>0</v>
      </c>
      <c r="AQ117" s="80">
        <f>COUNTIF($F117:$AG117,$C$137)</f>
        <v>5</v>
      </c>
      <c r="AR117" s="80">
        <f>COUNTIF($F117:$AG117,$C$138)</f>
        <v>0</v>
      </c>
      <c r="AS117" s="80">
        <f>COUNTIF($F117:$AG117,$C$139)</f>
        <v>0</v>
      </c>
      <c r="AT117" s="80">
        <f>COUNTIF($F117:$AG117,$C$140)</f>
        <v>0</v>
      </c>
      <c r="AU117" s="80">
        <f>COUNTIF($F117:$AG117,$C$141)</f>
        <v>0</v>
      </c>
      <c r="AV117" s="81">
        <f>COUNTA(F117:AG117)</f>
        <v>19</v>
      </c>
      <c r="AW117" s="54">
        <f>AH117+AR117</f>
        <v>14</v>
      </c>
    </row>
    <row r="118" spans="1:49">
      <c r="A118" s="429"/>
      <c r="B118" s="86"/>
      <c r="C118" s="87"/>
      <c r="D118" s="88"/>
      <c r="E118" s="73" t="s">
        <v>34</v>
      </c>
      <c r="F118" s="242"/>
      <c r="G118" s="44"/>
      <c r="H118" s="23"/>
      <c r="I118" s="23"/>
      <c r="J118" s="23"/>
      <c r="K118" s="25"/>
      <c r="L118" s="25"/>
      <c r="M118" s="25"/>
      <c r="N118" s="24"/>
      <c r="O118" s="23"/>
      <c r="P118" s="26"/>
      <c r="Q118" s="26"/>
      <c r="R118" s="25"/>
      <c r="S118" s="25"/>
      <c r="T118" s="25"/>
      <c r="U118" s="24"/>
      <c r="V118" s="23"/>
      <c r="W118" s="26"/>
      <c r="X118" s="26"/>
      <c r="Y118" s="24"/>
      <c r="Z118" s="23"/>
      <c r="AA118" s="26"/>
      <c r="AB118" s="26"/>
      <c r="AC118" s="24"/>
      <c r="AD118" s="26"/>
      <c r="AE118" s="26"/>
      <c r="AF118" s="26"/>
      <c r="AG118" s="26"/>
      <c r="AH118" s="445">
        <f ca="1">SUM(F118:AH118)</f>
        <v>0</v>
      </c>
      <c r="AI118" s="445"/>
      <c r="AJ118" s="445"/>
      <c r="AK118" s="445"/>
      <c r="AL118" s="445"/>
      <c r="AM118" s="445"/>
      <c r="AN118" s="445"/>
      <c r="AO118" s="445"/>
      <c r="AP118" s="445"/>
      <c r="AQ118" s="445"/>
      <c r="AR118" s="445"/>
      <c r="AS118" s="445"/>
      <c r="AT118" s="445"/>
      <c r="AU118" s="445"/>
      <c r="AV118" s="446"/>
      <c r="AW118" s="54"/>
    </row>
    <row r="119" spans="1:49">
      <c r="A119" s="430">
        <v>58</v>
      </c>
      <c r="B119" s="89">
        <v>129</v>
      </c>
      <c r="C119" s="90" t="s">
        <v>99</v>
      </c>
      <c r="D119" s="56" t="s">
        <v>98</v>
      </c>
      <c r="E119" s="71" t="s">
        <v>32</v>
      </c>
      <c r="F119" s="347" t="s">
        <v>23</v>
      </c>
      <c r="G119" s="45" t="s">
        <v>14</v>
      </c>
      <c r="H119" s="24" t="s">
        <v>14</v>
      </c>
      <c r="I119" s="24" t="s">
        <v>14</v>
      </c>
      <c r="J119" s="45" t="s">
        <v>14</v>
      </c>
      <c r="K119" s="24" t="s">
        <v>14</v>
      </c>
      <c r="L119" s="281" t="s">
        <v>23</v>
      </c>
      <c r="M119" s="281" t="s">
        <v>23</v>
      </c>
      <c r="N119" s="281" t="s">
        <v>14</v>
      </c>
      <c r="O119" s="282" t="s">
        <v>14</v>
      </c>
      <c r="P119" s="282" t="s">
        <v>14</v>
      </c>
      <c r="Q119" s="281" t="s">
        <v>14</v>
      </c>
      <c r="R119" s="281" t="s">
        <v>14</v>
      </c>
      <c r="S119" s="281" t="s">
        <v>23</v>
      </c>
      <c r="T119" s="281" t="s">
        <v>23</v>
      </c>
      <c r="U119" s="45" t="s">
        <v>14</v>
      </c>
      <c r="V119" s="24" t="s">
        <v>14</v>
      </c>
      <c r="W119" s="24" t="s">
        <v>14</v>
      </c>
      <c r="X119" s="45" t="s">
        <v>14</v>
      </c>
      <c r="Y119" s="24"/>
      <c r="Z119" s="281"/>
      <c r="AA119" s="281"/>
      <c r="AB119" s="281"/>
      <c r="AC119" s="281"/>
      <c r="AD119" s="247"/>
      <c r="AE119" s="44"/>
      <c r="AF119" s="127"/>
      <c r="AG119" s="129"/>
      <c r="AH119" s="158">
        <f>COUNTIF($F119:$AG119,$C$128)</f>
        <v>14</v>
      </c>
      <c r="AI119" s="91">
        <f>COUNTIF($F119:$AG119,$C$129)</f>
        <v>0</v>
      </c>
      <c r="AJ119" s="91">
        <f>COUNTIF($F119:$AG119,$C$130)</f>
        <v>0</v>
      </c>
      <c r="AK119" s="91">
        <f>COUNTIF($F119:$AG119,$C$131)</f>
        <v>0</v>
      </c>
      <c r="AL119" s="91">
        <f>COUNTIF($F119:$AG119,$C$132)</f>
        <v>0</v>
      </c>
      <c r="AM119" s="91">
        <f>COUNTIF($F119:$AG119,$C$133)</f>
        <v>0</v>
      </c>
      <c r="AN119" s="91">
        <f>COUNTIF($F119:$AG119,$C$134)</f>
        <v>0</v>
      </c>
      <c r="AO119" s="91">
        <f>COUNTIF($F119:$AG119,$C$135)</f>
        <v>0</v>
      </c>
      <c r="AP119" s="91">
        <f>COUNTIF($F119:$AG119,$C$136)</f>
        <v>0</v>
      </c>
      <c r="AQ119" s="91">
        <f>COUNTIF($F119:$AG119,$C$137)</f>
        <v>5</v>
      </c>
      <c r="AR119" s="91">
        <f>COUNTIF($F119:$AG119,$C$138)</f>
        <v>0</v>
      </c>
      <c r="AS119" s="91">
        <f>COUNTIF($F119:$AG119,$C$139)</f>
        <v>0</v>
      </c>
      <c r="AT119" s="91">
        <f>COUNTIF($F119:$AG119,$C$140)</f>
        <v>0</v>
      </c>
      <c r="AU119" s="91">
        <f>COUNTIF($F119:$AG119,$C$141)</f>
        <v>0</v>
      </c>
      <c r="AV119" s="92">
        <f>COUNTA(F119:AG119)</f>
        <v>19</v>
      </c>
      <c r="AW119" s="54">
        <f>AH119+AR119</f>
        <v>14</v>
      </c>
    </row>
    <row r="120" spans="1:49">
      <c r="A120" s="429"/>
      <c r="B120" s="93"/>
      <c r="C120" s="90"/>
      <c r="D120" s="64"/>
      <c r="E120" s="77" t="s">
        <v>34</v>
      </c>
      <c r="F120" s="290"/>
      <c r="G120" s="291"/>
      <c r="H120" s="292"/>
      <c r="I120" s="289"/>
      <c r="J120" s="286"/>
      <c r="K120" s="287"/>
      <c r="L120" s="287"/>
      <c r="M120" s="287"/>
      <c r="N120" s="288"/>
      <c r="O120" s="276"/>
      <c r="P120" s="283"/>
      <c r="Q120" s="278"/>
      <c r="R120" s="278"/>
      <c r="S120" s="278"/>
      <c r="T120" s="278"/>
      <c r="U120" s="279"/>
      <c r="V120" s="277"/>
      <c r="W120" s="278"/>
      <c r="X120" s="279"/>
      <c r="Y120" s="279"/>
      <c r="Z120" s="277"/>
      <c r="AA120" s="279"/>
      <c r="AB120" s="279"/>
      <c r="AC120" s="279"/>
      <c r="AD120" s="280"/>
      <c r="AE120" s="39"/>
      <c r="AF120" s="12"/>
      <c r="AG120" s="37"/>
      <c r="AH120" s="447">
        <f ca="1">SUM(F120:AH120)</f>
        <v>0</v>
      </c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8"/>
      <c r="AW120" s="54"/>
    </row>
    <row r="121" spans="1:49">
      <c r="A121" s="430">
        <v>59</v>
      </c>
      <c r="B121" s="451">
        <v>130</v>
      </c>
      <c r="C121" s="453" t="s">
        <v>100</v>
      </c>
      <c r="D121" s="455" t="s">
        <v>98</v>
      </c>
      <c r="E121" s="95" t="s">
        <v>32</v>
      </c>
      <c r="F121" s="347" t="s">
        <v>23</v>
      </c>
      <c r="G121" s="45" t="s">
        <v>14</v>
      </c>
      <c r="H121" s="24" t="s">
        <v>14</v>
      </c>
      <c r="I121" s="24" t="s">
        <v>14</v>
      </c>
      <c r="J121" s="45" t="s">
        <v>14</v>
      </c>
      <c r="K121" s="24" t="s">
        <v>14</v>
      </c>
      <c r="L121" s="281" t="s">
        <v>23</v>
      </c>
      <c r="M121" s="281" t="s">
        <v>23</v>
      </c>
      <c r="N121" s="281" t="s">
        <v>14</v>
      </c>
      <c r="O121" s="282" t="s">
        <v>14</v>
      </c>
      <c r="P121" s="282" t="s">
        <v>14</v>
      </c>
      <c r="Q121" s="281" t="s">
        <v>14</v>
      </c>
      <c r="R121" s="281" t="s">
        <v>14</v>
      </c>
      <c r="S121" s="281" t="s">
        <v>23</v>
      </c>
      <c r="T121" s="281" t="s">
        <v>23</v>
      </c>
      <c r="U121" s="45" t="s">
        <v>14</v>
      </c>
      <c r="V121" s="24" t="s">
        <v>14</v>
      </c>
      <c r="W121" s="24" t="s">
        <v>14</v>
      </c>
      <c r="X121" s="45" t="s">
        <v>14</v>
      </c>
      <c r="Y121" s="281"/>
      <c r="Z121" s="281"/>
      <c r="AA121" s="281"/>
      <c r="AB121" s="284"/>
      <c r="AC121" s="285"/>
      <c r="AD121" s="272"/>
      <c r="AE121" s="265"/>
      <c r="AF121" s="128"/>
      <c r="AG121" s="129"/>
      <c r="AH121" s="156">
        <f>COUNTIF($F121:$AG121,$C$130)</f>
        <v>0</v>
      </c>
      <c r="AI121" s="96">
        <f>COUNTIF($F121:$AG121,$C$131)</f>
        <v>0</v>
      </c>
      <c r="AJ121" s="97">
        <f>COUNTIF($F121:$AG121,$C$132)</f>
        <v>0</v>
      </c>
      <c r="AK121" s="97">
        <f>COUNTIF($F121:$AG121,$C$133)</f>
        <v>0</v>
      </c>
      <c r="AL121" s="97">
        <f>COUNTIF($F121:$AG121,$C$134)</f>
        <v>0</v>
      </c>
      <c r="AM121" s="97">
        <f>COUNTIF($F121:$AG121,$C$135)</f>
        <v>0</v>
      </c>
      <c r="AN121" s="97">
        <f>COUNTIF($F121:$AG121,$C$136)</f>
        <v>0</v>
      </c>
      <c r="AO121" s="97">
        <f>COUNTIF($F121:$AG121,$C$137)</f>
        <v>5</v>
      </c>
      <c r="AP121" s="97">
        <f>COUNTIF($F121:$AG121,$C$138)</f>
        <v>0</v>
      </c>
      <c r="AQ121" s="97">
        <f>COUNTIF($F121:$AG121,$C$139)</f>
        <v>0</v>
      </c>
      <c r="AR121" s="97">
        <f>COUNTIF($F121:$AG121,$C$140)</f>
        <v>0</v>
      </c>
      <c r="AS121" s="97">
        <f>COUNTIF($F121:$AG121,$C$141)</f>
        <v>0</v>
      </c>
      <c r="AT121" s="97">
        <f>COUNTIF($F121:$AG121,$C$142)</f>
        <v>0</v>
      </c>
      <c r="AU121" s="97">
        <f>COUNTIF($F121:$AG121,$C$143)</f>
        <v>0</v>
      </c>
      <c r="AV121" s="98">
        <f>COUNTA(F121:AG121)</f>
        <v>19</v>
      </c>
      <c r="AW121" s="54">
        <f t="shared" ref="AW120:AW121" si="2">AH121+AR121</f>
        <v>0</v>
      </c>
    </row>
    <row r="122" spans="1:49">
      <c r="A122" s="469"/>
      <c r="B122" s="452"/>
      <c r="C122" s="454"/>
      <c r="D122" s="456"/>
      <c r="E122" s="99" t="s">
        <v>34</v>
      </c>
      <c r="F122" s="246"/>
      <c r="G122" s="348"/>
      <c r="H122" s="348"/>
      <c r="I122" s="349"/>
      <c r="J122" s="350"/>
      <c r="K122" s="351"/>
      <c r="L122" s="351"/>
      <c r="M122" s="351"/>
      <c r="N122" s="352"/>
      <c r="O122" s="353"/>
      <c r="P122" s="354"/>
      <c r="Q122" s="351"/>
      <c r="R122" s="351"/>
      <c r="S122" s="351"/>
      <c r="T122" s="351"/>
      <c r="U122" s="355"/>
      <c r="V122" s="356"/>
      <c r="W122" s="351"/>
      <c r="X122" s="355"/>
      <c r="Y122" s="41"/>
      <c r="Z122" s="41"/>
      <c r="AA122" s="41"/>
      <c r="AB122" s="101"/>
      <c r="AC122" s="35"/>
      <c r="AD122" s="35"/>
      <c r="AE122" s="41"/>
      <c r="AF122" s="135"/>
      <c r="AG122" s="154"/>
      <c r="AH122" s="457">
        <f ca="1">SUM(F122:AH122)</f>
        <v>0</v>
      </c>
      <c r="AI122" s="457"/>
      <c r="AJ122" s="457"/>
      <c r="AK122" s="457"/>
      <c r="AL122" s="457"/>
      <c r="AM122" s="457"/>
      <c r="AN122" s="457"/>
      <c r="AO122" s="457"/>
      <c r="AP122" s="457"/>
      <c r="AQ122" s="457"/>
      <c r="AR122" s="457"/>
      <c r="AS122" s="457"/>
      <c r="AT122" s="457"/>
      <c r="AU122" s="457"/>
      <c r="AV122" s="458"/>
      <c r="AW122" s="54"/>
    </row>
    <row r="123" spans="1:49">
      <c r="A123" s="8"/>
      <c r="B123" s="9"/>
      <c r="C123" s="10"/>
      <c r="D123" s="8"/>
      <c r="E123" s="11" t="s">
        <v>101</v>
      </c>
      <c r="F123" s="12">
        <f t="shared" ref="F123:N123" si="3">COUNTIF(F5:F88,"P")</f>
        <v>31</v>
      </c>
      <c r="G123" s="12">
        <f t="shared" si="3"/>
        <v>36</v>
      </c>
      <c r="H123" s="12">
        <f t="shared" si="3"/>
        <v>35</v>
      </c>
      <c r="I123" s="12">
        <f t="shared" si="3"/>
        <v>38</v>
      </c>
      <c r="J123" s="12">
        <f t="shared" si="3"/>
        <v>38</v>
      </c>
      <c r="K123" s="12">
        <f t="shared" si="3"/>
        <v>37</v>
      </c>
      <c r="L123" s="12">
        <f t="shared" si="3"/>
        <v>35</v>
      </c>
      <c r="M123" s="12">
        <f t="shared" si="3"/>
        <v>35</v>
      </c>
      <c r="N123" s="12">
        <f t="shared" si="3"/>
        <v>34</v>
      </c>
      <c r="O123" s="12">
        <f>COUNTIF(O5:O88,"P")</f>
        <v>35</v>
      </c>
      <c r="P123" s="12">
        <f t="shared" ref="P123:AG123" si="4">COUNTIF(P5:P88,"P")</f>
        <v>37</v>
      </c>
      <c r="Q123" s="12">
        <f t="shared" si="4"/>
        <v>38</v>
      </c>
      <c r="R123" s="12">
        <f t="shared" si="4"/>
        <v>35</v>
      </c>
      <c r="S123" s="12">
        <f t="shared" si="4"/>
        <v>36</v>
      </c>
      <c r="T123" s="12">
        <f t="shared" si="4"/>
        <v>33</v>
      </c>
      <c r="U123" s="12">
        <f t="shared" si="4"/>
        <v>34</v>
      </c>
      <c r="V123" s="12">
        <f t="shared" si="4"/>
        <v>34</v>
      </c>
      <c r="W123" s="12">
        <f t="shared" si="4"/>
        <v>34</v>
      </c>
      <c r="X123" s="12">
        <f t="shared" si="4"/>
        <v>37</v>
      </c>
      <c r="Y123" s="12">
        <f t="shared" si="4"/>
        <v>37</v>
      </c>
      <c r="Z123" s="12">
        <f t="shared" si="4"/>
        <v>34</v>
      </c>
      <c r="AA123" s="12">
        <f t="shared" si="4"/>
        <v>35</v>
      </c>
      <c r="AB123" s="12">
        <f t="shared" si="4"/>
        <v>35</v>
      </c>
      <c r="AC123" s="12">
        <f t="shared" si="4"/>
        <v>30</v>
      </c>
      <c r="AD123" s="12">
        <f t="shared" si="4"/>
        <v>31</v>
      </c>
      <c r="AE123" s="12">
        <f t="shared" si="4"/>
        <v>33</v>
      </c>
      <c r="AF123" s="12">
        <f t="shared" si="4"/>
        <v>33</v>
      </c>
      <c r="AG123" s="12">
        <f t="shared" si="4"/>
        <v>32</v>
      </c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54"/>
    </row>
    <row r="124" spans="1:49">
      <c r="A124" s="8"/>
      <c r="B124" s="9"/>
      <c r="C124" s="10"/>
      <c r="D124" s="8"/>
      <c r="E124" s="11" t="s">
        <v>102</v>
      </c>
      <c r="F124" s="12">
        <f>COUNTIF(F89:F114,"P")</f>
        <v>8</v>
      </c>
      <c r="G124" s="12">
        <f>COUNTIF(G89:G114,"P")</f>
        <v>12</v>
      </c>
      <c r="H124" s="12">
        <f t="shared" ref="H124:AG124" si="5">COUNTIF(H89:H114,"P")</f>
        <v>11</v>
      </c>
      <c r="I124" s="12">
        <f t="shared" si="5"/>
        <v>11</v>
      </c>
      <c r="J124" s="12">
        <f t="shared" si="5"/>
        <v>10</v>
      </c>
      <c r="K124" s="12">
        <f t="shared" si="5"/>
        <v>11</v>
      </c>
      <c r="L124" s="12">
        <f t="shared" si="5"/>
        <v>9</v>
      </c>
      <c r="M124" s="12">
        <f t="shared" si="5"/>
        <v>9</v>
      </c>
      <c r="N124" s="12">
        <f t="shared" si="5"/>
        <v>12</v>
      </c>
      <c r="O124" s="12">
        <f t="shared" si="5"/>
        <v>11</v>
      </c>
      <c r="P124" s="12">
        <f t="shared" si="5"/>
        <v>10</v>
      </c>
      <c r="Q124" s="12">
        <f t="shared" si="5"/>
        <v>11</v>
      </c>
      <c r="R124" s="12">
        <f t="shared" si="5"/>
        <v>9</v>
      </c>
      <c r="S124" s="12">
        <f t="shared" si="5"/>
        <v>8</v>
      </c>
      <c r="T124" s="12">
        <f t="shared" si="5"/>
        <v>8</v>
      </c>
      <c r="U124" s="12">
        <f t="shared" si="5"/>
        <v>10</v>
      </c>
      <c r="V124" s="12">
        <f t="shared" si="5"/>
        <v>10</v>
      </c>
      <c r="W124" s="12">
        <f t="shared" si="5"/>
        <v>10</v>
      </c>
      <c r="X124" s="12">
        <f t="shared" si="5"/>
        <v>10</v>
      </c>
      <c r="Y124" s="12">
        <f t="shared" si="5"/>
        <v>10</v>
      </c>
      <c r="Z124" s="12">
        <f t="shared" si="5"/>
        <v>8</v>
      </c>
      <c r="AA124" s="12">
        <f t="shared" si="5"/>
        <v>9</v>
      </c>
      <c r="AB124" s="12">
        <f t="shared" si="5"/>
        <v>11</v>
      </c>
      <c r="AC124" s="12">
        <f t="shared" si="5"/>
        <v>10</v>
      </c>
      <c r="AD124" s="12">
        <f t="shared" si="5"/>
        <v>11</v>
      </c>
      <c r="AE124" s="12">
        <f t="shared" si="5"/>
        <v>11</v>
      </c>
      <c r="AF124" s="12">
        <f t="shared" si="5"/>
        <v>10</v>
      </c>
      <c r="AG124" s="12">
        <f t="shared" si="5"/>
        <v>10</v>
      </c>
      <c r="AH124" s="33"/>
      <c r="AI124" s="33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</row>
    <row r="125" spans="1:49">
      <c r="A125" s="8"/>
      <c r="B125" s="9"/>
      <c r="C125" s="10"/>
      <c r="D125" s="8"/>
      <c r="E125" s="11"/>
      <c r="F125" s="12"/>
      <c r="G125" s="12"/>
      <c r="H125" s="5"/>
      <c r="I125" s="12"/>
      <c r="J125" s="102"/>
      <c r="K125" s="12"/>
      <c r="L125" s="103"/>
      <c r="M125" s="103"/>
      <c r="N125" s="102"/>
      <c r="O125" s="103"/>
      <c r="P125" s="19"/>
      <c r="Q125" s="19"/>
      <c r="R125" s="19"/>
      <c r="S125" s="19"/>
      <c r="T125" s="19"/>
      <c r="U125" s="19"/>
      <c r="V125" s="19"/>
      <c r="W125" s="19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33"/>
      <c r="AI125" s="33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</row>
    <row r="126" spans="1:49">
      <c r="A126" s="2"/>
      <c r="B126" s="13" t="s">
        <v>103</v>
      </c>
      <c r="C126" s="14" t="s">
        <v>104</v>
      </c>
      <c r="D126" s="14"/>
      <c r="E126" s="14"/>
      <c r="F126" s="15"/>
      <c r="G126" s="15"/>
      <c r="H126" s="15"/>
      <c r="I126" s="15"/>
      <c r="J126" s="104"/>
      <c r="K126" s="5"/>
      <c r="L126" s="5"/>
      <c r="M126" s="5"/>
      <c r="N126" s="104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440" t="s">
        <v>105</v>
      </c>
      <c r="AI126" s="441"/>
      <c r="AJ126" s="441"/>
      <c r="AK126" s="441"/>
      <c r="AL126" s="441"/>
      <c r="AM126" s="441"/>
      <c r="AN126" s="441"/>
      <c r="AO126" s="441"/>
      <c r="AP126" s="441"/>
      <c r="AQ126" s="441"/>
      <c r="AR126" s="441"/>
      <c r="AS126" s="441"/>
      <c r="AT126" s="441"/>
      <c r="AU126" s="441"/>
      <c r="AV126" s="442"/>
    </row>
    <row r="127" spans="1:49">
      <c r="A127" s="2"/>
      <c r="B127" s="105" t="s">
        <v>106</v>
      </c>
      <c r="C127" s="106" t="s">
        <v>107</v>
      </c>
      <c r="D127" s="107" t="s">
        <v>108</v>
      </c>
      <c r="E127" s="16"/>
      <c r="F127" s="17"/>
      <c r="G127" s="5"/>
      <c r="H127" s="5"/>
      <c r="I127" s="5"/>
      <c r="J127" s="104"/>
      <c r="K127" s="5"/>
      <c r="L127" s="5"/>
      <c r="M127" s="5"/>
      <c r="N127" s="10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437">
        <f>AR5+AR7+AR9+AR11+AR13+AR15+AR17+AR19+AR21+AR23+AR25+AR27+AR29+AR31+AR33+AR35+AR37+AR39+AR41+AR43+AR45+AR47+AR49+AR51+AR53+AR55+AR57+AR59+AR61+AR63+AR65+AR67+AR69+AR71+AR73+AR75+AR77+AR79+AR81+AR83+AR85+AR87</f>
        <v>9</v>
      </c>
      <c r="AI127" s="438"/>
      <c r="AJ127" s="438"/>
      <c r="AK127" s="438"/>
      <c r="AL127" s="438"/>
      <c r="AM127" s="438"/>
      <c r="AN127" s="438"/>
      <c r="AO127" s="438"/>
      <c r="AP127" s="438"/>
      <c r="AQ127" s="438"/>
      <c r="AR127" s="438"/>
      <c r="AS127" s="438"/>
      <c r="AT127" s="438"/>
      <c r="AU127" s="438"/>
      <c r="AV127" s="439"/>
    </row>
    <row r="128" spans="1:49">
      <c r="A128" s="2"/>
      <c r="B128" s="108" t="s">
        <v>109</v>
      </c>
      <c r="C128" s="109" t="s">
        <v>14</v>
      </c>
      <c r="D128" s="105" t="s">
        <v>110</v>
      </c>
      <c r="E128" s="18"/>
      <c r="F128" s="5"/>
      <c r="G128" s="5"/>
      <c r="H128" s="5"/>
      <c r="I128" s="5"/>
      <c r="J128" s="104"/>
      <c r="K128" s="5"/>
      <c r="L128" s="5"/>
      <c r="M128" s="5"/>
      <c r="N128" s="104"/>
      <c r="O128" s="5"/>
      <c r="P128" s="5"/>
      <c r="Q128" s="110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</row>
    <row r="129" spans="1:48">
      <c r="A129" s="2"/>
      <c r="B129" s="108" t="s">
        <v>111</v>
      </c>
      <c r="C129" s="111" t="s">
        <v>15</v>
      </c>
      <c r="D129" s="112" t="s">
        <v>112</v>
      </c>
      <c r="E129" s="18"/>
      <c r="F129" s="5"/>
      <c r="G129" s="5"/>
      <c r="H129" s="5"/>
      <c r="I129" s="5"/>
      <c r="J129" s="104"/>
      <c r="K129" s="5"/>
      <c r="L129" s="5"/>
      <c r="M129" s="5"/>
      <c r="N129" s="104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440" t="s">
        <v>113</v>
      </c>
      <c r="AI129" s="441"/>
      <c r="AJ129" s="441"/>
      <c r="AK129" s="441"/>
      <c r="AL129" s="441"/>
      <c r="AM129" s="441"/>
      <c r="AN129" s="441"/>
      <c r="AO129" s="441"/>
      <c r="AP129" s="441"/>
      <c r="AQ129" s="441"/>
      <c r="AR129" s="441"/>
      <c r="AS129" s="441"/>
      <c r="AT129" s="441"/>
      <c r="AU129" s="441"/>
      <c r="AV129" s="442"/>
    </row>
    <row r="130" spans="1:48">
      <c r="A130" s="2"/>
      <c r="B130" s="108" t="s">
        <v>114</v>
      </c>
      <c r="C130" s="113" t="s">
        <v>16</v>
      </c>
      <c r="D130" s="112" t="s">
        <v>115</v>
      </c>
      <c r="E130" s="18"/>
      <c r="F130" s="5"/>
      <c r="G130" s="5"/>
      <c r="H130" s="5"/>
      <c r="I130" s="5"/>
      <c r="J130" s="104"/>
      <c r="K130" s="5"/>
      <c r="L130" s="5"/>
      <c r="M130" s="5"/>
      <c r="N130" s="104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434">
        <f>AR89+AR91+AR93+AR95+AR97+AR99+AR101+AR103+AR105+AR107+AR109+AR111+AR115+AR117+AR119+AR121</f>
        <v>1</v>
      </c>
      <c r="AI130" s="435"/>
      <c r="AJ130" s="435"/>
      <c r="AK130" s="435"/>
      <c r="AL130" s="435"/>
      <c r="AM130" s="435"/>
      <c r="AN130" s="435"/>
      <c r="AO130" s="435"/>
      <c r="AP130" s="435"/>
      <c r="AQ130" s="435"/>
      <c r="AR130" s="435"/>
      <c r="AS130" s="435"/>
      <c r="AT130" s="435"/>
      <c r="AU130" s="435"/>
      <c r="AV130" s="436"/>
    </row>
    <row r="131" spans="1:48">
      <c r="A131" s="2"/>
      <c r="B131" s="108" t="s">
        <v>116</v>
      </c>
      <c r="C131" s="75" t="s">
        <v>17</v>
      </c>
      <c r="D131" s="112" t="s">
        <v>117</v>
      </c>
      <c r="E131" s="18"/>
      <c r="F131" s="5"/>
      <c r="G131" s="5"/>
      <c r="H131" s="5"/>
      <c r="I131" s="5"/>
      <c r="J131" s="104"/>
      <c r="K131" s="19"/>
      <c r="L131" s="19"/>
      <c r="M131" s="19"/>
      <c r="N131" s="114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20"/>
      <c r="AB131" s="5"/>
      <c r="AC131" s="5"/>
      <c r="AD131" s="5"/>
      <c r="AE131" s="5"/>
      <c r="AF131" s="5"/>
      <c r="AG131" s="5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</row>
    <row r="132" spans="1:48">
      <c r="A132" s="2"/>
      <c r="B132" s="108" t="s">
        <v>118</v>
      </c>
      <c r="C132" s="115" t="s">
        <v>18</v>
      </c>
      <c r="D132" s="112" t="s">
        <v>119</v>
      </c>
      <c r="E132" s="18"/>
      <c r="F132" s="5"/>
      <c r="G132" s="5"/>
      <c r="H132" s="5"/>
      <c r="I132" s="5"/>
      <c r="J132" s="104"/>
      <c r="K132" s="19"/>
      <c r="L132" s="19"/>
      <c r="M132" s="19"/>
      <c r="N132" s="114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20"/>
      <c r="AB132" s="5"/>
      <c r="AC132" s="5"/>
      <c r="AD132" s="5"/>
      <c r="AE132" s="5"/>
      <c r="AF132" s="5"/>
      <c r="AG132" s="5"/>
      <c r="AH132" s="440" t="s">
        <v>120</v>
      </c>
      <c r="AI132" s="441"/>
      <c r="AJ132" s="441"/>
      <c r="AK132" s="441"/>
      <c r="AL132" s="441"/>
      <c r="AM132" s="441"/>
      <c r="AN132" s="441"/>
      <c r="AO132" s="441"/>
      <c r="AP132" s="441"/>
      <c r="AQ132" s="441"/>
      <c r="AR132" s="441"/>
      <c r="AS132" s="441"/>
      <c r="AT132" s="441"/>
      <c r="AU132" s="441"/>
      <c r="AV132" s="442"/>
    </row>
    <row r="133" spans="1:48">
      <c r="A133" s="2"/>
      <c r="B133" s="108" t="s">
        <v>121</v>
      </c>
      <c r="C133" s="76" t="s">
        <v>19</v>
      </c>
      <c r="D133" s="112" t="s">
        <v>122</v>
      </c>
      <c r="E133" s="18"/>
      <c r="F133" s="5"/>
      <c r="G133" s="5"/>
      <c r="H133" s="5"/>
      <c r="I133" s="5"/>
      <c r="J133" s="104"/>
      <c r="K133" s="21"/>
      <c r="L133" s="21"/>
      <c r="M133" s="21"/>
      <c r="N133" s="11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5"/>
      <c r="AB133" s="5"/>
      <c r="AC133" s="5"/>
      <c r="AD133" s="5"/>
      <c r="AE133" s="5"/>
      <c r="AF133" s="5"/>
      <c r="AG133" s="5"/>
      <c r="AH133" s="437">
        <f>AR113</f>
        <v>0</v>
      </c>
      <c r="AI133" s="438"/>
      <c r="AJ133" s="438"/>
      <c r="AK133" s="438"/>
      <c r="AL133" s="438"/>
      <c r="AM133" s="438"/>
      <c r="AN133" s="438"/>
      <c r="AO133" s="438"/>
      <c r="AP133" s="438"/>
      <c r="AQ133" s="438"/>
      <c r="AR133" s="438"/>
      <c r="AS133" s="438"/>
      <c r="AT133" s="438"/>
      <c r="AU133" s="438"/>
      <c r="AV133" s="439"/>
    </row>
    <row r="134" spans="1:48">
      <c r="A134" s="2"/>
      <c r="B134" s="108" t="s">
        <v>123</v>
      </c>
      <c r="C134" s="117" t="s">
        <v>20</v>
      </c>
      <c r="D134" s="112" t="s">
        <v>124</v>
      </c>
      <c r="E134" s="18"/>
      <c r="F134" s="5"/>
      <c r="G134" s="5"/>
      <c r="H134" s="5"/>
      <c r="I134" s="5"/>
      <c r="J134" s="104"/>
      <c r="K134" s="5"/>
      <c r="L134" s="5"/>
      <c r="M134" s="5"/>
      <c r="N134" s="10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38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</row>
    <row r="135" spans="1:48">
      <c r="A135" s="2"/>
      <c r="B135" s="108" t="s">
        <v>125</v>
      </c>
      <c r="C135" s="118" t="s">
        <v>21</v>
      </c>
      <c r="D135" s="112" t="s">
        <v>126</v>
      </c>
      <c r="E135" s="18"/>
      <c r="F135" s="5"/>
      <c r="G135" s="5"/>
      <c r="H135" s="5"/>
      <c r="I135" s="5"/>
      <c r="J135" s="104"/>
      <c r="K135" s="5"/>
      <c r="L135" s="5"/>
      <c r="M135" s="5"/>
      <c r="N135" s="10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38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</row>
    <row r="136" spans="1:48">
      <c r="A136" s="2"/>
      <c r="B136" s="108" t="s">
        <v>127</v>
      </c>
      <c r="C136" s="119" t="s">
        <v>22</v>
      </c>
      <c r="D136" s="112" t="s">
        <v>128</v>
      </c>
      <c r="E136" s="18"/>
      <c r="F136" s="5"/>
      <c r="G136" s="5"/>
      <c r="H136" s="5"/>
      <c r="I136" s="5"/>
      <c r="J136" s="104"/>
      <c r="K136" s="5"/>
      <c r="L136" s="5"/>
      <c r="M136" s="5"/>
      <c r="N136" s="10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431" t="s">
        <v>129</v>
      </c>
      <c r="AI136" s="432"/>
      <c r="AJ136" s="432"/>
      <c r="AK136" s="432"/>
      <c r="AL136" s="432"/>
      <c r="AM136" s="432"/>
      <c r="AN136" s="432"/>
      <c r="AO136" s="432"/>
      <c r="AP136" s="432"/>
      <c r="AQ136" s="432"/>
      <c r="AR136" s="432"/>
      <c r="AS136" s="432"/>
      <c r="AT136" s="432"/>
      <c r="AU136" s="432"/>
      <c r="AV136" s="433"/>
    </row>
    <row r="137" spans="1:48">
      <c r="A137" s="2"/>
      <c r="B137" s="108" t="s">
        <v>130</v>
      </c>
      <c r="C137" s="120" t="s">
        <v>23</v>
      </c>
      <c r="D137" s="112" t="s">
        <v>131</v>
      </c>
      <c r="E137" s="18"/>
      <c r="F137" s="5"/>
      <c r="G137" s="5"/>
      <c r="H137" s="5"/>
      <c r="I137" s="5"/>
      <c r="J137" s="104"/>
      <c r="K137" s="5"/>
      <c r="L137" s="5"/>
      <c r="M137" s="5"/>
      <c r="N137" s="10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434">
        <f>AH6+AH8+AH10+AH12+AH14+AH16+AH18+AH20+AH22+AH24+AH26+AH28+AH30+AH32+AH34+AH36+AH38+AH40+AH42+AH44+AH46+AH48+AH50+AH52+AH54+AH56+AH58+AH60+AH62+AH64+AH66+AH68+AH70+AH72+AH74+AH76++AH78+AH80+AH82+AH84+AH86+AH88</f>
        <v>1222</v>
      </c>
      <c r="AI137" s="435"/>
      <c r="AJ137" s="435"/>
      <c r="AK137" s="435"/>
      <c r="AL137" s="435"/>
      <c r="AM137" s="435"/>
      <c r="AN137" s="435"/>
      <c r="AO137" s="435"/>
      <c r="AP137" s="435"/>
      <c r="AQ137" s="435"/>
      <c r="AR137" s="435"/>
      <c r="AS137" s="435"/>
      <c r="AT137" s="435"/>
      <c r="AU137" s="435"/>
      <c r="AV137" s="436"/>
    </row>
    <row r="138" spans="1:48">
      <c r="A138" s="2"/>
      <c r="B138" s="108" t="s">
        <v>132</v>
      </c>
      <c r="C138" s="121" t="s">
        <v>24</v>
      </c>
      <c r="D138" s="112" t="s">
        <v>133</v>
      </c>
      <c r="E138" s="18"/>
      <c r="F138" s="5"/>
      <c r="G138" s="5"/>
      <c r="H138" s="5"/>
      <c r="I138" s="5"/>
      <c r="J138" s="104"/>
      <c r="K138" s="5"/>
      <c r="L138" s="5"/>
      <c r="M138" s="5"/>
      <c r="N138" s="10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</row>
    <row r="139" spans="1:48">
      <c r="A139" s="2"/>
      <c r="B139" s="108" t="s">
        <v>134</v>
      </c>
      <c r="C139" s="113" t="s">
        <v>25</v>
      </c>
      <c r="D139" s="112" t="s">
        <v>135</v>
      </c>
      <c r="E139" s="18"/>
      <c r="F139" s="5"/>
      <c r="G139" s="5"/>
      <c r="H139" s="5"/>
      <c r="I139" s="5"/>
      <c r="J139" s="104"/>
      <c r="K139" s="5"/>
      <c r="L139" s="5"/>
      <c r="M139" s="5"/>
      <c r="N139" s="104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431" t="s">
        <v>136</v>
      </c>
      <c r="AI139" s="432"/>
      <c r="AJ139" s="432"/>
      <c r="AK139" s="432"/>
      <c r="AL139" s="432"/>
      <c r="AM139" s="432"/>
      <c r="AN139" s="432"/>
      <c r="AO139" s="432"/>
      <c r="AP139" s="432"/>
      <c r="AQ139" s="432"/>
      <c r="AR139" s="432"/>
      <c r="AS139" s="432"/>
      <c r="AT139" s="432"/>
      <c r="AU139" s="432"/>
      <c r="AV139" s="433"/>
    </row>
    <row r="140" spans="1:48">
      <c r="A140" s="2"/>
      <c r="B140" s="108" t="s">
        <v>137</v>
      </c>
      <c r="C140" s="113" t="s">
        <v>26</v>
      </c>
      <c r="D140" s="112" t="s">
        <v>138</v>
      </c>
      <c r="E140" s="18"/>
      <c r="F140" s="5"/>
      <c r="G140" s="5"/>
      <c r="H140" s="5"/>
      <c r="I140" s="5"/>
      <c r="J140" s="104"/>
      <c r="K140" s="5"/>
      <c r="L140" s="5"/>
      <c r="M140" s="5"/>
      <c r="N140" s="10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434">
        <f ca="1">AH90+AH92+AH94+AH96+AH98+AH100+AH102+AH104+AH106+AH108+AH110+AH112+AH118+AH120+AH122</f>
        <v>0</v>
      </c>
      <c r="AI140" s="435"/>
      <c r="AJ140" s="435"/>
      <c r="AK140" s="435"/>
      <c r="AL140" s="435"/>
      <c r="AM140" s="435"/>
      <c r="AN140" s="435"/>
      <c r="AO140" s="435"/>
      <c r="AP140" s="435"/>
      <c r="AQ140" s="435"/>
      <c r="AR140" s="435"/>
      <c r="AS140" s="435"/>
      <c r="AT140" s="435"/>
      <c r="AU140" s="435"/>
      <c r="AV140" s="436"/>
    </row>
    <row r="141" spans="1:48">
      <c r="B141" s="108" t="s">
        <v>139</v>
      </c>
      <c r="C141" s="122" t="s">
        <v>27</v>
      </c>
      <c r="D141" s="54" t="s">
        <v>140</v>
      </c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</row>
    <row r="142" spans="1:48">
      <c r="B142" s="108" t="s">
        <v>141</v>
      </c>
      <c r="C142" s="113" t="s">
        <v>28</v>
      </c>
      <c r="D142" s="112" t="s">
        <v>142</v>
      </c>
      <c r="AH142" s="431" t="s">
        <v>143</v>
      </c>
      <c r="AI142" s="432"/>
      <c r="AJ142" s="432"/>
      <c r="AK142" s="432"/>
      <c r="AL142" s="432"/>
      <c r="AM142" s="432"/>
      <c r="AN142" s="432"/>
      <c r="AO142" s="432"/>
      <c r="AP142" s="432"/>
      <c r="AQ142" s="432"/>
      <c r="AR142" s="432"/>
      <c r="AS142" s="432"/>
      <c r="AT142" s="432"/>
      <c r="AU142" s="432"/>
      <c r="AV142" s="433"/>
    </row>
    <row r="143" spans="1:48">
      <c r="D143" s="22"/>
      <c r="AH143" s="437">
        <f>AH114</f>
        <v>2</v>
      </c>
      <c r="AI143" s="438"/>
      <c r="AJ143" s="438"/>
      <c r="AK143" s="438"/>
      <c r="AL143" s="438"/>
      <c r="AM143" s="438"/>
      <c r="AN143" s="438"/>
      <c r="AO143" s="438"/>
      <c r="AP143" s="438"/>
      <c r="AQ143" s="438"/>
      <c r="AR143" s="438"/>
      <c r="AS143" s="438"/>
      <c r="AT143" s="438"/>
      <c r="AU143" s="438"/>
      <c r="AV143" s="439"/>
    </row>
  </sheetData>
  <mergeCells count="138">
    <mergeCell ref="A1:AV1"/>
    <mergeCell ref="E2:AG2"/>
    <mergeCell ref="A5:A6"/>
    <mergeCell ref="AH6:AV6"/>
    <mergeCell ref="A7:A8"/>
    <mergeCell ref="AH8:AV8"/>
    <mergeCell ref="A15:A16"/>
    <mergeCell ref="AH16:AV16"/>
    <mergeCell ref="A17:A18"/>
    <mergeCell ref="AH18:AV18"/>
    <mergeCell ref="A19:A20"/>
    <mergeCell ref="AH20:AV20"/>
    <mergeCell ref="A9:A10"/>
    <mergeCell ref="AH10:AV10"/>
    <mergeCell ref="A11:A12"/>
    <mergeCell ref="AH12:AV12"/>
    <mergeCell ref="A13:A14"/>
    <mergeCell ref="AH14:AV14"/>
    <mergeCell ref="A27:A28"/>
    <mergeCell ref="AH28:AV28"/>
    <mergeCell ref="A29:A30"/>
    <mergeCell ref="AH30:AV30"/>
    <mergeCell ref="A31:A32"/>
    <mergeCell ref="AH32:AV32"/>
    <mergeCell ref="A21:A22"/>
    <mergeCell ref="AH22:AV22"/>
    <mergeCell ref="A23:A24"/>
    <mergeCell ref="AH24:AV24"/>
    <mergeCell ref="A25:A26"/>
    <mergeCell ref="AH26:AV26"/>
    <mergeCell ref="A39:A40"/>
    <mergeCell ref="AH40:AV40"/>
    <mergeCell ref="A41:A42"/>
    <mergeCell ref="AH42:AV42"/>
    <mergeCell ref="A43:A44"/>
    <mergeCell ref="AH44:AV44"/>
    <mergeCell ref="A33:A34"/>
    <mergeCell ref="AH34:AV34"/>
    <mergeCell ref="A35:A36"/>
    <mergeCell ref="AH36:AV36"/>
    <mergeCell ref="A37:A38"/>
    <mergeCell ref="AH38:AV38"/>
    <mergeCell ref="A51:A52"/>
    <mergeCell ref="AH52:AV52"/>
    <mergeCell ref="A53:A54"/>
    <mergeCell ref="AH54:AV54"/>
    <mergeCell ref="A55:A56"/>
    <mergeCell ref="AH56:AV56"/>
    <mergeCell ref="A45:A46"/>
    <mergeCell ref="AH46:AV46"/>
    <mergeCell ref="A47:A48"/>
    <mergeCell ref="AH48:AV48"/>
    <mergeCell ref="A49:A50"/>
    <mergeCell ref="AH50:AV50"/>
    <mergeCell ref="A63:A64"/>
    <mergeCell ref="AH64:AV64"/>
    <mergeCell ref="A65:A66"/>
    <mergeCell ref="AH66:AV66"/>
    <mergeCell ref="A67:A68"/>
    <mergeCell ref="AH68:AV68"/>
    <mergeCell ref="A57:A58"/>
    <mergeCell ref="AH58:AV58"/>
    <mergeCell ref="A59:A60"/>
    <mergeCell ref="AH60:AV60"/>
    <mergeCell ref="A61:A62"/>
    <mergeCell ref="AH62:AV62"/>
    <mergeCell ref="A75:A76"/>
    <mergeCell ref="AH76:AV76"/>
    <mergeCell ref="A77:A78"/>
    <mergeCell ref="AH78:AV78"/>
    <mergeCell ref="A79:A80"/>
    <mergeCell ref="AH80:AV80"/>
    <mergeCell ref="A69:A70"/>
    <mergeCell ref="AH70:AV70"/>
    <mergeCell ref="A71:A72"/>
    <mergeCell ref="AH72:AV72"/>
    <mergeCell ref="A73:A74"/>
    <mergeCell ref="AH74:AV74"/>
    <mergeCell ref="A87:A88"/>
    <mergeCell ref="AH88:AV88"/>
    <mergeCell ref="A89:A90"/>
    <mergeCell ref="AH90:AV90"/>
    <mergeCell ref="A91:A92"/>
    <mergeCell ref="AH92:AV92"/>
    <mergeCell ref="A81:A82"/>
    <mergeCell ref="AH82:AV82"/>
    <mergeCell ref="A83:A84"/>
    <mergeCell ref="AH84:AV84"/>
    <mergeCell ref="A85:A86"/>
    <mergeCell ref="AH86:AV86"/>
    <mergeCell ref="A99:A100"/>
    <mergeCell ref="AH100:AV100"/>
    <mergeCell ref="A101:A102"/>
    <mergeCell ref="AH102:AV102"/>
    <mergeCell ref="A103:A104"/>
    <mergeCell ref="AH104:AV104"/>
    <mergeCell ref="A93:A94"/>
    <mergeCell ref="AH94:AV94"/>
    <mergeCell ref="A95:A96"/>
    <mergeCell ref="AH96:AV96"/>
    <mergeCell ref="A97:A98"/>
    <mergeCell ref="AH98:AV98"/>
    <mergeCell ref="A111:A112"/>
    <mergeCell ref="AH112:AV112"/>
    <mergeCell ref="A113:A114"/>
    <mergeCell ref="AH114:AV114"/>
    <mergeCell ref="A115:A116"/>
    <mergeCell ref="AH116:AV116"/>
    <mergeCell ref="A105:A106"/>
    <mergeCell ref="AH106:AV106"/>
    <mergeCell ref="A107:A108"/>
    <mergeCell ref="AH108:AV108"/>
    <mergeCell ref="A109:A110"/>
    <mergeCell ref="B109:B110"/>
    <mergeCell ref="C109:C110"/>
    <mergeCell ref="D109:D110"/>
    <mergeCell ref="AH110:AV110"/>
    <mergeCell ref="A117:A118"/>
    <mergeCell ref="AH118:AV118"/>
    <mergeCell ref="A119:A120"/>
    <mergeCell ref="AH120:AV120"/>
    <mergeCell ref="A121:A122"/>
    <mergeCell ref="B121:B122"/>
    <mergeCell ref="C121:C122"/>
    <mergeCell ref="D121:D122"/>
    <mergeCell ref="AH122:AV122"/>
    <mergeCell ref="AH136:AV136"/>
    <mergeCell ref="AH137:AV137"/>
    <mergeCell ref="AH139:AV139"/>
    <mergeCell ref="AH140:AV140"/>
    <mergeCell ref="AH142:AV142"/>
    <mergeCell ref="AH143:AV143"/>
    <mergeCell ref="AH126:AV126"/>
    <mergeCell ref="AH127:AV127"/>
    <mergeCell ref="AH129:AV129"/>
    <mergeCell ref="AH130:AV130"/>
    <mergeCell ref="AH132:AV132"/>
    <mergeCell ref="AH133:AV133"/>
  </mergeCells>
  <conditionalFormatting sqref="F123:AG123">
    <cfRule type="cellIs" dxfId="7" priority="4" operator="greaterThan">
      <formula>36</formula>
    </cfRule>
  </conditionalFormatting>
  <conditionalFormatting sqref="AX5:AX87">
    <cfRule type="cellIs" dxfId="6" priority="3" operator="greaterThanOrEqual">
      <formula>7</formula>
    </cfRule>
  </conditionalFormatting>
  <conditionalFormatting sqref="AX5:AX87">
    <cfRule type="cellIs" dxfId="5" priority="2" operator="lessThanOrEqual">
      <formula>5</formula>
    </cfRule>
  </conditionalFormatting>
  <conditionalFormatting sqref="AX5:AX87">
    <cfRule type="cellIs" dxfId="4" priority="1" operator="equal">
      <formula>6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EAED-0F82-47E1-BB96-290266C97B43}">
  <dimension ref="A1:BF141"/>
  <sheetViews>
    <sheetView tabSelected="1" topLeftCell="A61" workbookViewId="0">
      <selection activeCell="AJ87" sqref="AJ87"/>
    </sheetView>
  </sheetViews>
  <sheetFormatPr defaultColWidth="9.140625" defaultRowHeight="15"/>
  <cols>
    <col min="1" max="1" width="6.42578125" customWidth="1"/>
    <col min="2" max="2" width="7.140625" customWidth="1"/>
    <col min="3" max="3" width="15.5703125" customWidth="1"/>
    <col min="4" max="4" width="16.85546875" customWidth="1"/>
    <col min="5" max="5" width="10.28515625" customWidth="1"/>
    <col min="6" max="6" width="4.28515625" style="411" customWidth="1"/>
    <col min="7" max="7" width="4.7109375" customWidth="1"/>
    <col min="8" max="8" width="4.5703125" customWidth="1"/>
    <col min="9" max="51" width="5.28515625" customWidth="1"/>
    <col min="53" max="53" width="14.5703125" style="54" customWidth="1"/>
    <col min="54" max="55" width="11.42578125" bestFit="1" customWidth="1"/>
  </cols>
  <sheetData>
    <row r="1" spans="1:58">
      <c r="A1" s="493" t="s">
        <v>0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5"/>
    </row>
    <row r="2" spans="1:58">
      <c r="A2" s="1"/>
      <c r="B2" s="2"/>
      <c r="C2" s="2"/>
      <c r="D2" s="2"/>
      <c r="E2" s="502">
        <v>46082</v>
      </c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497"/>
      <c r="U2" s="497"/>
      <c r="V2" s="497"/>
      <c r="W2" s="497"/>
      <c r="X2" s="497"/>
      <c r="Y2" s="497"/>
      <c r="Z2" s="497"/>
      <c r="AA2" s="497"/>
      <c r="AB2" s="498"/>
      <c r="AC2" s="497"/>
      <c r="AD2" s="497"/>
      <c r="AE2" s="498"/>
      <c r="AF2" s="498"/>
      <c r="AG2" s="497"/>
      <c r="AH2" s="498"/>
      <c r="AI2" s="498"/>
      <c r="AJ2" s="503"/>
      <c r="AK2" s="215"/>
      <c r="AL2" s="212"/>
      <c r="AM2" s="215"/>
      <c r="AN2" s="214"/>
      <c r="AO2" s="214"/>
      <c r="AP2" s="212"/>
      <c r="AQ2" s="215"/>
      <c r="AR2" s="212"/>
      <c r="AS2" s="213"/>
      <c r="AT2" s="216"/>
      <c r="AU2" s="216"/>
      <c r="AV2" s="216"/>
      <c r="AW2" s="216"/>
      <c r="AX2" s="216"/>
      <c r="AY2" s="211"/>
    </row>
    <row r="3" spans="1:58">
      <c r="A3" s="3"/>
      <c r="B3" s="4"/>
      <c r="C3" s="4"/>
      <c r="D3" s="4"/>
      <c r="E3" s="264" t="s">
        <v>1</v>
      </c>
      <c r="F3" s="345">
        <v>1</v>
      </c>
      <c r="G3" s="341">
        <v>2</v>
      </c>
      <c r="H3" s="378">
        <v>3</v>
      </c>
      <c r="I3" s="345">
        <v>4</v>
      </c>
      <c r="J3" s="341">
        <v>5</v>
      </c>
      <c r="K3" s="378">
        <v>6</v>
      </c>
      <c r="L3" s="345">
        <v>7</v>
      </c>
      <c r="M3" s="341">
        <v>8</v>
      </c>
      <c r="N3" s="378">
        <v>9</v>
      </c>
      <c r="O3" s="345">
        <v>10</v>
      </c>
      <c r="P3" s="341">
        <v>11</v>
      </c>
      <c r="Q3" s="378">
        <v>12</v>
      </c>
      <c r="R3" s="345">
        <v>13</v>
      </c>
      <c r="S3" s="341">
        <v>14</v>
      </c>
      <c r="T3" s="378">
        <v>15</v>
      </c>
      <c r="U3" s="345">
        <v>16</v>
      </c>
      <c r="V3" s="341">
        <v>17</v>
      </c>
      <c r="W3" s="378">
        <v>18</v>
      </c>
      <c r="X3" s="375">
        <v>19</v>
      </c>
      <c r="Y3" s="376">
        <v>20</v>
      </c>
      <c r="Z3" s="377">
        <v>21</v>
      </c>
      <c r="AA3" s="375">
        <v>22</v>
      </c>
      <c r="AB3" s="272">
        <v>23</v>
      </c>
      <c r="AC3" s="273">
        <v>24</v>
      </c>
      <c r="AD3" s="271">
        <v>25</v>
      </c>
      <c r="AE3" s="272">
        <v>26</v>
      </c>
      <c r="AF3" s="273">
        <v>27</v>
      </c>
      <c r="AG3" s="271">
        <v>28</v>
      </c>
      <c r="AH3" s="272">
        <v>29</v>
      </c>
      <c r="AI3" s="273">
        <v>30</v>
      </c>
      <c r="AJ3" s="271">
        <v>31</v>
      </c>
      <c r="AK3" s="5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</row>
    <row r="4" spans="1:58">
      <c r="A4" s="6" t="s">
        <v>2</v>
      </c>
      <c r="B4" s="6" t="s">
        <v>3</v>
      </c>
      <c r="C4" s="6" t="s">
        <v>4</v>
      </c>
      <c r="D4" s="6" t="s">
        <v>5</v>
      </c>
      <c r="E4" s="385" t="s">
        <v>6</v>
      </c>
      <c r="F4" s="403" t="s">
        <v>10</v>
      </c>
      <c r="G4" s="268" t="s">
        <v>11</v>
      </c>
      <c r="H4" s="269" t="s">
        <v>12</v>
      </c>
      <c r="I4" s="269" t="s">
        <v>13</v>
      </c>
      <c r="J4" s="269" t="s">
        <v>7</v>
      </c>
      <c r="K4" s="269" t="s">
        <v>8</v>
      </c>
      <c r="L4" s="269" t="s">
        <v>9</v>
      </c>
      <c r="M4" s="269" t="s">
        <v>10</v>
      </c>
      <c r="N4" s="269" t="s">
        <v>11</v>
      </c>
      <c r="O4" s="269" t="s">
        <v>12</v>
      </c>
      <c r="P4" s="269" t="s">
        <v>13</v>
      </c>
      <c r="Q4" s="269" t="s">
        <v>7</v>
      </c>
      <c r="R4" s="269" t="s">
        <v>8</v>
      </c>
      <c r="S4" s="269" t="s">
        <v>9</v>
      </c>
      <c r="T4" s="269" t="s">
        <v>10</v>
      </c>
      <c r="U4" s="269" t="s">
        <v>11</v>
      </c>
      <c r="V4" s="269" t="s">
        <v>12</v>
      </c>
      <c r="W4" s="269" t="s">
        <v>13</v>
      </c>
      <c r="X4" s="269" t="s">
        <v>7</v>
      </c>
      <c r="Y4" s="269" t="s">
        <v>8</v>
      </c>
      <c r="Z4" s="269" t="s">
        <v>9</v>
      </c>
      <c r="AA4" s="269" t="s">
        <v>10</v>
      </c>
      <c r="AB4" s="269" t="s">
        <v>11</v>
      </c>
      <c r="AC4" s="269" t="s">
        <v>12</v>
      </c>
      <c r="AD4" s="269" t="s">
        <v>13</v>
      </c>
      <c r="AE4" s="269" t="s">
        <v>7</v>
      </c>
      <c r="AF4" s="269" t="s">
        <v>8</v>
      </c>
      <c r="AG4" s="269" t="s">
        <v>9</v>
      </c>
      <c r="AH4" s="269" t="s">
        <v>10</v>
      </c>
      <c r="AI4" s="269" t="s">
        <v>11</v>
      </c>
      <c r="AJ4" s="270" t="s">
        <v>12</v>
      </c>
      <c r="AK4" s="206" t="s">
        <v>14</v>
      </c>
      <c r="AL4" s="207" t="s">
        <v>15</v>
      </c>
      <c r="AM4" s="207" t="s">
        <v>16</v>
      </c>
      <c r="AN4" s="207" t="s">
        <v>17</v>
      </c>
      <c r="AO4" s="207" t="s">
        <v>18</v>
      </c>
      <c r="AP4" s="207" t="s">
        <v>19</v>
      </c>
      <c r="AQ4" s="207" t="s">
        <v>20</v>
      </c>
      <c r="AR4" s="207" t="s">
        <v>21</v>
      </c>
      <c r="AS4" s="207" t="s">
        <v>22</v>
      </c>
      <c r="AT4" s="207" t="s">
        <v>23</v>
      </c>
      <c r="AU4" s="207" t="s">
        <v>24</v>
      </c>
      <c r="AV4" s="207" t="s">
        <v>25</v>
      </c>
      <c r="AW4" s="207" t="s">
        <v>26</v>
      </c>
      <c r="AX4" s="207" t="s">
        <v>27</v>
      </c>
      <c r="AY4" s="208" t="s">
        <v>28</v>
      </c>
      <c r="AZ4" s="54" t="s">
        <v>29</v>
      </c>
      <c r="BA4" s="54" t="s">
        <v>144</v>
      </c>
      <c r="BC4" s="338" t="s">
        <v>33</v>
      </c>
      <c r="BD4">
        <f>42*4</f>
        <v>168</v>
      </c>
    </row>
    <row r="5" spans="1:58">
      <c r="A5" s="449">
        <v>1</v>
      </c>
      <c r="B5" s="55">
        <v>97</v>
      </c>
      <c r="C5" s="56" t="s">
        <v>30</v>
      </c>
      <c r="D5" s="57" t="s">
        <v>31</v>
      </c>
      <c r="E5" s="390" t="s">
        <v>32</v>
      </c>
      <c r="F5" s="271" t="s">
        <v>23</v>
      </c>
      <c r="G5" s="123" t="s">
        <v>14</v>
      </c>
      <c r="H5" s="123" t="s">
        <v>14</v>
      </c>
      <c r="I5" s="123" t="s">
        <v>23</v>
      </c>
      <c r="J5" s="123" t="s">
        <v>14</v>
      </c>
      <c r="K5" s="123" t="s">
        <v>14</v>
      </c>
      <c r="L5" s="123" t="s">
        <v>23</v>
      </c>
      <c r="M5" s="123" t="s">
        <v>14</v>
      </c>
      <c r="N5" s="123" t="s">
        <v>14</v>
      </c>
      <c r="O5" s="123" t="s">
        <v>23</v>
      </c>
      <c r="P5" s="123" t="s">
        <v>14</v>
      </c>
      <c r="Q5" s="123" t="s">
        <v>23</v>
      </c>
      <c r="R5" s="123" t="s">
        <v>14</v>
      </c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 t="s">
        <v>22</v>
      </c>
      <c r="AJ5" s="123" t="s">
        <v>22</v>
      </c>
      <c r="AK5" s="157">
        <f>COUNTIF($F5:$AJ5,$C$126)</f>
        <v>8</v>
      </c>
      <c r="AL5" s="136">
        <f>COUNTIF($F5:$AJ5,$C$127)</f>
        <v>0</v>
      </c>
      <c r="AM5" s="136">
        <f>COUNTIF($F5:$AJ5,$C$128)</f>
        <v>0</v>
      </c>
      <c r="AN5" s="136">
        <f>COUNTIF($F5:$AJ5,$C$129)</f>
        <v>0</v>
      </c>
      <c r="AO5" s="136">
        <f>COUNTIF($F5:$AJ5,$C$130)</f>
        <v>0</v>
      </c>
      <c r="AP5" s="136">
        <f>COUNTIF($F5:$AJ5,$C$131)</f>
        <v>0</v>
      </c>
      <c r="AQ5" s="136">
        <f>COUNTIF($F5:$AJ5,$C$132)</f>
        <v>0</v>
      </c>
      <c r="AR5" s="136">
        <f>COUNTIF($F5:$AJ5,$C$133)</f>
        <v>0</v>
      </c>
      <c r="AS5" s="210">
        <f>COUNTIF($F5:$AJ5,$C$134)</f>
        <v>2</v>
      </c>
      <c r="AT5" s="136">
        <f>COUNTIF($F5:$AJ5,$C$135)</f>
        <v>5</v>
      </c>
      <c r="AU5" s="136">
        <f>COUNTIF($F5:$AJ5,$C$136)</f>
        <v>0</v>
      </c>
      <c r="AV5" s="136">
        <f>COUNTIF($F5:$AJ5,$C$137)</f>
        <v>0</v>
      </c>
      <c r="AW5" s="136">
        <f>COUNTIF($F5:$AJ5,$C$138)</f>
        <v>0</v>
      </c>
      <c r="AX5" s="136">
        <f>COUNTIF($F5:$AJ5,$C$139)</f>
        <v>0</v>
      </c>
      <c r="AY5" s="136">
        <f>COUNTA(F5:AJ5)</f>
        <v>15</v>
      </c>
      <c r="AZ5" s="54">
        <f>AK5+AU5</f>
        <v>8</v>
      </c>
      <c r="BA5" s="54" cm="1">
        <f t="array" ref="BA5">IFERROR(
COUNTA(F5:AJ5)-MAX(IF(TRIM(F5:AJ5)="OD",COLUMN(F5:AJ5)-COLUMN(F5)+1)),"")</f>
        <v>3</v>
      </c>
      <c r="BC5" t="s">
        <v>35</v>
      </c>
      <c r="BD5">
        <f>SUM(AT5,AT7,AT9,AT11,AT13,AT15,AT17,AT19,AT21,AT23,AT25,AT27,AT29,AT31,AT33,AT35,AT37,AT39,AT41,AT43,AT45,AT47,AT49,AT51,AT53,AT55,AT57,AT59,AT61,AT63,AT65,AT67,AT69,AT71,AT73,AT75,AT77,AT79,AT81,AT83,AT85,AT87)</f>
        <v>182</v>
      </c>
      <c r="BF5" t="s">
        <v>36</v>
      </c>
    </row>
    <row r="6" spans="1:58">
      <c r="A6" s="450"/>
      <c r="B6" s="60"/>
      <c r="C6" s="61"/>
      <c r="D6" s="62"/>
      <c r="E6" s="380" t="s">
        <v>34</v>
      </c>
      <c r="F6" s="123"/>
      <c r="G6" s="123"/>
      <c r="H6" s="26"/>
      <c r="I6" s="26"/>
      <c r="J6" s="123"/>
      <c r="K6" s="26"/>
      <c r="L6" s="44"/>
      <c r="M6" s="44"/>
      <c r="N6" s="123"/>
      <c r="O6" s="44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5"/>
      <c r="AE6" s="25"/>
      <c r="AF6" s="24"/>
      <c r="AG6" s="24"/>
      <c r="AH6" s="24"/>
      <c r="AI6" s="25"/>
      <c r="AJ6" s="25"/>
      <c r="AK6" s="492">
        <f>SUM(F6:AJ6)</f>
        <v>0</v>
      </c>
      <c r="AL6" s="445"/>
      <c r="AM6" s="445"/>
      <c r="AN6" s="445"/>
      <c r="AO6" s="445"/>
      <c r="AP6" s="445"/>
      <c r="AQ6" s="445"/>
      <c r="AR6" s="445"/>
      <c r="AS6" s="445"/>
      <c r="AT6" s="445"/>
      <c r="AU6" s="445"/>
      <c r="AV6" s="445"/>
      <c r="AW6" s="445"/>
      <c r="AX6" s="445"/>
      <c r="AY6" s="479"/>
      <c r="AZ6" s="54"/>
      <c r="BC6" t="s">
        <v>38</v>
      </c>
      <c r="BD6">
        <f>BD4-BD5</f>
        <v>-14</v>
      </c>
      <c r="BE6">
        <v>150</v>
      </c>
      <c r="BF6">
        <f>BD6*BE6</f>
        <v>-2100</v>
      </c>
    </row>
    <row r="7" spans="1:58">
      <c r="A7" s="449">
        <v>2</v>
      </c>
      <c r="B7" s="55">
        <v>76</v>
      </c>
      <c r="C7" s="64" t="s">
        <v>37</v>
      </c>
      <c r="D7" s="65" t="s">
        <v>31</v>
      </c>
      <c r="E7" s="381" t="s">
        <v>32</v>
      </c>
      <c r="F7" s="123" t="s">
        <v>14</v>
      </c>
      <c r="G7" s="123" t="s">
        <v>14</v>
      </c>
      <c r="H7" s="123" t="s">
        <v>23</v>
      </c>
      <c r="I7" s="123" t="s">
        <v>14</v>
      </c>
      <c r="J7" s="123" t="s">
        <v>14</v>
      </c>
      <c r="K7" s="123" t="s">
        <v>23</v>
      </c>
      <c r="L7" s="123" t="s">
        <v>14</v>
      </c>
      <c r="M7" s="123" t="s">
        <v>14</v>
      </c>
      <c r="N7" s="123" t="s">
        <v>23</v>
      </c>
      <c r="O7" s="123" t="s">
        <v>14</v>
      </c>
      <c r="P7" s="123" t="s">
        <v>23</v>
      </c>
      <c r="Q7" s="123" t="s">
        <v>14</v>
      </c>
      <c r="R7" s="123" t="s">
        <v>23</v>
      </c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59">
        <f>COUNTIF($F7:$AJ7,$C$126)</f>
        <v>8</v>
      </c>
      <c r="AL7" s="30">
        <f>COUNTIF($F7:$AJ7,$C$127)</f>
        <v>0</v>
      </c>
      <c r="AM7" s="30">
        <f>COUNTIF($F7:$AJ7,$C$128)</f>
        <v>0</v>
      </c>
      <c r="AN7" s="30">
        <f>COUNTIF($F7:$AJ7,$C$129)</f>
        <v>0</v>
      </c>
      <c r="AO7" s="30">
        <f>COUNTIF($F7:$AJ7,$C$130)</f>
        <v>0</v>
      </c>
      <c r="AP7" s="30">
        <f>COUNTIF($F7:$AJ7,$C$131)</f>
        <v>0</v>
      </c>
      <c r="AQ7" s="30">
        <f>COUNTIF($F7:$AJ7,$C$132)</f>
        <v>0</v>
      </c>
      <c r="AR7" s="30">
        <f>COUNTIF($F7:$AJ7,$C$133)</f>
        <v>0</v>
      </c>
      <c r="AS7" s="7">
        <f>COUNTIF($F7:$AJ7,$C$134)</f>
        <v>0</v>
      </c>
      <c r="AT7" s="136">
        <f>COUNTIF($F7:$AJ7,$C$135)</f>
        <v>5</v>
      </c>
      <c r="AU7" s="30">
        <f>COUNTIF($F7:$AJ7,$C$136)</f>
        <v>0</v>
      </c>
      <c r="AV7" s="30">
        <f>COUNTIF($F7:$AJ7,$C$137)</f>
        <v>0</v>
      </c>
      <c r="AW7" s="30">
        <f>COUNTIF($F7:$AJ7,$C$138)</f>
        <v>0</v>
      </c>
      <c r="AX7" s="30">
        <f>COUNTIF($F7:$AJ7,$C$139)</f>
        <v>0</v>
      </c>
      <c r="AY7" s="30">
        <f>COUNTA(F7:AJ7)</f>
        <v>13</v>
      </c>
      <c r="AZ7" s="54">
        <f>AK7+AU7</f>
        <v>8</v>
      </c>
      <c r="BA7" s="54" cm="1">
        <f t="array" ref="BA7">IFERROR(
COUNTA(F7:AJ7)-MAX(IF(TRIM(F7:AJ7)="OD",COLUMN(F7:AJ7)-COLUMN(F7)+1)),"")</f>
        <v>0</v>
      </c>
    </row>
    <row r="8" spans="1:58">
      <c r="A8" s="450"/>
      <c r="B8" s="60"/>
      <c r="C8" s="61"/>
      <c r="D8" s="62"/>
      <c r="E8" s="382" t="s">
        <v>34</v>
      </c>
      <c r="F8" s="26">
        <v>3</v>
      </c>
      <c r="G8" s="26">
        <v>3</v>
      </c>
      <c r="H8" s="26"/>
      <c r="I8" s="26"/>
      <c r="J8" s="123"/>
      <c r="K8" s="26"/>
      <c r="L8" s="44"/>
      <c r="M8" s="44"/>
      <c r="N8" s="123"/>
      <c r="O8" s="44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5"/>
      <c r="AE8" s="25"/>
      <c r="AF8" s="25"/>
      <c r="AG8" s="25"/>
      <c r="AH8" s="25"/>
      <c r="AI8" s="25"/>
      <c r="AJ8" s="25"/>
      <c r="AK8" s="492">
        <f>SUM(F8:AJ8)</f>
        <v>6</v>
      </c>
      <c r="AL8" s="445"/>
      <c r="AM8" s="445"/>
      <c r="AN8" s="445"/>
      <c r="AO8" s="445"/>
      <c r="AP8" s="445"/>
      <c r="AQ8" s="445"/>
      <c r="AR8" s="445"/>
      <c r="AS8" s="445"/>
      <c r="AT8" s="445"/>
      <c r="AU8" s="445"/>
      <c r="AV8" s="445"/>
      <c r="AW8" s="445"/>
      <c r="AX8" s="445"/>
      <c r="AY8" s="479"/>
      <c r="AZ8" s="54"/>
      <c r="BC8" s="346" t="s">
        <v>145</v>
      </c>
    </row>
    <row r="9" spans="1:58">
      <c r="A9" s="449">
        <v>3</v>
      </c>
      <c r="B9" s="67">
        <v>79</v>
      </c>
      <c r="C9" s="56" t="s">
        <v>39</v>
      </c>
      <c r="D9" s="57" t="s">
        <v>31</v>
      </c>
      <c r="E9" s="381" t="s">
        <v>32</v>
      </c>
      <c r="F9" s="123" t="s">
        <v>23</v>
      </c>
      <c r="G9" s="123" t="s">
        <v>14</v>
      </c>
      <c r="H9" s="123" t="s">
        <v>14</v>
      </c>
      <c r="I9" s="123" t="s">
        <v>14</v>
      </c>
      <c r="J9" s="123" t="s">
        <v>23</v>
      </c>
      <c r="K9" s="123" t="s">
        <v>14</v>
      </c>
      <c r="L9" s="123" t="s">
        <v>14</v>
      </c>
      <c r="M9" s="123" t="s">
        <v>23</v>
      </c>
      <c r="N9" s="123" t="s">
        <v>14</v>
      </c>
      <c r="O9" s="123" t="s">
        <v>23</v>
      </c>
      <c r="P9" s="123" t="s">
        <v>14</v>
      </c>
      <c r="Q9" s="123" t="s">
        <v>14</v>
      </c>
      <c r="R9" s="123" t="s">
        <v>23</v>
      </c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59">
        <f>COUNTIF($F9:$AJ9,$C$126)</f>
        <v>8</v>
      </c>
      <c r="AL9" s="30">
        <f>COUNTIF($F9:$AJ9,$C$127)</f>
        <v>0</v>
      </c>
      <c r="AM9" s="30">
        <f>COUNTIF($F9:$AJ9,$C$128)</f>
        <v>0</v>
      </c>
      <c r="AN9" s="30">
        <f>COUNTIF($F9:$AJ9,$C$129)</f>
        <v>0</v>
      </c>
      <c r="AO9" s="30">
        <f>COUNTIF($F9:$AJ9,$C$130)</f>
        <v>0</v>
      </c>
      <c r="AP9" s="30">
        <f>COUNTIF($F9:$AJ9,$C$131)</f>
        <v>0</v>
      </c>
      <c r="AQ9" s="30">
        <f>COUNTIF($F9:$AJ9,$C$132)</f>
        <v>0</v>
      </c>
      <c r="AR9" s="30">
        <f>COUNTIF($F9:$AJ9,$C$133)</f>
        <v>0</v>
      </c>
      <c r="AS9" s="30">
        <f>COUNTIF($F9:$AJ9,$C$134)</f>
        <v>0</v>
      </c>
      <c r="AT9" s="30">
        <f>COUNTIF($F9:$AJ9,$C$135)</f>
        <v>5</v>
      </c>
      <c r="AU9" s="30">
        <f>COUNTIF($F9:$AJ9,$C$136)</f>
        <v>0</v>
      </c>
      <c r="AV9" s="30">
        <f>COUNTIF($F9:$AJ9,$C$137)</f>
        <v>0</v>
      </c>
      <c r="AW9" s="30">
        <f>COUNTIF($F9:$AJ9,$C$138)</f>
        <v>0</v>
      </c>
      <c r="AX9" s="30">
        <f>COUNTIF($F9:$AJ9,$C$139)</f>
        <v>0</v>
      </c>
      <c r="AY9" s="30">
        <f>COUNTA(F9:AJ9)</f>
        <v>13</v>
      </c>
      <c r="AZ9" s="54">
        <f>AK9+AU9</f>
        <v>8</v>
      </c>
      <c r="BA9" s="54" cm="1">
        <f t="array" ref="BA9">IFERROR(
COUNTA(F9:AJ9)-MAX(IF(TRIM(F9:AJ9)="OD",COLUMN(F9:AJ9)-COLUMN(F9)+1)),"")</f>
        <v>0</v>
      </c>
      <c r="BC9" s="338" t="s">
        <v>146</v>
      </c>
      <c r="BF9" s="338" t="s">
        <v>147</v>
      </c>
    </row>
    <row r="10" spans="1:58">
      <c r="A10" s="450"/>
      <c r="B10" s="60"/>
      <c r="C10" s="61"/>
      <c r="D10" s="62"/>
      <c r="E10" s="382" t="s">
        <v>34</v>
      </c>
      <c r="F10" s="26"/>
      <c r="G10" s="26">
        <v>3</v>
      </c>
      <c r="H10" s="26">
        <v>3</v>
      </c>
      <c r="I10" s="26">
        <v>3</v>
      </c>
      <c r="J10" s="26"/>
      <c r="K10" s="26">
        <v>3</v>
      </c>
      <c r="L10" s="26">
        <v>3</v>
      </c>
      <c r="M10" s="26"/>
      <c r="N10" s="26">
        <v>3</v>
      </c>
      <c r="O10" s="26"/>
      <c r="P10" s="26">
        <v>3</v>
      </c>
      <c r="Q10" s="26">
        <v>3</v>
      </c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5"/>
      <c r="AE10" s="25"/>
      <c r="AF10" s="25"/>
      <c r="AG10" s="25"/>
      <c r="AH10" s="25"/>
      <c r="AI10" s="25"/>
      <c r="AJ10" s="25"/>
      <c r="AK10" s="492">
        <f>SUM(F10:AJ10)</f>
        <v>24</v>
      </c>
      <c r="AL10" s="445"/>
      <c r="AM10" s="445"/>
      <c r="AN10" s="445"/>
      <c r="AO10" s="445"/>
      <c r="AP10" s="445"/>
      <c r="AQ10" s="445"/>
      <c r="AR10" s="445"/>
      <c r="AS10" s="445"/>
      <c r="AT10" s="445"/>
      <c r="AU10" s="445"/>
      <c r="AV10" s="445"/>
      <c r="AW10" s="445"/>
      <c r="AX10" s="445"/>
      <c r="AY10" s="479"/>
      <c r="AZ10" s="54"/>
      <c r="BC10" s="338" t="str" cm="1">
        <f t="array" ref="BC10">_xlfn._xlws.FILTER(C5:C98,BA5:BA98=6,"Aucun chauffeur &gt; 6 jours")</f>
        <v>Aucun chauffeur &gt; 6 jours</v>
      </c>
      <c r="BF10" s="338" t="str" cm="1">
        <f t="array" ref="BF10:BF13">_xlfn._xlws.FILTER(C5:C98,BA5:BA98&gt;=7,"Aucun chauffeur &gt; 6 jours")</f>
        <v>FAROOK</v>
      </c>
    </row>
    <row r="11" spans="1:58">
      <c r="A11" s="449">
        <v>4</v>
      </c>
      <c r="B11" s="67">
        <v>33</v>
      </c>
      <c r="C11" s="56" t="s">
        <v>40</v>
      </c>
      <c r="D11" s="57" t="s">
        <v>31</v>
      </c>
      <c r="E11" s="381" t="s">
        <v>32</v>
      </c>
      <c r="F11" s="123" t="s">
        <v>14</v>
      </c>
      <c r="G11" s="123" t="s">
        <v>14</v>
      </c>
      <c r="H11" s="123" t="s">
        <v>14</v>
      </c>
      <c r="I11" s="123" t="s">
        <v>23</v>
      </c>
      <c r="J11" s="123" t="s">
        <v>14</v>
      </c>
      <c r="K11" s="123" t="s">
        <v>14</v>
      </c>
      <c r="L11" s="123" t="s">
        <v>14</v>
      </c>
      <c r="M11" s="123" t="s">
        <v>23</v>
      </c>
      <c r="N11" s="123" t="s">
        <v>14</v>
      </c>
      <c r="O11" s="123" t="s">
        <v>23</v>
      </c>
      <c r="P11" s="123" t="s">
        <v>14</v>
      </c>
      <c r="Q11" s="123" t="s">
        <v>14</v>
      </c>
      <c r="R11" s="123" t="s">
        <v>14</v>
      </c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59">
        <f>COUNTIF($F11:$AJ11,$C$126)</f>
        <v>10</v>
      </c>
      <c r="AL11" s="30">
        <f>COUNTIF($F11:$AJ11,$C$127)</f>
        <v>0</v>
      </c>
      <c r="AM11" s="30">
        <f>COUNTIF($F11:$AJ11,$C$128)</f>
        <v>0</v>
      </c>
      <c r="AN11" s="30">
        <f>COUNTIF($F11:$AJ11,$C$129)</f>
        <v>0</v>
      </c>
      <c r="AO11" s="30">
        <f>COUNTIF($F11:$AJ11,$C$130)</f>
        <v>0</v>
      </c>
      <c r="AP11" s="30">
        <f>COUNTIF($F11:$AJ11,$C$131)</f>
        <v>0</v>
      </c>
      <c r="AQ11" s="30">
        <f>COUNTIF($F11:$AJ11,$C$132)</f>
        <v>0</v>
      </c>
      <c r="AR11" s="30">
        <f>COUNTIF($F11:$AJ11,$C$133)</f>
        <v>0</v>
      </c>
      <c r="AS11" s="7">
        <f>COUNTIF($F11:$AJ11,$C$134)</f>
        <v>0</v>
      </c>
      <c r="AT11" s="30">
        <f>COUNTIF($F11:$AJ11,$C$135)</f>
        <v>3</v>
      </c>
      <c r="AU11" s="30">
        <f>COUNTIF($F11:$AJ11,$C$136)</f>
        <v>0</v>
      </c>
      <c r="AV11" s="30">
        <f>COUNTIF($F11:$AJ11,$C$137)</f>
        <v>0</v>
      </c>
      <c r="AW11" s="30">
        <f>COUNTIF($F11:$AJ11,$C$138)</f>
        <v>0</v>
      </c>
      <c r="AX11" s="30">
        <f>COUNTIF($F11:$AJ11,$C$139)</f>
        <v>0</v>
      </c>
      <c r="AY11" s="30">
        <f>COUNTA(F11:AJ11)</f>
        <v>13</v>
      </c>
      <c r="AZ11" s="54">
        <f>AK11+AU11</f>
        <v>10</v>
      </c>
      <c r="BA11" s="54" cm="1">
        <f t="array" ref="BA11">IFERROR(
COUNTA(F11:AJ11)-MAX(IF(TRIM(F11:AJ11)="OD",COLUMN(F11:AJ11)-COLUMN(F11)+1)),"")</f>
        <v>3</v>
      </c>
      <c r="BF11" t="str">
        <v>RIJU</v>
      </c>
    </row>
    <row r="12" spans="1:58">
      <c r="A12" s="450"/>
      <c r="B12" s="60"/>
      <c r="C12" s="61"/>
      <c r="D12" s="62"/>
      <c r="E12" s="382" t="s">
        <v>34</v>
      </c>
      <c r="F12" s="26">
        <v>3</v>
      </c>
      <c r="G12" s="26">
        <v>3</v>
      </c>
      <c r="H12" s="26">
        <v>3</v>
      </c>
      <c r="I12" s="26"/>
      <c r="J12" s="26">
        <v>3</v>
      </c>
      <c r="K12" s="26">
        <v>3</v>
      </c>
      <c r="L12" s="26">
        <v>3</v>
      </c>
      <c r="M12" s="26"/>
      <c r="N12" s="26">
        <v>3</v>
      </c>
      <c r="O12" s="26"/>
      <c r="P12" s="26">
        <v>3</v>
      </c>
      <c r="Q12" s="26">
        <v>3</v>
      </c>
      <c r="R12" s="26">
        <v>3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5"/>
      <c r="AE12" s="25"/>
      <c r="AF12" s="25"/>
      <c r="AG12" s="25"/>
      <c r="AH12" s="25"/>
      <c r="AI12" s="25"/>
      <c r="AJ12" s="25"/>
      <c r="AK12" s="492">
        <f>SUM(F12:AJ12)</f>
        <v>30</v>
      </c>
      <c r="AL12" s="445"/>
      <c r="AM12" s="445"/>
      <c r="AN12" s="445"/>
      <c r="AO12" s="445"/>
      <c r="AP12" s="445"/>
      <c r="AQ12" s="445"/>
      <c r="AR12" s="445"/>
      <c r="AS12" s="445"/>
      <c r="AT12" s="445"/>
      <c r="AU12" s="445"/>
      <c r="AV12" s="445"/>
      <c r="AW12" s="445"/>
      <c r="AX12" s="445"/>
      <c r="AY12" s="479"/>
      <c r="AZ12" s="54"/>
      <c r="BF12" t="str">
        <v>SIRAJUDHEEN</v>
      </c>
    </row>
    <row r="13" spans="1:58">
      <c r="A13" s="449">
        <v>5</v>
      </c>
      <c r="B13" s="67">
        <v>41</v>
      </c>
      <c r="C13" s="56" t="s">
        <v>41</v>
      </c>
      <c r="D13" s="57" t="s">
        <v>31</v>
      </c>
      <c r="E13" s="381" t="s">
        <v>32</v>
      </c>
      <c r="F13" s="123" t="s">
        <v>14</v>
      </c>
      <c r="G13" s="123" t="s">
        <v>14</v>
      </c>
      <c r="H13" s="123" t="s">
        <v>14</v>
      </c>
      <c r="I13" s="123" t="s">
        <v>23</v>
      </c>
      <c r="J13" s="123" t="s">
        <v>14</v>
      </c>
      <c r="K13" s="123" t="s">
        <v>14</v>
      </c>
      <c r="L13" s="123" t="s">
        <v>14</v>
      </c>
      <c r="M13" s="123" t="s">
        <v>14</v>
      </c>
      <c r="N13" s="123" t="s">
        <v>23</v>
      </c>
      <c r="O13" s="123" t="s">
        <v>23</v>
      </c>
      <c r="P13" s="123" t="s">
        <v>14</v>
      </c>
      <c r="Q13" s="123" t="s">
        <v>23</v>
      </c>
      <c r="R13" s="123" t="s">
        <v>14</v>
      </c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59">
        <f>COUNTIF($F13:$AJ13,$C$126)</f>
        <v>9</v>
      </c>
      <c r="AL13" s="30">
        <f>COUNTIF($F13:$AJ13,$C$127)</f>
        <v>0</v>
      </c>
      <c r="AM13" s="30">
        <f>COUNTIF($F13:$AJ13,$C$128)</f>
        <v>0</v>
      </c>
      <c r="AN13" s="30">
        <f>COUNTIF($F13:$AJ13,$C$129)</f>
        <v>0</v>
      </c>
      <c r="AO13" s="30">
        <f>COUNTIF($F13:$AJ13,$C$130)</f>
        <v>0</v>
      </c>
      <c r="AP13" s="30">
        <f>COUNTIF($F13:$AJ13,$C$131)</f>
        <v>0</v>
      </c>
      <c r="AQ13" s="30">
        <f>COUNTIF($F13:$AJ13,$C$132)</f>
        <v>0</v>
      </c>
      <c r="AR13" s="30">
        <f>COUNTIF($F13:$AJ13,$C$133)</f>
        <v>0</v>
      </c>
      <c r="AS13" s="30">
        <f>COUNTIF($F13:$AJ13,$C$134)</f>
        <v>0</v>
      </c>
      <c r="AT13" s="30">
        <f>COUNTIF($F13:$AJ13,$C$135)</f>
        <v>4</v>
      </c>
      <c r="AU13" s="30">
        <f>COUNTIF($F13:$AJ13,$C$136)</f>
        <v>0</v>
      </c>
      <c r="AV13" s="30">
        <f>COUNTIF($F13:$AJ13,$C$137)</f>
        <v>0</v>
      </c>
      <c r="AW13" s="30">
        <f>COUNTIF($F13:$AJ13,$C$138)</f>
        <v>0</v>
      </c>
      <c r="AX13" s="30">
        <f>COUNTIF($F13:$AJ13,$C$139)</f>
        <v>0</v>
      </c>
      <c r="AY13" s="30">
        <f>COUNTA(F13:AJ13)</f>
        <v>13</v>
      </c>
      <c r="AZ13" s="54">
        <f>AK13+AU13</f>
        <v>9</v>
      </c>
      <c r="BA13" s="54" cm="1">
        <f t="array" ref="BA13">IFERROR(
COUNTA(F13:AJ13)-MAX(IF(TRIM(F13:AJ13)="OD",COLUMN(F13:AJ13)-COLUMN(F13)+1)),"")</f>
        <v>1</v>
      </c>
      <c r="BF13" t="str">
        <v>WAHID</v>
      </c>
    </row>
    <row r="14" spans="1:58">
      <c r="A14" s="450"/>
      <c r="B14" s="60"/>
      <c r="C14" s="61"/>
      <c r="D14" s="62"/>
      <c r="E14" s="382" t="s">
        <v>34</v>
      </c>
      <c r="F14" s="26">
        <v>3</v>
      </c>
      <c r="G14" s="26">
        <v>3</v>
      </c>
      <c r="H14" s="26">
        <v>4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5"/>
      <c r="AE14" s="25"/>
      <c r="AF14" s="25"/>
      <c r="AG14" s="25"/>
      <c r="AH14" s="25"/>
      <c r="AI14" s="25"/>
      <c r="AJ14" s="25"/>
      <c r="AK14" s="492">
        <f>SUM(F14:AJ14)</f>
        <v>10</v>
      </c>
      <c r="AL14" s="445"/>
      <c r="AM14" s="445"/>
      <c r="AN14" s="445"/>
      <c r="AO14" s="445"/>
      <c r="AP14" s="445"/>
      <c r="AQ14" s="445"/>
      <c r="AR14" s="445"/>
      <c r="AS14" s="445"/>
      <c r="AT14" s="445"/>
      <c r="AU14" s="445"/>
      <c r="AV14" s="445"/>
      <c r="AW14" s="445"/>
      <c r="AX14" s="445"/>
      <c r="AY14" s="479"/>
      <c r="AZ14" s="54"/>
    </row>
    <row r="15" spans="1:58">
      <c r="A15" s="449">
        <v>6</v>
      </c>
      <c r="B15" s="67">
        <v>85</v>
      </c>
      <c r="C15" s="56" t="s">
        <v>42</v>
      </c>
      <c r="D15" s="57" t="s">
        <v>31</v>
      </c>
      <c r="E15" s="383" t="s">
        <v>32</v>
      </c>
      <c r="F15" s="123" t="s">
        <v>23</v>
      </c>
      <c r="G15" s="123" t="s">
        <v>14</v>
      </c>
      <c r="H15" s="123" t="s">
        <v>14</v>
      </c>
      <c r="I15" s="123" t="s">
        <v>23</v>
      </c>
      <c r="J15" s="123" t="s">
        <v>14</v>
      </c>
      <c r="K15" s="123" t="s">
        <v>14</v>
      </c>
      <c r="L15" s="123" t="s">
        <v>14</v>
      </c>
      <c r="M15" s="123" t="s">
        <v>23</v>
      </c>
      <c r="N15" s="123" t="s">
        <v>14</v>
      </c>
      <c r="O15" s="123" t="s">
        <v>14</v>
      </c>
      <c r="P15" s="123" t="s">
        <v>23</v>
      </c>
      <c r="Q15" s="123" t="s">
        <v>14</v>
      </c>
      <c r="R15" s="123" t="s">
        <v>23</v>
      </c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59">
        <f>COUNTIF($F15:$AJ15,$C$126)</f>
        <v>8</v>
      </c>
      <c r="AL15" s="30">
        <f>COUNTIF($F15:$AJ15,$C$127)</f>
        <v>0</v>
      </c>
      <c r="AM15" s="30">
        <f>COUNTIF($F15:$AJ15,$C$128)</f>
        <v>0</v>
      </c>
      <c r="AN15" s="30">
        <f>COUNTIF($F15:$AJ15,$C$129)</f>
        <v>0</v>
      </c>
      <c r="AO15" s="30">
        <f>COUNTIF($F15:$AJ15,$C$130)</f>
        <v>0</v>
      </c>
      <c r="AP15" s="30">
        <f>COUNTIF($F15:$AJ15,$C$131)</f>
        <v>0</v>
      </c>
      <c r="AQ15" s="30">
        <f>COUNTIF($F15:$AJ15,$C$132)</f>
        <v>0</v>
      </c>
      <c r="AR15" s="7">
        <f>COUNTIF($F15:$AJ15,$C$133)</f>
        <v>0</v>
      </c>
      <c r="AS15" s="7">
        <f>COUNTIF($F15:$AJ15,$C$134)</f>
        <v>0</v>
      </c>
      <c r="AT15" s="30">
        <f>COUNTIF($F15:$AJ15,$C$135)</f>
        <v>5</v>
      </c>
      <c r="AU15" s="30">
        <f>COUNTIF($F15:$AJ15,$C$136)</f>
        <v>0</v>
      </c>
      <c r="AV15" s="30">
        <f>COUNTIF($F15:$AJ15,$C$137)</f>
        <v>0</v>
      </c>
      <c r="AW15" s="30">
        <f>COUNTIF($F15:$AJ15,$C$138)</f>
        <v>0</v>
      </c>
      <c r="AX15" s="30">
        <f>COUNTIF($F15:$AJ15,$C$139)</f>
        <v>0</v>
      </c>
      <c r="AY15" s="30">
        <f>COUNTA(F15:AJ15)</f>
        <v>13</v>
      </c>
      <c r="AZ15" s="54">
        <f>AK15+AU15</f>
        <v>8</v>
      </c>
      <c r="BA15" s="54" cm="1">
        <f t="array" ref="BA15">IFERROR(
COUNTA(F15:AJ15)-MAX(IF(TRIM(F15:AJ15)="OD",COLUMN(F15:AJ15)-COLUMN(F15)+1)),"")</f>
        <v>0</v>
      </c>
    </row>
    <row r="16" spans="1:58">
      <c r="A16" s="450"/>
      <c r="B16" s="60"/>
      <c r="C16" s="61"/>
      <c r="D16" s="62"/>
      <c r="E16" s="384" t="s">
        <v>34</v>
      </c>
      <c r="F16" s="26"/>
      <c r="G16" s="26">
        <v>3</v>
      </c>
      <c r="H16" s="26"/>
      <c r="I16" s="26"/>
      <c r="J16" s="26">
        <v>3</v>
      </c>
      <c r="K16" s="26">
        <v>3</v>
      </c>
      <c r="L16" s="26">
        <v>3</v>
      </c>
      <c r="M16" s="26"/>
      <c r="N16" s="26">
        <v>3</v>
      </c>
      <c r="O16" s="26">
        <v>3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5"/>
      <c r="AE16" s="25"/>
      <c r="AF16" s="25"/>
      <c r="AG16" s="25"/>
      <c r="AH16" s="25"/>
      <c r="AI16" s="25"/>
      <c r="AJ16" s="25"/>
      <c r="AK16" s="459">
        <f>SUM(F16:AJ16)</f>
        <v>18</v>
      </c>
      <c r="AL16" s="445"/>
      <c r="AM16" s="445"/>
      <c r="AN16" s="445"/>
      <c r="AO16" s="445"/>
      <c r="AP16" s="445"/>
      <c r="AQ16" s="445"/>
      <c r="AR16" s="445"/>
      <c r="AS16" s="445"/>
      <c r="AT16" s="445"/>
      <c r="AU16" s="445"/>
      <c r="AV16" s="445"/>
      <c r="AW16" s="445"/>
      <c r="AX16" s="445"/>
      <c r="AY16" s="479"/>
      <c r="AZ16" s="54"/>
    </row>
    <row r="17" spans="1:53">
      <c r="A17" s="449">
        <v>7</v>
      </c>
      <c r="B17" s="67">
        <v>91</v>
      </c>
      <c r="C17" s="70" t="s">
        <v>43</v>
      </c>
      <c r="D17" s="57" t="s">
        <v>31</v>
      </c>
      <c r="E17" s="381" t="s">
        <v>32</v>
      </c>
      <c r="F17" s="123" t="s">
        <v>14</v>
      </c>
      <c r="G17" s="123" t="s">
        <v>14</v>
      </c>
      <c r="H17" s="123" t="s">
        <v>23</v>
      </c>
      <c r="I17" s="123" t="s">
        <v>14</v>
      </c>
      <c r="J17" s="123" t="s">
        <v>14</v>
      </c>
      <c r="K17" s="123" t="s">
        <v>14</v>
      </c>
      <c r="L17" s="123" t="s">
        <v>23</v>
      </c>
      <c r="M17" s="123" t="s">
        <v>14</v>
      </c>
      <c r="N17" s="123" t="s">
        <v>14</v>
      </c>
      <c r="O17" s="123" t="s">
        <v>23</v>
      </c>
      <c r="P17" s="123" t="s">
        <v>14</v>
      </c>
      <c r="Q17" s="123" t="s">
        <v>23</v>
      </c>
      <c r="R17" s="123" t="s">
        <v>14</v>
      </c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30">
        <f>COUNTIF($F17:$AJ17,$C$126)</f>
        <v>9</v>
      </c>
      <c r="AL17" s="30">
        <f>COUNTIF($F17:$AJ17,$C$127)</f>
        <v>0</v>
      </c>
      <c r="AM17" s="30">
        <f>COUNTIF($F17:$AJ17,$C$128)</f>
        <v>0</v>
      </c>
      <c r="AN17" s="30">
        <f>COUNTIF($F17:$AJ17,$C$129)</f>
        <v>0</v>
      </c>
      <c r="AO17" s="30">
        <f>COUNTIF($F17:$AJ17,$C$130)</f>
        <v>0</v>
      </c>
      <c r="AP17" s="30">
        <f>COUNTIF($F17:$AJ17,$C$131)</f>
        <v>0</v>
      </c>
      <c r="AQ17" s="30">
        <f>COUNTIF($F17:$AJ17,$C$132)</f>
        <v>0</v>
      </c>
      <c r="AR17" s="30">
        <f>COUNTIF($F17:$AJ17,$C$133)</f>
        <v>0</v>
      </c>
      <c r="AS17" s="30">
        <f>COUNTIF($F17:$AJ17,$C$134)</f>
        <v>0</v>
      </c>
      <c r="AT17" s="30">
        <f>COUNTIF($F17:$AJ17,$C$135)</f>
        <v>4</v>
      </c>
      <c r="AU17" s="30">
        <f>COUNTIF($F17:$AJ17,$C$136)</f>
        <v>0</v>
      </c>
      <c r="AV17" s="30">
        <f>COUNTIF($F17:$AJ17,$C$137)</f>
        <v>0</v>
      </c>
      <c r="AW17" s="30">
        <f>COUNTIF($F17:$AJ17,$C$138)</f>
        <v>0</v>
      </c>
      <c r="AX17" s="30">
        <f>COUNTIF($F17:$AJ17,$C$139)</f>
        <v>0</v>
      </c>
      <c r="AY17" s="30">
        <f>COUNTA(F17:AJ17)</f>
        <v>13</v>
      </c>
      <c r="AZ17" s="54">
        <f>AK17+AU17</f>
        <v>9</v>
      </c>
      <c r="BA17" s="54" cm="1">
        <f t="array" ref="BA17">IFERROR(
COUNTA(F17:AJ17)-MAX(IF(TRIM(F17:AJ17)="OD",COLUMN(F17:AJ17)-COLUMN(F17)+1)),"")</f>
        <v>1</v>
      </c>
    </row>
    <row r="18" spans="1:53">
      <c r="A18" s="450"/>
      <c r="B18" s="60"/>
      <c r="C18" s="72"/>
      <c r="D18" s="62"/>
      <c r="E18" s="382" t="s">
        <v>34</v>
      </c>
      <c r="F18" s="26">
        <v>3</v>
      </c>
      <c r="G18" s="26">
        <v>3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5"/>
      <c r="AE18" s="25"/>
      <c r="AF18" s="25"/>
      <c r="AG18" s="25"/>
      <c r="AH18" s="25"/>
      <c r="AI18" s="25"/>
      <c r="AJ18" s="25"/>
      <c r="AK18" s="459">
        <f>SUM(F18:AJ18)</f>
        <v>6</v>
      </c>
      <c r="AL18" s="445"/>
      <c r="AM18" s="445"/>
      <c r="AN18" s="445"/>
      <c r="AO18" s="445"/>
      <c r="AP18" s="445"/>
      <c r="AQ18" s="445"/>
      <c r="AR18" s="445"/>
      <c r="AS18" s="445"/>
      <c r="AT18" s="445"/>
      <c r="AU18" s="445"/>
      <c r="AV18" s="445"/>
      <c r="AW18" s="445"/>
      <c r="AX18" s="445"/>
      <c r="AY18" s="479"/>
      <c r="AZ18" s="54"/>
    </row>
    <row r="19" spans="1:53">
      <c r="A19" s="449">
        <v>8</v>
      </c>
      <c r="B19" s="67">
        <v>36</v>
      </c>
      <c r="C19" s="56" t="s">
        <v>44</v>
      </c>
      <c r="D19" s="57" t="s">
        <v>31</v>
      </c>
      <c r="E19" s="381" t="s">
        <v>32</v>
      </c>
      <c r="F19" s="123" t="s">
        <v>14</v>
      </c>
      <c r="G19" s="123" t="s">
        <v>23</v>
      </c>
      <c r="H19" s="123" t="s">
        <v>14</v>
      </c>
      <c r="I19" s="123" t="s">
        <v>14</v>
      </c>
      <c r="J19" s="123" t="s">
        <v>23</v>
      </c>
      <c r="K19" s="123" t="s">
        <v>14</v>
      </c>
      <c r="L19" s="123" t="s">
        <v>14</v>
      </c>
      <c r="M19" s="123" t="s">
        <v>23</v>
      </c>
      <c r="N19" s="123" t="s">
        <v>14</v>
      </c>
      <c r="O19" s="123" t="s">
        <v>14</v>
      </c>
      <c r="P19" s="123" t="s">
        <v>14</v>
      </c>
      <c r="Q19" s="123" t="s">
        <v>23</v>
      </c>
      <c r="R19" s="123" t="s">
        <v>14</v>
      </c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 t="s">
        <v>22</v>
      </c>
      <c r="AH19" s="123" t="s">
        <v>22</v>
      </c>
      <c r="AI19" s="123" t="s">
        <v>22</v>
      </c>
      <c r="AJ19" s="123" t="s">
        <v>22</v>
      </c>
      <c r="AK19" s="30">
        <f>COUNTIF($F19:$AJ19,$C$126)</f>
        <v>9</v>
      </c>
      <c r="AL19" s="30">
        <f>COUNTIF($F19:$AJ19,$C$127)</f>
        <v>0</v>
      </c>
      <c r="AM19" s="30">
        <f>COUNTIF($F19:$AJ19,$C$128)</f>
        <v>0</v>
      </c>
      <c r="AN19" s="30">
        <f>COUNTIF($F19:$AJ19,$C$129)</f>
        <v>0</v>
      </c>
      <c r="AO19" s="30">
        <f>COUNTIF($F19:$AJ19,$C$130)</f>
        <v>0</v>
      </c>
      <c r="AP19" s="30">
        <f>COUNTIF($F19:$AJ19,$C$131)</f>
        <v>0</v>
      </c>
      <c r="AQ19" s="30">
        <f>COUNTIF($F19:$AJ19,$C$132)</f>
        <v>0</v>
      </c>
      <c r="AR19" s="30">
        <f>COUNTIF($F19:$AJ19,$C$133)</f>
        <v>0</v>
      </c>
      <c r="AS19" s="30">
        <f>COUNTIF($F19:$AJ19,$C$134)</f>
        <v>4</v>
      </c>
      <c r="AT19" s="30">
        <f>COUNTIF($F19:$AJ19,$C$135)</f>
        <v>4</v>
      </c>
      <c r="AU19" s="30">
        <f>COUNTIF($F19:$AJ19,$C$136)</f>
        <v>0</v>
      </c>
      <c r="AV19" s="30">
        <f>COUNTIF($F19:$AJ19,$C$137)</f>
        <v>0</v>
      </c>
      <c r="AW19" s="30">
        <f>COUNTIF($F19:$AJ19,$C$138)</f>
        <v>0</v>
      </c>
      <c r="AX19" s="30">
        <f>COUNTIF($F19:$AJ19,$C$139)</f>
        <v>0</v>
      </c>
      <c r="AY19" s="30">
        <f>COUNTA(F19:AJ19)</f>
        <v>17</v>
      </c>
      <c r="AZ19" s="54">
        <f>AK19+AU19</f>
        <v>9</v>
      </c>
      <c r="BA19" s="54" cm="1">
        <f t="array" ref="BA19">IFERROR(
COUNTA(F19:AJ19)-MAX(IF(TRIM(F19:AJ19)="OD",COLUMN(F19:AJ19)-COLUMN(F19)+1)),"")</f>
        <v>5</v>
      </c>
    </row>
    <row r="20" spans="1:53">
      <c r="A20" s="450"/>
      <c r="B20" s="60"/>
      <c r="C20" s="61"/>
      <c r="D20" s="62"/>
      <c r="E20" s="382" t="s">
        <v>34</v>
      </c>
      <c r="F20" s="26">
        <v>3</v>
      </c>
      <c r="G20" s="123"/>
      <c r="H20" s="26"/>
      <c r="I20" s="26"/>
      <c r="J20" s="123"/>
      <c r="K20" s="26"/>
      <c r="L20" s="44"/>
      <c r="M20" s="44"/>
      <c r="N20" s="123"/>
      <c r="O20" s="44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5"/>
      <c r="AE20" s="25"/>
      <c r="AF20" s="25"/>
      <c r="AG20" s="25"/>
      <c r="AH20" s="25"/>
      <c r="AI20" s="25"/>
      <c r="AJ20" s="25"/>
      <c r="AK20" s="459">
        <f>SUM(F20:AJ20)</f>
        <v>3</v>
      </c>
      <c r="AL20" s="445"/>
      <c r="AM20" s="445"/>
      <c r="AN20" s="445"/>
      <c r="AO20" s="445"/>
      <c r="AP20" s="445"/>
      <c r="AQ20" s="445"/>
      <c r="AR20" s="445"/>
      <c r="AS20" s="445"/>
      <c r="AT20" s="445"/>
      <c r="AU20" s="445"/>
      <c r="AV20" s="445"/>
      <c r="AW20" s="445"/>
      <c r="AX20" s="445"/>
      <c r="AY20" s="479"/>
      <c r="AZ20" s="54"/>
    </row>
    <row r="21" spans="1:53">
      <c r="A21" s="449">
        <v>9</v>
      </c>
      <c r="B21" s="67">
        <v>57</v>
      </c>
      <c r="C21" s="56" t="s">
        <v>45</v>
      </c>
      <c r="D21" s="57" t="s">
        <v>31</v>
      </c>
      <c r="E21" s="381" t="s">
        <v>32</v>
      </c>
      <c r="F21" s="123" t="s">
        <v>14</v>
      </c>
      <c r="G21" s="123" t="s">
        <v>14</v>
      </c>
      <c r="H21" s="123" t="s">
        <v>14</v>
      </c>
      <c r="I21" s="123" t="s">
        <v>23</v>
      </c>
      <c r="J21" s="123" t="s">
        <v>14</v>
      </c>
      <c r="K21" s="123" t="s">
        <v>23</v>
      </c>
      <c r="L21" s="123" t="s">
        <v>14</v>
      </c>
      <c r="M21" s="123" t="s">
        <v>14</v>
      </c>
      <c r="N21" s="123" t="s">
        <v>23</v>
      </c>
      <c r="O21" s="123" t="s">
        <v>14</v>
      </c>
      <c r="P21" s="123" t="s">
        <v>23</v>
      </c>
      <c r="Q21" s="123" t="s">
        <v>14</v>
      </c>
      <c r="R21" s="123" t="s">
        <v>23</v>
      </c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30">
        <f>COUNTIF($F21:$AJ21,$C$126)</f>
        <v>8</v>
      </c>
      <c r="AL21" s="30">
        <f>COUNTIF($F21:$AJ21,$C$127)</f>
        <v>0</v>
      </c>
      <c r="AM21" s="30">
        <f>COUNTIF($F21:$AJ21,$C$128)</f>
        <v>0</v>
      </c>
      <c r="AN21" s="30">
        <f>COUNTIF($F21:$AJ21,$C$129)</f>
        <v>0</v>
      </c>
      <c r="AO21" s="30">
        <f>COUNTIF($F21:$AJ21,$C$130)</f>
        <v>0</v>
      </c>
      <c r="AP21" s="30">
        <f>COUNTIF($F21:$AJ21,$C$131)</f>
        <v>0</v>
      </c>
      <c r="AQ21" s="30">
        <f>COUNTIF($F21:$AJ21,$C$132)</f>
        <v>0</v>
      </c>
      <c r="AR21" s="30">
        <f>COUNTIF($F21:$AJ21,$C$133)</f>
        <v>0</v>
      </c>
      <c r="AS21" s="30">
        <f>COUNTIF($F21:$AJ21,$C$134)</f>
        <v>0</v>
      </c>
      <c r="AT21" s="30">
        <f>COUNTIF($F21:$AJ21,$C$135)</f>
        <v>5</v>
      </c>
      <c r="AU21" s="30">
        <f>COUNTIF($F21:$AJ21,$C$136)</f>
        <v>0</v>
      </c>
      <c r="AV21" s="30">
        <f>COUNTIF($F21:$AJ21,$C$137)</f>
        <v>0</v>
      </c>
      <c r="AW21" s="30">
        <f>COUNTIF($F21:$AJ21,$C$138)</f>
        <v>0</v>
      </c>
      <c r="AX21" s="30">
        <f>COUNTIF($F21:$AJ21,$C$139)</f>
        <v>0</v>
      </c>
      <c r="AY21" s="30">
        <f>COUNTA(F21:AJ21)</f>
        <v>13</v>
      </c>
      <c r="AZ21" s="54">
        <f>AK21+AU21</f>
        <v>8</v>
      </c>
      <c r="BA21" s="54" cm="1">
        <f t="array" ref="BA21">IFERROR(
COUNTA(F21:AJ21)-MAX(IF(TRIM(F21:AJ21)="OD",COLUMN(F21:AJ21)-COLUMN(F21)+1)),"")</f>
        <v>0</v>
      </c>
    </row>
    <row r="22" spans="1:53">
      <c r="A22" s="450"/>
      <c r="B22" s="60"/>
      <c r="C22" s="61"/>
      <c r="D22" s="62"/>
      <c r="E22" s="382" t="s">
        <v>34</v>
      </c>
      <c r="F22" s="26">
        <v>3</v>
      </c>
      <c r="G22" s="26">
        <v>3</v>
      </c>
      <c r="H22" s="26">
        <v>3</v>
      </c>
      <c r="I22" s="26"/>
      <c r="J22" s="26"/>
      <c r="K22" s="26"/>
      <c r="L22" s="26"/>
      <c r="M22" s="26">
        <v>3</v>
      </c>
      <c r="N22" s="26"/>
      <c r="O22" s="26">
        <v>3</v>
      </c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5"/>
      <c r="AE22" s="25"/>
      <c r="AF22" s="25"/>
      <c r="AG22" s="25"/>
      <c r="AH22" s="25"/>
      <c r="AI22" s="25"/>
      <c r="AJ22" s="25"/>
      <c r="AK22" s="459">
        <f>SUM(F22:AJ22)</f>
        <v>15</v>
      </c>
      <c r="AL22" s="445"/>
      <c r="AM22" s="445"/>
      <c r="AN22" s="445"/>
      <c r="AO22" s="445"/>
      <c r="AP22" s="445"/>
      <c r="AQ22" s="445"/>
      <c r="AR22" s="445"/>
      <c r="AS22" s="445"/>
      <c r="AT22" s="445"/>
      <c r="AU22" s="445"/>
      <c r="AV22" s="445"/>
      <c r="AW22" s="445"/>
      <c r="AX22" s="445"/>
      <c r="AY22" s="479"/>
      <c r="AZ22" s="54"/>
    </row>
    <row r="23" spans="1:53">
      <c r="A23" s="449">
        <v>10</v>
      </c>
      <c r="B23" s="67">
        <v>90</v>
      </c>
      <c r="C23" s="56" t="s">
        <v>46</v>
      </c>
      <c r="D23" s="57" t="s">
        <v>31</v>
      </c>
      <c r="E23" s="381" t="s">
        <v>32</v>
      </c>
      <c r="F23" s="123" t="s">
        <v>14</v>
      </c>
      <c r="G23" s="123" t="s">
        <v>14</v>
      </c>
      <c r="H23" s="123" t="s">
        <v>23</v>
      </c>
      <c r="I23" s="123" t="s">
        <v>14</v>
      </c>
      <c r="J23" s="123" t="s">
        <v>14</v>
      </c>
      <c r="K23" s="123" t="s">
        <v>23</v>
      </c>
      <c r="L23" s="123" t="s">
        <v>14</v>
      </c>
      <c r="M23" s="123" t="s">
        <v>14</v>
      </c>
      <c r="N23" s="123" t="s">
        <v>23</v>
      </c>
      <c r="O23" s="123" t="s">
        <v>14</v>
      </c>
      <c r="P23" s="123" t="s">
        <v>23</v>
      </c>
      <c r="Q23" s="123" t="s">
        <v>14</v>
      </c>
      <c r="R23" s="123" t="s">
        <v>23</v>
      </c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30">
        <f>COUNTIF($F23:$AJ23,$C$126)</f>
        <v>8</v>
      </c>
      <c r="AL23" s="30">
        <f>COUNTIF($F23:$AJ23,$C$127)</f>
        <v>0</v>
      </c>
      <c r="AM23" s="30">
        <f>COUNTIF($F23:$AJ23,$C$128)</f>
        <v>0</v>
      </c>
      <c r="AN23" s="30">
        <f>COUNTIF($F23:$AJ23,$C$129)</f>
        <v>0</v>
      </c>
      <c r="AO23" s="30">
        <f>COUNTIF($F23:$AJ23,$C$130)</f>
        <v>0</v>
      </c>
      <c r="AP23" s="30">
        <f>COUNTIF($F23:$AJ23,$C$131)</f>
        <v>0</v>
      </c>
      <c r="AQ23" s="30">
        <f>COUNTIF($F23:$AJ23,$C$132)</f>
        <v>0</v>
      </c>
      <c r="AR23" s="7">
        <f>COUNTIF($F23:$AJ23,$C$133)</f>
        <v>0</v>
      </c>
      <c r="AS23" s="7">
        <f>COUNTIF($F23:$AJ23,$C$134)</f>
        <v>0</v>
      </c>
      <c r="AT23" s="30">
        <f>COUNTIF($F23:$AJ23,$C$135)</f>
        <v>5</v>
      </c>
      <c r="AU23" s="30">
        <f>COUNTIF($F23:$AJ23,$C$136)</f>
        <v>0</v>
      </c>
      <c r="AV23" s="30">
        <f>COUNTIF($F23:$AJ23,$C$137)</f>
        <v>0</v>
      </c>
      <c r="AW23" s="30">
        <f>COUNTIF($F23:$AJ23,$C$138)</f>
        <v>0</v>
      </c>
      <c r="AX23" s="30">
        <f>COUNTIF($F23:$AJ23,$C$139)</f>
        <v>0</v>
      </c>
      <c r="AY23" s="30">
        <f>COUNTA(F23:AJ23)</f>
        <v>13</v>
      </c>
      <c r="AZ23" s="54">
        <f>AK23+AU23</f>
        <v>8</v>
      </c>
      <c r="BA23" s="54" cm="1">
        <f t="array" ref="BA23">IFERROR(
COUNTA(F23:AJ23)-MAX(IF(TRIM(F23:AJ23)="OD",COLUMN(F23:AJ23)-COLUMN(F23)+1)),"")</f>
        <v>0</v>
      </c>
    </row>
    <row r="24" spans="1:53">
      <c r="A24" s="450"/>
      <c r="B24" s="60"/>
      <c r="C24" s="61"/>
      <c r="D24" s="62"/>
      <c r="E24" s="382" t="s">
        <v>34</v>
      </c>
      <c r="F24" s="26">
        <v>3</v>
      </c>
      <c r="G24" s="26">
        <v>3</v>
      </c>
      <c r="H24" s="26"/>
      <c r="I24" s="26">
        <v>3</v>
      </c>
      <c r="J24" s="26"/>
      <c r="K24" s="26"/>
      <c r="L24" s="26">
        <v>3</v>
      </c>
      <c r="M24" s="26">
        <v>3</v>
      </c>
      <c r="N24" s="26"/>
      <c r="O24" s="26">
        <v>3</v>
      </c>
      <c r="P24" s="26"/>
      <c r="Q24" s="26">
        <v>3</v>
      </c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5"/>
      <c r="AE24" s="25"/>
      <c r="AF24" s="25"/>
      <c r="AG24" s="25"/>
      <c r="AH24" s="25"/>
      <c r="AI24" s="25"/>
      <c r="AJ24" s="25"/>
      <c r="AK24" s="459">
        <f>SUM(F24:AJ24)</f>
        <v>21</v>
      </c>
      <c r="AL24" s="445"/>
      <c r="AM24" s="445"/>
      <c r="AN24" s="445"/>
      <c r="AO24" s="445"/>
      <c r="AP24" s="445"/>
      <c r="AQ24" s="445"/>
      <c r="AR24" s="445"/>
      <c r="AS24" s="445"/>
      <c r="AT24" s="445"/>
      <c r="AU24" s="445"/>
      <c r="AV24" s="445"/>
      <c r="AW24" s="445"/>
      <c r="AX24" s="445"/>
      <c r="AY24" s="479"/>
      <c r="AZ24" s="54"/>
    </row>
    <row r="25" spans="1:53">
      <c r="A25" s="449">
        <v>11</v>
      </c>
      <c r="B25" s="67">
        <v>125</v>
      </c>
      <c r="C25" s="56" t="s">
        <v>47</v>
      </c>
      <c r="D25" s="57" t="s">
        <v>31</v>
      </c>
      <c r="E25" s="381" t="s">
        <v>32</v>
      </c>
      <c r="F25" s="389" t="s">
        <v>23</v>
      </c>
      <c r="G25" s="123" t="s">
        <v>14</v>
      </c>
      <c r="H25" s="123" t="s">
        <v>14</v>
      </c>
      <c r="I25" s="123" t="s">
        <v>14</v>
      </c>
      <c r="J25" s="123" t="s">
        <v>23</v>
      </c>
      <c r="K25" s="123" t="s">
        <v>14</v>
      </c>
      <c r="L25" s="123" t="s">
        <v>23</v>
      </c>
      <c r="M25" s="123" t="s">
        <v>14</v>
      </c>
      <c r="N25" s="123" t="s">
        <v>14</v>
      </c>
      <c r="O25" s="123" t="s">
        <v>23</v>
      </c>
      <c r="P25" s="123" t="s">
        <v>23</v>
      </c>
      <c r="Q25" s="123" t="s">
        <v>22</v>
      </c>
      <c r="R25" s="123" t="s">
        <v>22</v>
      </c>
      <c r="S25" s="123" t="s">
        <v>22</v>
      </c>
      <c r="T25" s="123" t="s">
        <v>22</v>
      </c>
      <c r="U25" s="123" t="s">
        <v>22</v>
      </c>
      <c r="V25" s="123" t="s">
        <v>22</v>
      </c>
      <c r="W25" s="123" t="s">
        <v>22</v>
      </c>
      <c r="X25" s="123" t="s">
        <v>22</v>
      </c>
      <c r="Y25" s="123" t="s">
        <v>22</v>
      </c>
      <c r="Z25" s="123" t="s">
        <v>22</v>
      </c>
      <c r="AA25" s="123" t="s">
        <v>22</v>
      </c>
      <c r="AB25" s="123" t="s">
        <v>22</v>
      </c>
      <c r="AC25" s="123" t="s">
        <v>22</v>
      </c>
      <c r="AD25" s="123" t="s">
        <v>22</v>
      </c>
      <c r="AE25" s="123" t="s">
        <v>22</v>
      </c>
      <c r="AF25" s="123" t="s">
        <v>22</v>
      </c>
      <c r="AG25" s="123" t="s">
        <v>22</v>
      </c>
      <c r="AH25" s="123" t="s">
        <v>22</v>
      </c>
      <c r="AI25" s="123" t="s">
        <v>22</v>
      </c>
      <c r="AJ25" s="123" t="s">
        <v>22</v>
      </c>
      <c r="AK25" s="30">
        <f>COUNTIF($F25:$AJ25,$C$126)</f>
        <v>6</v>
      </c>
      <c r="AL25" s="30">
        <f>COUNTIF($F25:$AJ25,$C$127)</f>
        <v>0</v>
      </c>
      <c r="AM25" s="30">
        <f>COUNTIF($F25:$AJ25,$C$128)</f>
        <v>0</v>
      </c>
      <c r="AN25" s="30">
        <f>COUNTIF($F25:$AJ25,$C$129)</f>
        <v>0</v>
      </c>
      <c r="AO25" s="30">
        <f>COUNTIF($F25:$AJ25,$C$130)</f>
        <v>0</v>
      </c>
      <c r="AP25" s="30">
        <f>COUNTIF($F25:$AJ25,$C$131)</f>
        <v>0</v>
      </c>
      <c r="AQ25" s="30">
        <f>COUNTIF($F25:$AJ25,$C$132)</f>
        <v>0</v>
      </c>
      <c r="AR25" s="30">
        <f>COUNTIF($F25:$AJ25,$C$133)</f>
        <v>0</v>
      </c>
      <c r="AS25" s="30">
        <f>COUNTIF($F25:$AJ25,$C$134)</f>
        <v>20</v>
      </c>
      <c r="AT25" s="30">
        <f>COUNTIF($F25:$AJ25,$C$135)</f>
        <v>5</v>
      </c>
      <c r="AU25" s="30">
        <f>COUNTIF($F25:$AJ25,$C$136)</f>
        <v>0</v>
      </c>
      <c r="AV25" s="30">
        <f>COUNTIF($F25:$AJ25,$C$137)</f>
        <v>0</v>
      </c>
      <c r="AW25" s="30">
        <f>COUNTIF($F25:$AJ25,$C$138)</f>
        <v>0</v>
      </c>
      <c r="AX25" s="30">
        <f>COUNTIF($F25:$AJ25,$C$139)</f>
        <v>0</v>
      </c>
      <c r="AY25" s="30">
        <f>COUNTA(F25:AJ25)</f>
        <v>31</v>
      </c>
      <c r="AZ25" s="54">
        <f>AK25+AU25</f>
        <v>6</v>
      </c>
      <c r="BA25" s="54" cm="1">
        <f t="array" ref="BA25">IFERROR(
COUNTA(F25:AJ25)-MAX(IF(TRIM(F25:AJ25)="OD",COLUMN(F25:AJ25)-COLUMN(F25)+1)),"")</f>
        <v>20</v>
      </c>
    </row>
    <row r="26" spans="1:53">
      <c r="A26" s="450"/>
      <c r="B26" s="60"/>
      <c r="C26" s="61"/>
      <c r="D26" s="62"/>
      <c r="E26" s="382" t="s">
        <v>34</v>
      </c>
      <c r="F26" s="26"/>
      <c r="G26" s="26">
        <v>3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5"/>
      <c r="AE26" s="25"/>
      <c r="AF26" s="25"/>
      <c r="AG26" s="25"/>
      <c r="AH26" s="25"/>
      <c r="AI26" s="25"/>
      <c r="AJ26" s="25"/>
      <c r="AK26" s="459">
        <f>SUM(F26:AJ26)</f>
        <v>3</v>
      </c>
      <c r="AL26" s="445"/>
      <c r="AM26" s="445"/>
      <c r="AN26" s="445"/>
      <c r="AO26" s="445"/>
      <c r="AP26" s="445"/>
      <c r="AQ26" s="445"/>
      <c r="AR26" s="445"/>
      <c r="AS26" s="445"/>
      <c r="AT26" s="445"/>
      <c r="AU26" s="445"/>
      <c r="AV26" s="445"/>
      <c r="AW26" s="445"/>
      <c r="AX26" s="445"/>
      <c r="AY26" s="479"/>
      <c r="AZ26" s="54"/>
    </row>
    <row r="27" spans="1:53">
      <c r="A27" s="449">
        <v>12</v>
      </c>
      <c r="B27" s="67">
        <v>68</v>
      </c>
      <c r="C27" s="56" t="s">
        <v>48</v>
      </c>
      <c r="D27" s="57" t="s">
        <v>31</v>
      </c>
      <c r="E27" s="381" t="s">
        <v>32</v>
      </c>
      <c r="F27" s="123" t="s">
        <v>14</v>
      </c>
      <c r="G27" s="123" t="s">
        <v>23</v>
      </c>
      <c r="H27" s="123" t="s">
        <v>14</v>
      </c>
      <c r="I27" s="123" t="s">
        <v>14</v>
      </c>
      <c r="J27" s="123" t="s">
        <v>23</v>
      </c>
      <c r="K27" s="123" t="s">
        <v>14</v>
      </c>
      <c r="L27" s="123" t="s">
        <v>14</v>
      </c>
      <c r="M27" s="123" t="s">
        <v>14</v>
      </c>
      <c r="N27" s="123" t="s">
        <v>23</v>
      </c>
      <c r="O27" s="123" t="s">
        <v>14</v>
      </c>
      <c r="P27" s="123" t="s">
        <v>23</v>
      </c>
      <c r="Q27" s="123" t="s">
        <v>14</v>
      </c>
      <c r="R27" s="123" t="s">
        <v>14</v>
      </c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30">
        <f>COUNTIF($F27:$AJ27,$C$126)</f>
        <v>9</v>
      </c>
      <c r="AL27" s="30">
        <f>COUNTIF($F27:$AJ27,$C$127)</f>
        <v>0</v>
      </c>
      <c r="AM27" s="30">
        <f>COUNTIF($F27:$AJ27,$C$128)</f>
        <v>0</v>
      </c>
      <c r="AN27" s="30">
        <f>COUNTIF($F27:$AJ27,$C$129)</f>
        <v>0</v>
      </c>
      <c r="AO27" s="30">
        <f>COUNTIF($F27:$AJ27,$C$130)</f>
        <v>0</v>
      </c>
      <c r="AP27" s="30">
        <f>COUNTIF($F27:$AJ27,$C$131)</f>
        <v>0</v>
      </c>
      <c r="AQ27" s="30">
        <f>COUNTIF($F27:$AJ27,$C$132)</f>
        <v>0</v>
      </c>
      <c r="AR27" s="30">
        <f>COUNTIF($F27:$AJ27,$C$133)</f>
        <v>0</v>
      </c>
      <c r="AS27" s="30">
        <f>COUNTIF($F27:$AJ27,$C$134)</f>
        <v>0</v>
      </c>
      <c r="AT27" s="30">
        <f>COUNTIF($F27:$AJ27,$C$135)</f>
        <v>4</v>
      </c>
      <c r="AU27" s="30">
        <f>COUNTIF($F27:$AJ27,$C$136)</f>
        <v>0</v>
      </c>
      <c r="AV27" s="30">
        <f>COUNTIF($F27:$AJ27,$C$137)</f>
        <v>0</v>
      </c>
      <c r="AW27" s="30">
        <f>COUNTIF($F27:$AJ27,$C$138)</f>
        <v>0</v>
      </c>
      <c r="AX27" s="30">
        <f>COUNTIF($F27:$AJ27,$C$139)</f>
        <v>0</v>
      </c>
      <c r="AY27" s="30">
        <f>COUNTA(F27:AJ27)</f>
        <v>13</v>
      </c>
      <c r="AZ27" s="54">
        <f>AK27+AU27</f>
        <v>9</v>
      </c>
      <c r="BA27" s="54" cm="1">
        <f t="array" ref="BA27">IFERROR(
COUNTA(F27:AJ27)-MAX(IF(TRIM(F27:AJ27)="OD",COLUMN(F27:AJ27)-COLUMN(F27)+1)),"")</f>
        <v>2</v>
      </c>
    </row>
    <row r="28" spans="1:53">
      <c r="A28" s="450"/>
      <c r="B28" s="60"/>
      <c r="C28" s="61"/>
      <c r="D28" s="62"/>
      <c r="E28" s="382" t="s">
        <v>34</v>
      </c>
      <c r="F28" s="123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5"/>
      <c r="AE28" s="25"/>
      <c r="AF28" s="25"/>
      <c r="AG28" s="25"/>
      <c r="AH28" s="25"/>
      <c r="AI28" s="25"/>
      <c r="AJ28" s="25"/>
      <c r="AK28" s="459">
        <f>SUM(F28:AJ28)</f>
        <v>0</v>
      </c>
      <c r="AL28" s="445"/>
      <c r="AM28" s="445"/>
      <c r="AN28" s="445"/>
      <c r="AO28" s="445"/>
      <c r="AP28" s="445"/>
      <c r="AQ28" s="445"/>
      <c r="AR28" s="445"/>
      <c r="AS28" s="445"/>
      <c r="AT28" s="445"/>
      <c r="AU28" s="445"/>
      <c r="AV28" s="445"/>
      <c r="AW28" s="445"/>
      <c r="AX28" s="445"/>
      <c r="AY28" s="479"/>
      <c r="AZ28" s="54"/>
    </row>
    <row r="29" spans="1:53">
      <c r="A29" s="449">
        <v>13</v>
      </c>
      <c r="B29" s="67">
        <v>102</v>
      </c>
      <c r="C29" s="56" t="s">
        <v>49</v>
      </c>
      <c r="D29" s="57" t="s">
        <v>31</v>
      </c>
      <c r="E29" s="381" t="s">
        <v>32</v>
      </c>
      <c r="F29" s="123" t="s">
        <v>14</v>
      </c>
      <c r="G29" s="123" t="s">
        <v>23</v>
      </c>
      <c r="H29" s="123" t="s">
        <v>14</v>
      </c>
      <c r="I29" s="123" t="s">
        <v>14</v>
      </c>
      <c r="J29" s="123" t="s">
        <v>14</v>
      </c>
      <c r="K29" s="123" t="s">
        <v>14</v>
      </c>
      <c r="L29" s="123" t="s">
        <v>14</v>
      </c>
      <c r="M29" s="123" t="s">
        <v>23</v>
      </c>
      <c r="N29" s="123" t="s">
        <v>23</v>
      </c>
      <c r="O29" s="123" t="s">
        <v>14</v>
      </c>
      <c r="P29" s="123" t="s">
        <v>14</v>
      </c>
      <c r="Q29" s="123" t="s">
        <v>23</v>
      </c>
      <c r="R29" s="123" t="s">
        <v>14</v>
      </c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30">
        <f>COUNTIF($F29:$AJ29,$C$126)</f>
        <v>9</v>
      </c>
      <c r="AL29" s="30">
        <f>COUNTIF($F29:$AJ29,$C$127)</f>
        <v>0</v>
      </c>
      <c r="AM29" s="30">
        <f>COUNTIF($F29:$AJ29,$C$128)</f>
        <v>0</v>
      </c>
      <c r="AN29" s="30">
        <f>COUNTIF($F29:$AJ29,$C$129)</f>
        <v>0</v>
      </c>
      <c r="AO29" s="30">
        <f>COUNTIF($F29:$AJ29,$C$130)</f>
        <v>0</v>
      </c>
      <c r="AP29" s="30">
        <f>COUNTIF($F29:$AJ29,$C$131)</f>
        <v>0</v>
      </c>
      <c r="AQ29" s="30">
        <f>COUNTIF($F29:$AJ29,$C$132)</f>
        <v>0</v>
      </c>
      <c r="AR29" s="30">
        <f>COUNTIF($F29:$AJ29,$C$133)</f>
        <v>0</v>
      </c>
      <c r="AS29" s="30">
        <f>COUNTIF($F29:$AJ29,$C$134)</f>
        <v>0</v>
      </c>
      <c r="AT29" s="30">
        <f>COUNTIF($F29:$AJ29,$C$135)</f>
        <v>4</v>
      </c>
      <c r="AU29" s="30">
        <f>COUNTIF($F29:$AJ29,$C$136)</f>
        <v>0</v>
      </c>
      <c r="AV29" s="30">
        <f>COUNTIF($F29:$AJ29,$C$137)</f>
        <v>0</v>
      </c>
      <c r="AW29" s="30">
        <f>COUNTIF($F29:$AJ29,$C$138)</f>
        <v>0</v>
      </c>
      <c r="AX29" s="30">
        <f>COUNTIF($F29:$AJ29,$C$139)</f>
        <v>0</v>
      </c>
      <c r="AY29" s="30">
        <f>COUNTA(F29:AJ29)</f>
        <v>13</v>
      </c>
      <c r="AZ29" s="54">
        <f>AK29+AU29</f>
        <v>9</v>
      </c>
      <c r="BA29" s="54" cm="1">
        <f t="array" ref="BA29">IFERROR(
COUNTA(F29:AJ29)-MAX(IF(TRIM(F29:AJ29)="OD",COLUMN(F29:AJ29)-COLUMN(F29)+1)),"")</f>
        <v>1</v>
      </c>
    </row>
    <row r="30" spans="1:53">
      <c r="A30" s="450"/>
      <c r="B30" s="60"/>
      <c r="C30" s="61"/>
      <c r="D30" s="62"/>
      <c r="E30" s="382" t="s">
        <v>34</v>
      </c>
      <c r="F30" s="26">
        <v>5</v>
      </c>
      <c r="G30" s="26"/>
      <c r="H30" s="39"/>
      <c r="I30" s="39"/>
      <c r="J30" s="39"/>
      <c r="K30" s="39"/>
      <c r="L30" s="39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5"/>
      <c r="AE30" s="25"/>
      <c r="AF30" s="25"/>
      <c r="AG30" s="25"/>
      <c r="AH30" s="25"/>
      <c r="AI30" s="25"/>
      <c r="AJ30" s="25"/>
      <c r="AK30" s="459">
        <f>SUM(F30:AJ30)</f>
        <v>5</v>
      </c>
      <c r="AL30" s="445"/>
      <c r="AM30" s="445"/>
      <c r="AN30" s="445"/>
      <c r="AO30" s="445"/>
      <c r="AP30" s="445"/>
      <c r="AQ30" s="445"/>
      <c r="AR30" s="445"/>
      <c r="AS30" s="445"/>
      <c r="AT30" s="445"/>
      <c r="AU30" s="445"/>
      <c r="AV30" s="445"/>
      <c r="AW30" s="445"/>
      <c r="AX30" s="445"/>
      <c r="AY30" s="479"/>
      <c r="AZ30" s="54"/>
    </row>
    <row r="31" spans="1:53">
      <c r="A31" s="449">
        <v>14</v>
      </c>
      <c r="B31" s="55">
        <v>135</v>
      </c>
      <c r="C31" s="64" t="s">
        <v>50</v>
      </c>
      <c r="D31" s="57" t="s">
        <v>31</v>
      </c>
      <c r="E31" s="381" t="s">
        <v>32</v>
      </c>
      <c r="F31" s="123" t="s">
        <v>14</v>
      </c>
      <c r="G31" s="332" t="s">
        <v>14</v>
      </c>
      <c r="H31" s="333" t="s">
        <v>23</v>
      </c>
      <c r="I31" s="333" t="s">
        <v>14</v>
      </c>
      <c r="J31" s="333" t="s">
        <v>14</v>
      </c>
      <c r="K31" s="333" t="s">
        <v>23</v>
      </c>
      <c r="L31" s="334" t="s">
        <v>14</v>
      </c>
      <c r="M31" s="123" t="s">
        <v>14</v>
      </c>
      <c r="N31" s="123" t="s">
        <v>23</v>
      </c>
      <c r="O31" s="123" t="s">
        <v>14</v>
      </c>
      <c r="P31" s="123" t="s">
        <v>23</v>
      </c>
      <c r="Q31" s="123" t="s">
        <v>14</v>
      </c>
      <c r="R31" s="123" t="s">
        <v>23</v>
      </c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30">
        <f>COUNTIF($F31:$AJ31,$C$126)</f>
        <v>8</v>
      </c>
      <c r="AL31" s="30">
        <f>COUNTIF($F31:$AJ31,$C$127)</f>
        <v>0</v>
      </c>
      <c r="AM31" s="30">
        <f>COUNTIF($F31:$AJ31,$C$128)</f>
        <v>0</v>
      </c>
      <c r="AN31" s="30">
        <f>COUNTIF($F31:$AJ31,$C$129)</f>
        <v>0</v>
      </c>
      <c r="AO31" s="30">
        <f>COUNTIF($F31:$AJ31,$C$130)</f>
        <v>0</v>
      </c>
      <c r="AP31" s="30">
        <f>COUNTIF($F31:$AJ31,$C$131)</f>
        <v>0</v>
      </c>
      <c r="AQ31" s="30">
        <f>COUNTIF($F31:$AJ31,$C$132)</f>
        <v>0</v>
      </c>
      <c r="AR31" s="30">
        <f>COUNTIF($F31:$AJ31,$C$133)</f>
        <v>0</v>
      </c>
      <c r="AS31" s="30">
        <f>COUNTIF($F31:$AJ31,$C$134)</f>
        <v>0</v>
      </c>
      <c r="AT31" s="30">
        <f>COUNTIF($F31:$AJ31,$C$135)</f>
        <v>5</v>
      </c>
      <c r="AU31" s="30">
        <f>COUNTIF($F31:$AJ31,$C$136)</f>
        <v>0</v>
      </c>
      <c r="AV31" s="30">
        <f>COUNTIF($F31:$AJ31,$C$137)</f>
        <v>0</v>
      </c>
      <c r="AW31" s="30">
        <f>COUNTIF($F31:$AJ31,$C$138)</f>
        <v>0</v>
      </c>
      <c r="AX31" s="30">
        <f>COUNTIF($F31:$AJ31,$C$139)</f>
        <v>0</v>
      </c>
      <c r="AY31" s="30">
        <f>COUNTA(F31:AJ31)</f>
        <v>13</v>
      </c>
      <c r="AZ31" s="54">
        <f t="shared" ref="AZ31:AZ35" si="0">AK31+AU31</f>
        <v>8</v>
      </c>
      <c r="BA31" s="54" cm="1">
        <f t="array" ref="BA31">IFERROR(
COUNTA(F31:AJ31)-MAX(IF(TRIM(F31:AJ31)="OD",COLUMN(F31:AJ31)-COLUMN(F31)+1)),"")</f>
        <v>0</v>
      </c>
    </row>
    <row r="32" spans="1:53">
      <c r="A32" s="450"/>
      <c r="B32" s="55"/>
      <c r="C32" s="64"/>
      <c r="D32" s="65"/>
      <c r="E32" s="382" t="s">
        <v>34</v>
      </c>
      <c r="F32" s="123"/>
      <c r="G32" s="123"/>
      <c r="H32" s="26"/>
      <c r="I32" s="26"/>
      <c r="J32" s="26">
        <v>3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5"/>
      <c r="AE32" s="25"/>
      <c r="AF32" s="25"/>
      <c r="AG32" s="25"/>
      <c r="AH32" s="25"/>
      <c r="AI32" s="25"/>
      <c r="AJ32" s="25"/>
      <c r="AK32" s="459">
        <f>SUM(F32:AJ32)</f>
        <v>3</v>
      </c>
      <c r="AL32" s="445"/>
      <c r="AM32" s="445"/>
      <c r="AN32" s="445"/>
      <c r="AO32" s="445"/>
      <c r="AP32" s="445"/>
      <c r="AQ32" s="445"/>
      <c r="AR32" s="445"/>
      <c r="AS32" s="445"/>
      <c r="AT32" s="445"/>
      <c r="AU32" s="445"/>
      <c r="AV32" s="445"/>
      <c r="AW32" s="445"/>
      <c r="AX32" s="445"/>
      <c r="AY32" s="479"/>
      <c r="AZ32" s="54"/>
    </row>
    <row r="33" spans="1:53">
      <c r="A33" s="449">
        <v>15</v>
      </c>
      <c r="B33" s="67">
        <v>65</v>
      </c>
      <c r="C33" s="56" t="s">
        <v>51</v>
      </c>
      <c r="D33" s="57" t="s">
        <v>31</v>
      </c>
      <c r="E33" s="381" t="s">
        <v>32</v>
      </c>
      <c r="F33" s="123" t="s">
        <v>23</v>
      </c>
      <c r="G33" s="123" t="s">
        <v>14</v>
      </c>
      <c r="H33" s="123" t="s">
        <v>14</v>
      </c>
      <c r="I33" s="123" t="s">
        <v>23</v>
      </c>
      <c r="J33" s="123" t="s">
        <v>14</v>
      </c>
      <c r="K33" s="123" t="s">
        <v>14</v>
      </c>
      <c r="L33" s="123" t="s">
        <v>23</v>
      </c>
      <c r="M33" s="123" t="s">
        <v>14</v>
      </c>
      <c r="N33" s="123" t="s">
        <v>14</v>
      </c>
      <c r="O33" s="123" t="s">
        <v>23</v>
      </c>
      <c r="P33" s="123" t="s">
        <v>14</v>
      </c>
      <c r="Q33" s="123" t="s">
        <v>14</v>
      </c>
      <c r="R33" s="123" t="s">
        <v>23</v>
      </c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30">
        <f>COUNTIF($F33:$AJ33,$C$126)</f>
        <v>8</v>
      </c>
      <c r="AL33" s="30">
        <f>COUNTIF($F33:$AJ33,$C$127)</f>
        <v>0</v>
      </c>
      <c r="AM33" s="30">
        <f>COUNTIF($F33:$AJ33,$C$128)</f>
        <v>0</v>
      </c>
      <c r="AN33" s="30">
        <f>COUNTIF($F33:$AJ33,$C$129)</f>
        <v>0</v>
      </c>
      <c r="AO33" s="30">
        <f>COUNTIF($F33:$AJ33,$C$130)</f>
        <v>0</v>
      </c>
      <c r="AP33" s="74">
        <f>COUNTIF($F33:$AJ33,$C$131)</f>
        <v>0</v>
      </c>
      <c r="AQ33" s="30">
        <f>COUNTIF($F33:$AJ33,$C$132)</f>
        <v>0</v>
      </c>
      <c r="AR33" s="30">
        <f>COUNTIF($F33:$AJ33,$C$133)</f>
        <v>0</v>
      </c>
      <c r="AS33" s="7">
        <f>COUNTIF($F33:$AJ33,$C$134)</f>
        <v>0</v>
      </c>
      <c r="AT33" s="30">
        <f>COUNTIF($F33:$AJ33,$C$135)</f>
        <v>5</v>
      </c>
      <c r="AU33" s="30">
        <f>COUNTIF($F33:$AJ33,$C$136)</f>
        <v>0</v>
      </c>
      <c r="AV33" s="30">
        <f>COUNTIF($F33:$AJ33,$C$137)</f>
        <v>0</v>
      </c>
      <c r="AW33" s="30">
        <f>COUNTIF($F33:$AJ33,$C$138)</f>
        <v>0</v>
      </c>
      <c r="AX33" s="30">
        <f>COUNTIF($F33:$AJ33,$C$139)</f>
        <v>0</v>
      </c>
      <c r="AY33" s="30">
        <f>COUNTA(F33:AJ33)</f>
        <v>13</v>
      </c>
      <c r="AZ33" s="54">
        <f t="shared" ref="AZ33:AZ37" si="1">AK33+AU33</f>
        <v>8</v>
      </c>
      <c r="BA33" s="54" cm="1">
        <f t="array" ref="BA33">IFERROR(
COUNTA(F33:AJ33)-MAX(IF(TRIM(F33:AJ33)="OD",COLUMN(F33:AJ33)-COLUMN(F33)+1)),"")</f>
        <v>0</v>
      </c>
    </row>
    <row r="34" spans="1:53">
      <c r="A34" s="450"/>
      <c r="B34" s="60"/>
      <c r="C34" s="61"/>
      <c r="D34" s="62"/>
      <c r="E34" s="382" t="s">
        <v>34</v>
      </c>
      <c r="F34" s="123"/>
      <c r="G34" s="123"/>
      <c r="H34" s="26"/>
      <c r="I34" s="26"/>
      <c r="J34" s="123"/>
      <c r="K34" s="26"/>
      <c r="L34" s="44"/>
      <c r="M34" s="44"/>
      <c r="N34" s="123"/>
      <c r="O34" s="44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5"/>
      <c r="AE34" s="25"/>
      <c r="AF34" s="24"/>
      <c r="AG34" s="24"/>
      <c r="AH34" s="24"/>
      <c r="AI34" s="25"/>
      <c r="AJ34" s="25"/>
      <c r="AK34" s="459">
        <f>SUM(F34:AJ34)</f>
        <v>0</v>
      </c>
      <c r="AL34" s="445"/>
      <c r="AM34" s="445"/>
      <c r="AN34" s="445"/>
      <c r="AO34" s="445"/>
      <c r="AP34" s="445"/>
      <c r="AQ34" s="445"/>
      <c r="AR34" s="445"/>
      <c r="AS34" s="445"/>
      <c r="AT34" s="445"/>
      <c r="AU34" s="445"/>
      <c r="AV34" s="445"/>
      <c r="AW34" s="445"/>
      <c r="AX34" s="445"/>
      <c r="AY34" s="479"/>
      <c r="AZ34" s="54"/>
    </row>
    <row r="35" spans="1:53">
      <c r="A35" s="449">
        <v>16</v>
      </c>
      <c r="B35" s="67">
        <v>43</v>
      </c>
      <c r="C35" s="56" t="s">
        <v>52</v>
      </c>
      <c r="D35" s="57" t="s">
        <v>31</v>
      </c>
      <c r="E35" s="381" t="s">
        <v>32</v>
      </c>
      <c r="F35" s="123" t="s">
        <v>14</v>
      </c>
      <c r="G35" s="123" t="s">
        <v>14</v>
      </c>
      <c r="H35" s="123" t="s">
        <v>23</v>
      </c>
      <c r="I35" s="123" t="s">
        <v>14</v>
      </c>
      <c r="J35" s="123" t="s">
        <v>14</v>
      </c>
      <c r="K35" s="123" t="s">
        <v>14</v>
      </c>
      <c r="L35" s="123" t="s">
        <v>23</v>
      </c>
      <c r="M35" s="123" t="s">
        <v>23</v>
      </c>
      <c r="N35" s="123" t="s">
        <v>14</v>
      </c>
      <c r="O35" s="123" t="s">
        <v>14</v>
      </c>
      <c r="P35" s="123" t="s">
        <v>23</v>
      </c>
      <c r="Q35" s="123" t="s">
        <v>14</v>
      </c>
      <c r="R35" s="123" t="s">
        <v>14</v>
      </c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30">
        <f>COUNTIF($F35:$AJ35,$C$126)</f>
        <v>9</v>
      </c>
      <c r="AL35" s="30">
        <f>COUNTIF($F35:$AJ35,$C$127)</f>
        <v>0</v>
      </c>
      <c r="AM35" s="30">
        <f>COUNTIF($F35:$AJ35,$C$128)</f>
        <v>0</v>
      </c>
      <c r="AN35" s="30">
        <f>COUNTIF($F35:$AJ35,$C$129)</f>
        <v>0</v>
      </c>
      <c r="AO35" s="30">
        <f>COUNTIF($F35:$AJ35,$C$130)</f>
        <v>0</v>
      </c>
      <c r="AP35" s="30">
        <f>COUNTIF($F35:$AJ35,$C$131)</f>
        <v>0</v>
      </c>
      <c r="AQ35" s="30">
        <f>COUNTIF($F35:$AJ35,$C$132)</f>
        <v>0</v>
      </c>
      <c r="AR35" s="30">
        <f>COUNTIF($F35:$AJ35,$C$133)</f>
        <v>0</v>
      </c>
      <c r="AS35" s="30">
        <f>COUNTIF($F35:$AJ35,$C$134)</f>
        <v>0</v>
      </c>
      <c r="AT35" s="30">
        <f>COUNTIF($F35:$AJ35,$C$135)</f>
        <v>4</v>
      </c>
      <c r="AU35" s="30">
        <f>COUNTIF($F35:$AJ35,$C$136)</f>
        <v>0</v>
      </c>
      <c r="AV35" s="30">
        <f>COUNTIF($F35:$AJ35,$C$137)</f>
        <v>0</v>
      </c>
      <c r="AW35" s="30">
        <f>COUNTIF($F35:$AJ35,$C$138)</f>
        <v>0</v>
      </c>
      <c r="AX35" s="30">
        <f>COUNTIF($F35:$AJ35,$C$139)</f>
        <v>0</v>
      </c>
      <c r="AY35" s="30">
        <f>COUNTA(F35:AJ35)</f>
        <v>13</v>
      </c>
      <c r="AZ35" s="54">
        <f>AK35+AU35</f>
        <v>9</v>
      </c>
      <c r="BA35" s="54" cm="1">
        <f t="array" ref="BA35">IFERROR(
COUNTA(F35:AJ35)-MAX(IF(TRIM(F35:AJ35)="OD",COLUMN(F35:AJ35)-COLUMN(F35)+1)),"")</f>
        <v>2</v>
      </c>
    </row>
    <row r="36" spans="1:53">
      <c r="A36" s="450"/>
      <c r="B36" s="60"/>
      <c r="C36" s="61"/>
      <c r="D36" s="62"/>
      <c r="E36" s="382" t="s">
        <v>34</v>
      </c>
      <c r="F36" s="26">
        <v>3</v>
      </c>
      <c r="G36" s="26">
        <v>3</v>
      </c>
      <c r="H36" s="26"/>
      <c r="I36" s="26">
        <v>3</v>
      </c>
      <c r="J36" s="26">
        <v>3</v>
      </c>
      <c r="K36" s="26">
        <v>3</v>
      </c>
      <c r="L36" s="26"/>
      <c r="M36" s="26"/>
      <c r="N36" s="26">
        <v>3</v>
      </c>
      <c r="O36" s="26">
        <v>3</v>
      </c>
      <c r="P36" s="26"/>
      <c r="Q36" s="26">
        <v>3</v>
      </c>
      <c r="R36" s="26">
        <v>3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5"/>
      <c r="AE36" s="25"/>
      <c r="AF36" s="25"/>
      <c r="AG36" s="25"/>
      <c r="AH36" s="25"/>
      <c r="AI36" s="25"/>
      <c r="AJ36" s="25"/>
      <c r="AK36" s="459">
        <f>SUM(F36:AJ36)</f>
        <v>27</v>
      </c>
      <c r="AL36" s="445"/>
      <c r="AM36" s="445"/>
      <c r="AN36" s="445"/>
      <c r="AO36" s="445"/>
      <c r="AP36" s="445"/>
      <c r="AQ36" s="445"/>
      <c r="AR36" s="445"/>
      <c r="AS36" s="445"/>
      <c r="AT36" s="445"/>
      <c r="AU36" s="445"/>
      <c r="AV36" s="445"/>
      <c r="AW36" s="445"/>
      <c r="AX36" s="445"/>
      <c r="AY36" s="479"/>
      <c r="AZ36" s="54"/>
    </row>
    <row r="37" spans="1:53">
      <c r="A37" s="449">
        <v>17</v>
      </c>
      <c r="B37" s="67">
        <v>98</v>
      </c>
      <c r="C37" s="56" t="s">
        <v>53</v>
      </c>
      <c r="D37" s="57" t="s">
        <v>31</v>
      </c>
      <c r="E37" s="381" t="s">
        <v>32</v>
      </c>
      <c r="F37" s="123" t="s">
        <v>23</v>
      </c>
      <c r="G37" s="123" t="s">
        <v>14</v>
      </c>
      <c r="H37" s="123" t="s">
        <v>14</v>
      </c>
      <c r="I37" s="123" t="s">
        <v>23</v>
      </c>
      <c r="J37" s="123" t="s">
        <v>14</v>
      </c>
      <c r="K37" s="123" t="s">
        <v>14</v>
      </c>
      <c r="L37" s="123" t="s">
        <v>14</v>
      </c>
      <c r="M37" s="123" t="s">
        <v>23</v>
      </c>
      <c r="N37" s="123" t="s">
        <v>14</v>
      </c>
      <c r="O37" s="123" t="s">
        <v>14</v>
      </c>
      <c r="P37" s="123" t="s">
        <v>23</v>
      </c>
      <c r="Q37" s="123" t="s">
        <v>14</v>
      </c>
      <c r="R37" s="123" t="s">
        <v>23</v>
      </c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30">
        <f>COUNTIF($F37:$AJ37,$C$126)</f>
        <v>8</v>
      </c>
      <c r="AL37" s="30">
        <f>COUNTIF($F37:$AJ37,$C$127)</f>
        <v>0</v>
      </c>
      <c r="AM37" s="30">
        <f>COUNTIF($F37:$AJ37,$C$128)</f>
        <v>0</v>
      </c>
      <c r="AN37" s="30">
        <f>COUNTIF($F37:$AJ37,$C$129)</f>
        <v>0</v>
      </c>
      <c r="AO37" s="30">
        <f>COUNTIF($F37:$AJ37,$C$130)</f>
        <v>0</v>
      </c>
      <c r="AP37" s="30">
        <f>COUNTIF($F37:$AJ37,$C$131)</f>
        <v>0</v>
      </c>
      <c r="AQ37" s="30">
        <f>COUNTIF($F37:$AJ37,$C$132)</f>
        <v>0</v>
      </c>
      <c r="AR37" s="30">
        <f>COUNTIF($F37:$AJ37,$C$133)</f>
        <v>0</v>
      </c>
      <c r="AS37" s="7">
        <f>COUNTIF($F37:$AJ37,$C$134)</f>
        <v>0</v>
      </c>
      <c r="AT37" s="30">
        <f>COUNTIF($F37:$AJ37,$C$135)</f>
        <v>5</v>
      </c>
      <c r="AU37" s="30">
        <f>COUNTIF($F37:$AJ37,$C$136)</f>
        <v>0</v>
      </c>
      <c r="AV37" s="30">
        <f>COUNTIF($F37:$AJ37,$C$137)</f>
        <v>0</v>
      </c>
      <c r="AW37" s="30">
        <f>COUNTIF($F37:$AJ37,$C$138)</f>
        <v>0</v>
      </c>
      <c r="AX37" s="30">
        <f>COUNTIF($F37:$AJ37,$C$139)</f>
        <v>0</v>
      </c>
      <c r="AY37" s="30">
        <f>COUNTA(F37:AJ37)</f>
        <v>13</v>
      </c>
      <c r="AZ37" s="54">
        <f>AK37+AU37</f>
        <v>8</v>
      </c>
      <c r="BA37" s="54" cm="1">
        <f t="array" ref="BA37">IFERROR(
COUNTA(F37:AJ37)-MAX(IF(TRIM(F37:AJ37)="OD",COLUMN(F37:AJ37)-COLUMN(F37)+1)),"")</f>
        <v>0</v>
      </c>
    </row>
    <row r="38" spans="1:53">
      <c r="A38" s="450"/>
      <c r="B38" s="60"/>
      <c r="C38" s="61"/>
      <c r="D38" s="62"/>
      <c r="E38" s="382" t="s">
        <v>34</v>
      </c>
      <c r="F38" s="123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5"/>
      <c r="AE38" s="25"/>
      <c r="AF38" s="25"/>
      <c r="AG38" s="25"/>
      <c r="AH38" s="25"/>
      <c r="AI38" s="25"/>
      <c r="AJ38" s="25"/>
      <c r="AK38" s="459">
        <f>SUM(F38:AJ38)</f>
        <v>0</v>
      </c>
      <c r="AL38" s="445"/>
      <c r="AM38" s="445"/>
      <c r="AN38" s="445"/>
      <c r="AO38" s="445"/>
      <c r="AP38" s="445"/>
      <c r="AQ38" s="445"/>
      <c r="AR38" s="445"/>
      <c r="AS38" s="445"/>
      <c r="AT38" s="445"/>
      <c r="AU38" s="445"/>
      <c r="AV38" s="445"/>
      <c r="AW38" s="445"/>
      <c r="AX38" s="445"/>
      <c r="AY38" s="479"/>
      <c r="AZ38" s="54"/>
    </row>
    <row r="39" spans="1:53">
      <c r="A39" s="449">
        <v>18</v>
      </c>
      <c r="B39" s="67">
        <v>120</v>
      </c>
      <c r="C39" s="56" t="s">
        <v>54</v>
      </c>
      <c r="D39" s="57" t="s">
        <v>31</v>
      </c>
      <c r="E39" s="381" t="s">
        <v>32</v>
      </c>
      <c r="F39" s="123" t="s">
        <v>14</v>
      </c>
      <c r="G39" s="123" t="s">
        <v>23</v>
      </c>
      <c r="H39" s="123" t="s">
        <v>14</v>
      </c>
      <c r="I39" s="123" t="s">
        <v>14</v>
      </c>
      <c r="J39" s="123" t="s">
        <v>14</v>
      </c>
      <c r="K39" s="123" t="s">
        <v>14</v>
      </c>
      <c r="L39" s="123" t="s">
        <v>23</v>
      </c>
      <c r="M39" s="123" t="s">
        <v>14</v>
      </c>
      <c r="N39" s="123" t="s">
        <v>14</v>
      </c>
      <c r="O39" s="123" t="s">
        <v>23</v>
      </c>
      <c r="P39" s="123" t="s">
        <v>14</v>
      </c>
      <c r="Q39" s="123" t="s">
        <v>23</v>
      </c>
      <c r="R39" s="123" t="s">
        <v>14</v>
      </c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30">
        <f>COUNTIF($F39:$AJ39,$C$126)</f>
        <v>9</v>
      </c>
      <c r="AL39" s="30">
        <f>COUNTIF($F39:$AJ39,$C$127)</f>
        <v>0</v>
      </c>
      <c r="AM39" s="30">
        <f>COUNTIF($F39:$AJ39,$C$128)</f>
        <v>0</v>
      </c>
      <c r="AN39" s="30">
        <f>COUNTIF($F39:$AJ39,$C$129)</f>
        <v>0</v>
      </c>
      <c r="AO39" s="30">
        <f>COUNTIF($F39:$AJ39,$C$130)</f>
        <v>0</v>
      </c>
      <c r="AP39" s="30">
        <f>COUNTIF($F39:$AJ39,$C$131)</f>
        <v>0</v>
      </c>
      <c r="AQ39" s="30">
        <f>COUNTIF($F39:$AJ39,$C$132)</f>
        <v>0</v>
      </c>
      <c r="AR39" s="30">
        <f>COUNTIF($F39:$AJ39,$C$133)</f>
        <v>0</v>
      </c>
      <c r="AS39" s="30">
        <f>COUNTIF($F39:$AJ39,$C$134)</f>
        <v>0</v>
      </c>
      <c r="AT39" s="30">
        <f>COUNTIF($F39:$AJ39,$C$135)</f>
        <v>4</v>
      </c>
      <c r="AU39" s="30">
        <f>COUNTIF($F39:$AJ39,$C$136)</f>
        <v>0</v>
      </c>
      <c r="AV39" s="30">
        <f>COUNTIF($F39:$AJ39,$C$137)</f>
        <v>0</v>
      </c>
      <c r="AW39" s="30">
        <f>COUNTIF($F39:$AJ39,$C$138)</f>
        <v>0</v>
      </c>
      <c r="AX39" s="30">
        <f>COUNTIF($F39:$AJ39,$C$139)</f>
        <v>0</v>
      </c>
      <c r="AY39" s="30">
        <f>COUNTA(F39:AJ39)</f>
        <v>13</v>
      </c>
      <c r="AZ39" s="54">
        <f>AK39+AU39</f>
        <v>9</v>
      </c>
      <c r="BA39" s="54" cm="1">
        <f t="array" ref="BA39">IFERROR(
COUNTA(F39:AJ39)-MAX(IF(TRIM(F39:AJ39)="OD",COLUMN(F39:AJ39)-COLUMN(F39)+1)),"")</f>
        <v>1</v>
      </c>
    </row>
    <row r="40" spans="1:53">
      <c r="A40" s="450"/>
      <c r="B40" s="60"/>
      <c r="C40" s="61"/>
      <c r="D40" s="62"/>
      <c r="E40" s="382" t="s">
        <v>34</v>
      </c>
      <c r="F40" s="26">
        <v>4</v>
      </c>
      <c r="G40" s="26"/>
      <c r="H40" s="26">
        <v>1</v>
      </c>
      <c r="I40" s="26">
        <v>2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459">
        <f>SUM(F40:AJ40)</f>
        <v>7</v>
      </c>
      <c r="AL40" s="445"/>
      <c r="AM40" s="445"/>
      <c r="AN40" s="445"/>
      <c r="AO40" s="445"/>
      <c r="AP40" s="445"/>
      <c r="AQ40" s="445"/>
      <c r="AR40" s="445"/>
      <c r="AS40" s="445"/>
      <c r="AT40" s="445"/>
      <c r="AU40" s="445"/>
      <c r="AV40" s="445"/>
      <c r="AW40" s="445"/>
      <c r="AX40" s="445"/>
      <c r="AY40" s="479"/>
      <c r="AZ40" s="54"/>
    </row>
    <row r="41" spans="1:53">
      <c r="A41" s="449">
        <v>19</v>
      </c>
      <c r="B41" s="67">
        <v>47</v>
      </c>
      <c r="C41" s="56" t="s">
        <v>55</v>
      </c>
      <c r="D41" s="57" t="s">
        <v>31</v>
      </c>
      <c r="E41" s="381" t="s">
        <v>32</v>
      </c>
      <c r="F41" s="123" t="s">
        <v>14</v>
      </c>
      <c r="G41" s="123" t="s">
        <v>14</v>
      </c>
      <c r="H41" s="123" t="s">
        <v>23</v>
      </c>
      <c r="I41" s="123" t="s">
        <v>14</v>
      </c>
      <c r="J41" s="123" t="s">
        <v>14</v>
      </c>
      <c r="K41" s="123" t="s">
        <v>23</v>
      </c>
      <c r="L41" s="123" t="s">
        <v>14</v>
      </c>
      <c r="M41" s="123" t="s">
        <v>14</v>
      </c>
      <c r="N41" s="123" t="s">
        <v>14</v>
      </c>
      <c r="O41" s="123" t="s">
        <v>23</v>
      </c>
      <c r="P41" s="123" t="s">
        <v>14</v>
      </c>
      <c r="Q41" s="123" t="s">
        <v>23</v>
      </c>
      <c r="R41" s="123" t="s">
        <v>14</v>
      </c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 t="s">
        <v>22</v>
      </c>
      <c r="AK41" s="30">
        <f>COUNTIF($F41:$AJ41,$C$126)</f>
        <v>9</v>
      </c>
      <c r="AL41" s="30">
        <f>COUNTIF($F41:$AJ41,$C$127)</f>
        <v>0</v>
      </c>
      <c r="AM41" s="30">
        <f>COUNTIF($F41:$AJ41,$C$128)</f>
        <v>0</v>
      </c>
      <c r="AN41" s="30">
        <f>COUNTIF($F41:$AJ41,$C$129)</f>
        <v>0</v>
      </c>
      <c r="AO41" s="30">
        <f>COUNTIF($F41:$AJ41,$C$130)</f>
        <v>0</v>
      </c>
      <c r="AP41" s="30">
        <f>COUNTIF($F41:$AJ41,$C$131)</f>
        <v>0</v>
      </c>
      <c r="AQ41" s="30">
        <f>COUNTIF($F41:$AJ41,$C$132)</f>
        <v>0</v>
      </c>
      <c r="AR41" s="7">
        <f>COUNTIF($F41:$AJ41,$C$133)</f>
        <v>0</v>
      </c>
      <c r="AS41" s="30">
        <f>COUNTIF($F41:$AJ41,$C$134)</f>
        <v>1</v>
      </c>
      <c r="AT41" s="30">
        <f>COUNTIF($F41:$AJ41,$C$135)</f>
        <v>4</v>
      </c>
      <c r="AU41" s="30">
        <f>COUNTIF($F41:$AJ41,$C$136)</f>
        <v>0</v>
      </c>
      <c r="AV41" s="30">
        <f>COUNTIF($F41:$AJ41,$C$137)</f>
        <v>0</v>
      </c>
      <c r="AW41" s="30">
        <f>COUNTIF($F41:$AJ41,$C$138)</f>
        <v>0</v>
      </c>
      <c r="AX41" s="30">
        <f>COUNTIF($F41:$AJ41,$C$139)</f>
        <v>0</v>
      </c>
      <c r="AY41" s="30">
        <f>COUNTA(F41:AJ41)</f>
        <v>14</v>
      </c>
      <c r="AZ41" s="54">
        <f>AK41+AU41</f>
        <v>9</v>
      </c>
      <c r="BA41" s="54" cm="1">
        <f t="array" ref="BA41">IFERROR(
COUNTA(F41:AJ41)-MAX(IF(TRIM(F41:AJ41)="OD",COLUMN(F41:AJ41)-COLUMN(F41)+1)),"")</f>
        <v>2</v>
      </c>
    </row>
    <row r="42" spans="1:53">
      <c r="A42" s="450"/>
      <c r="B42" s="60"/>
      <c r="C42" s="61"/>
      <c r="D42" s="62"/>
      <c r="E42" s="382" t="s">
        <v>34</v>
      </c>
      <c r="F42" s="26"/>
      <c r="G42" s="123">
        <v>3</v>
      </c>
      <c r="H42" s="26"/>
      <c r="I42" s="26"/>
      <c r="J42" s="123"/>
      <c r="K42" s="26"/>
      <c r="L42" s="44"/>
      <c r="M42" s="44"/>
      <c r="N42" s="123"/>
      <c r="O42" s="44"/>
      <c r="P42" s="26"/>
      <c r="Q42" s="26"/>
      <c r="R42" s="26">
        <v>3</v>
      </c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5"/>
      <c r="AE42" s="25"/>
      <c r="AF42" s="24"/>
      <c r="AG42" s="24"/>
      <c r="AH42" s="24"/>
      <c r="AI42" s="25"/>
      <c r="AJ42" s="25"/>
      <c r="AK42" s="459">
        <f>SUM(F42:AJ42)</f>
        <v>6</v>
      </c>
      <c r="AL42" s="445"/>
      <c r="AM42" s="445"/>
      <c r="AN42" s="445"/>
      <c r="AO42" s="445"/>
      <c r="AP42" s="445"/>
      <c r="AQ42" s="445"/>
      <c r="AR42" s="445"/>
      <c r="AS42" s="445"/>
      <c r="AT42" s="445"/>
      <c r="AU42" s="445"/>
      <c r="AV42" s="445"/>
      <c r="AW42" s="445"/>
      <c r="AX42" s="445"/>
      <c r="AY42" s="479"/>
      <c r="AZ42" s="54"/>
    </row>
    <row r="43" spans="1:53">
      <c r="A43" s="449">
        <v>20</v>
      </c>
      <c r="B43" s="67">
        <v>102</v>
      </c>
      <c r="C43" s="56" t="s">
        <v>56</v>
      </c>
      <c r="D43" s="57" t="s">
        <v>31</v>
      </c>
      <c r="E43" s="381" t="s">
        <v>32</v>
      </c>
      <c r="F43" s="123" t="s">
        <v>14</v>
      </c>
      <c r="G43" s="123" t="s">
        <v>23</v>
      </c>
      <c r="H43" s="123" t="s">
        <v>14</v>
      </c>
      <c r="I43" s="123" t="s">
        <v>14</v>
      </c>
      <c r="J43" s="123" t="s">
        <v>14</v>
      </c>
      <c r="K43" s="123" t="s">
        <v>23</v>
      </c>
      <c r="L43" s="123" t="s">
        <v>14</v>
      </c>
      <c r="M43" s="123" t="s">
        <v>14</v>
      </c>
      <c r="N43" s="123" t="s">
        <v>23</v>
      </c>
      <c r="O43" s="123" t="s">
        <v>14</v>
      </c>
      <c r="P43" s="123" t="s">
        <v>23</v>
      </c>
      <c r="Q43" s="123" t="s">
        <v>14</v>
      </c>
      <c r="R43" s="123" t="s">
        <v>23</v>
      </c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24"/>
      <c r="AI43" s="24"/>
      <c r="AJ43" s="24"/>
      <c r="AK43" s="30">
        <f>COUNTIF($F43:$AJ43,$C$126)</f>
        <v>8</v>
      </c>
      <c r="AL43" s="30">
        <f>COUNTIF($F43:$AJ43,$C$127)</f>
        <v>0</v>
      </c>
      <c r="AM43" s="30">
        <f>COUNTIF($F43:$AJ43,$C$128)</f>
        <v>0</v>
      </c>
      <c r="AN43" s="30">
        <f>COUNTIF($F43:$AJ43,$C$129)</f>
        <v>0</v>
      </c>
      <c r="AO43" s="30">
        <f>COUNTIF($F43:$AJ43,$C$130)</f>
        <v>0</v>
      </c>
      <c r="AP43" s="30">
        <f>COUNTIF($F43:$AJ43,$C$131)</f>
        <v>0</v>
      </c>
      <c r="AQ43" s="30">
        <f>COUNTIF($F43:$AJ43,$C$132)</f>
        <v>0</v>
      </c>
      <c r="AR43" s="7">
        <f>COUNTIF($F43:$AJ43,$C$133)</f>
        <v>0</v>
      </c>
      <c r="AS43" s="30">
        <f>COUNTIF($F43:$AJ43,$C$134)</f>
        <v>0</v>
      </c>
      <c r="AT43" s="30">
        <f>COUNTIF($F43:$AJ43,$C$135)</f>
        <v>5</v>
      </c>
      <c r="AU43" s="30">
        <f>COUNTIF($F43:$AJ43,$C$136)</f>
        <v>0</v>
      </c>
      <c r="AV43" s="30">
        <f>COUNTIF($F43:$AJ43,$C$137)</f>
        <v>0</v>
      </c>
      <c r="AW43" s="30">
        <f>COUNTIF($F43:$AJ43,$C$138)</f>
        <v>0</v>
      </c>
      <c r="AX43" s="30">
        <f>COUNTIF($F43:$AJ43,$C$139)</f>
        <v>0</v>
      </c>
      <c r="AY43" s="30">
        <f>COUNTA(F43:AJ43)</f>
        <v>13</v>
      </c>
      <c r="AZ43" s="54">
        <f>AK43+AU43</f>
        <v>8</v>
      </c>
      <c r="BA43" s="54" cm="1">
        <f t="array" ref="BA43">IFERROR(
COUNTA(F43:AJ43)-MAX(IF(TRIM(F43:AJ43)="OD",COLUMN(F43:AJ43)-COLUMN(F43)+1)),"")</f>
        <v>0</v>
      </c>
    </row>
    <row r="44" spans="1:53">
      <c r="A44" s="450"/>
      <c r="B44" s="60"/>
      <c r="C44" s="61"/>
      <c r="D44" s="62"/>
      <c r="E44" s="382" t="s">
        <v>34</v>
      </c>
      <c r="F44" s="26">
        <v>3</v>
      </c>
      <c r="G44" s="123"/>
      <c r="H44" s="26">
        <v>3</v>
      </c>
      <c r="I44" s="26">
        <v>3</v>
      </c>
      <c r="J44" s="123"/>
      <c r="K44" s="26"/>
      <c r="L44" s="26"/>
      <c r="M44" s="26">
        <v>3</v>
      </c>
      <c r="N44" s="26"/>
      <c r="O44" s="26">
        <v>3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5"/>
      <c r="AE44" s="25"/>
      <c r="AF44" s="25"/>
      <c r="AG44" s="25"/>
      <c r="AH44" s="25"/>
      <c r="AI44" s="25"/>
      <c r="AJ44" s="25"/>
      <c r="AK44" s="459">
        <f>SUM(F44:AJ44)</f>
        <v>15</v>
      </c>
      <c r="AL44" s="445"/>
      <c r="AM44" s="445"/>
      <c r="AN44" s="445"/>
      <c r="AO44" s="445"/>
      <c r="AP44" s="445"/>
      <c r="AQ44" s="445"/>
      <c r="AR44" s="445"/>
      <c r="AS44" s="445"/>
      <c r="AT44" s="445"/>
      <c r="AU44" s="445"/>
      <c r="AV44" s="445"/>
      <c r="AW44" s="445"/>
      <c r="AX44" s="445"/>
      <c r="AY44" s="479"/>
      <c r="AZ44" s="54"/>
    </row>
    <row r="45" spans="1:53">
      <c r="A45" s="449">
        <v>21</v>
      </c>
      <c r="B45" s="67">
        <v>119</v>
      </c>
      <c r="C45" s="56" t="s">
        <v>57</v>
      </c>
      <c r="D45" s="57" t="s">
        <v>31</v>
      </c>
      <c r="E45" s="381" t="s">
        <v>32</v>
      </c>
      <c r="F45" s="123" t="s">
        <v>23</v>
      </c>
      <c r="G45" s="123" t="s">
        <v>14</v>
      </c>
      <c r="H45" s="123" t="s">
        <v>14</v>
      </c>
      <c r="I45" s="123" t="s">
        <v>14</v>
      </c>
      <c r="J45" s="123" t="s">
        <v>23</v>
      </c>
      <c r="K45" s="123" t="s">
        <v>14</v>
      </c>
      <c r="L45" s="123" t="s">
        <v>14</v>
      </c>
      <c r="M45" s="123" t="s">
        <v>23</v>
      </c>
      <c r="N45" s="123" t="s">
        <v>14</v>
      </c>
      <c r="O45" s="123" t="s">
        <v>14</v>
      </c>
      <c r="P45" s="123" t="s">
        <v>23</v>
      </c>
      <c r="Q45" s="123" t="s">
        <v>14</v>
      </c>
      <c r="R45" s="123" t="s">
        <v>14</v>
      </c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30">
        <f>COUNTIF($F45:$AJ45,$C$126)</f>
        <v>9</v>
      </c>
      <c r="AL45" s="30">
        <f>COUNTIF($F45:$AJ45,$C$127)</f>
        <v>0</v>
      </c>
      <c r="AM45" s="30">
        <f>COUNTIF($F45:$AJ45,$C$128)</f>
        <v>0</v>
      </c>
      <c r="AN45" s="30">
        <f>COUNTIF($F45:$AJ45,$C$129)</f>
        <v>0</v>
      </c>
      <c r="AO45" s="30">
        <f>COUNTIF($F45:$AJ45,$C$130)</f>
        <v>0</v>
      </c>
      <c r="AP45" s="30">
        <f>COUNTIF($F45:$AJ45,$C$131)</f>
        <v>0</v>
      </c>
      <c r="AQ45" s="30">
        <f>COUNTIF($F45:$AJ45,$C$132)</f>
        <v>0</v>
      </c>
      <c r="AR45" s="30">
        <f>COUNTIF($F45:$AJ45,$C$133)</f>
        <v>0</v>
      </c>
      <c r="AS45" s="30">
        <f>COUNTIF($F45:$AJ45,$C$134)</f>
        <v>0</v>
      </c>
      <c r="AT45" s="30">
        <f>COUNTIF($F45:$AJ45,$C$135)</f>
        <v>4</v>
      </c>
      <c r="AU45" s="30">
        <f>COUNTIF($F45:$AJ45,$C$136)</f>
        <v>0</v>
      </c>
      <c r="AV45" s="30">
        <f>COUNTIF($F45:$AJ45,$C$137)</f>
        <v>0</v>
      </c>
      <c r="AW45" s="30">
        <f>COUNTIF($F45:$AJ45,$C$138)</f>
        <v>0</v>
      </c>
      <c r="AX45" s="30">
        <f>COUNTIF($F45:$AJ45,$C$139)</f>
        <v>0</v>
      </c>
      <c r="AY45" s="30">
        <f>COUNTA(F45:AJ45)</f>
        <v>13</v>
      </c>
      <c r="AZ45" s="54">
        <f>AK45+AU45</f>
        <v>9</v>
      </c>
      <c r="BA45" s="54" cm="1">
        <f t="array" ref="BA45">IFERROR(
COUNTA(F45:AJ45)-MAX(IF(TRIM(F45:AJ45)="OD",COLUMN(F45:AJ45)-COLUMN(F45)+1)),"")</f>
        <v>2</v>
      </c>
    </row>
    <row r="46" spans="1:53">
      <c r="A46" s="450"/>
      <c r="B46" s="60"/>
      <c r="C46" s="61"/>
      <c r="D46" s="62"/>
      <c r="E46" s="382" t="s">
        <v>34</v>
      </c>
      <c r="F46" s="123"/>
      <c r="G46" s="26">
        <v>3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5"/>
      <c r="AE46" s="25"/>
      <c r="AF46" s="25"/>
      <c r="AG46" s="25"/>
      <c r="AH46" s="25"/>
      <c r="AI46" s="25"/>
      <c r="AJ46" s="25"/>
      <c r="AK46" s="459">
        <f>SUM(F46:AJ46)</f>
        <v>3</v>
      </c>
      <c r="AL46" s="445"/>
      <c r="AM46" s="445"/>
      <c r="AN46" s="445"/>
      <c r="AO46" s="445"/>
      <c r="AP46" s="445"/>
      <c r="AQ46" s="445"/>
      <c r="AR46" s="445"/>
      <c r="AS46" s="445"/>
      <c r="AT46" s="445"/>
      <c r="AU46" s="445"/>
      <c r="AV46" s="445"/>
      <c r="AW46" s="445"/>
      <c r="AX46" s="445"/>
      <c r="AY46" s="479"/>
      <c r="AZ46" s="54"/>
    </row>
    <row r="47" spans="1:53">
      <c r="A47" s="449">
        <v>22</v>
      </c>
      <c r="B47" s="67">
        <v>6</v>
      </c>
      <c r="C47" s="56" t="s">
        <v>58</v>
      </c>
      <c r="D47" s="57" t="s">
        <v>31</v>
      </c>
      <c r="E47" s="381" t="s">
        <v>32</v>
      </c>
      <c r="F47" s="123" t="s">
        <v>23</v>
      </c>
      <c r="G47" s="123" t="s">
        <v>14</v>
      </c>
      <c r="H47" s="123" t="s">
        <v>14</v>
      </c>
      <c r="I47" s="123" t="s">
        <v>14</v>
      </c>
      <c r="J47" s="123" t="s">
        <v>14</v>
      </c>
      <c r="K47" s="123" t="s">
        <v>23</v>
      </c>
      <c r="L47" s="123" t="s">
        <v>14</v>
      </c>
      <c r="M47" s="123" t="s">
        <v>14</v>
      </c>
      <c r="N47" s="123" t="s">
        <v>23</v>
      </c>
      <c r="O47" s="123" t="s">
        <v>14</v>
      </c>
      <c r="P47" s="123" t="s">
        <v>23</v>
      </c>
      <c r="Q47" s="123" t="s">
        <v>14</v>
      </c>
      <c r="R47" s="123" t="s">
        <v>23</v>
      </c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 t="s">
        <v>22</v>
      </c>
      <c r="AJ47" s="123" t="s">
        <v>22</v>
      </c>
      <c r="AK47" s="30">
        <f>COUNTIF($F47:$AJ47,$C$126)</f>
        <v>8</v>
      </c>
      <c r="AL47" s="30">
        <f>COUNTIF($F47:$AJ47,$C$127)</f>
        <v>0</v>
      </c>
      <c r="AM47" s="30">
        <f>COUNTIF($F47:$AJ47,$C$128)</f>
        <v>0</v>
      </c>
      <c r="AN47" s="30">
        <f>COUNTIF($F47:$AJ47,$C$129)</f>
        <v>0</v>
      </c>
      <c r="AO47" s="30">
        <f>COUNTIF($F47:$AJ47,$C$130)</f>
        <v>0</v>
      </c>
      <c r="AP47" s="30">
        <f>COUNTIF($F47:$AJ47,$C$131)</f>
        <v>0</v>
      </c>
      <c r="AQ47" s="30">
        <f>COUNTIF($F47:$AJ47,$C$132)</f>
        <v>0</v>
      </c>
      <c r="AR47" s="7">
        <f>COUNTIF($F47:$AJ47,$C$133)</f>
        <v>0</v>
      </c>
      <c r="AS47" s="7">
        <f>COUNTIF($F47:$AJ47,$C$134)</f>
        <v>2</v>
      </c>
      <c r="AT47" s="30">
        <f>COUNTIF($F47:$AJ47,$C$135)</f>
        <v>5</v>
      </c>
      <c r="AU47" s="30">
        <f>COUNTIF($F47:$AJ47,$C$136)</f>
        <v>0</v>
      </c>
      <c r="AV47" s="30">
        <f>COUNTIF($F47:$AJ47,$C$137)</f>
        <v>0</v>
      </c>
      <c r="AW47" s="30">
        <f>COUNTIF($F47:$AJ47,$C$138)</f>
        <v>0</v>
      </c>
      <c r="AX47" s="30">
        <f>COUNTIF($F47:$AJ47,$C$139)</f>
        <v>0</v>
      </c>
      <c r="AY47" s="30">
        <f>COUNTA(F47:AJ47)</f>
        <v>15</v>
      </c>
      <c r="AZ47" s="54">
        <f>AK47+AU47</f>
        <v>8</v>
      </c>
      <c r="BA47" s="54" cm="1">
        <f t="array" ref="BA47">IFERROR(
COUNTA(F47:AJ47)-MAX(IF(TRIM(F47:AJ47)="OD",COLUMN(F47:AJ47)-COLUMN(F47)+1)),"")</f>
        <v>2</v>
      </c>
    </row>
    <row r="48" spans="1:53">
      <c r="A48" s="450"/>
      <c r="B48" s="60"/>
      <c r="C48" s="61"/>
      <c r="D48" s="62"/>
      <c r="E48" s="382" t="s">
        <v>34</v>
      </c>
      <c r="F48" s="123"/>
      <c r="G48" s="12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5"/>
      <c r="AE48" s="25"/>
      <c r="AF48" s="25"/>
      <c r="AG48" s="25"/>
      <c r="AH48" s="25"/>
      <c r="AI48" s="25"/>
      <c r="AJ48" s="25"/>
      <c r="AK48" s="459">
        <f>SUM(F48:AJ48)</f>
        <v>0</v>
      </c>
      <c r="AL48" s="445"/>
      <c r="AM48" s="445"/>
      <c r="AN48" s="445"/>
      <c r="AO48" s="445"/>
      <c r="AP48" s="445"/>
      <c r="AQ48" s="445"/>
      <c r="AR48" s="445"/>
      <c r="AS48" s="445"/>
      <c r="AT48" s="445"/>
      <c r="AU48" s="445"/>
      <c r="AV48" s="445"/>
      <c r="AW48" s="445"/>
      <c r="AX48" s="445"/>
      <c r="AY48" s="479"/>
      <c r="AZ48" s="54"/>
    </row>
    <row r="49" spans="1:53">
      <c r="A49" s="449">
        <v>23</v>
      </c>
      <c r="B49" s="67">
        <v>115</v>
      </c>
      <c r="C49" s="56" t="s">
        <v>59</v>
      </c>
      <c r="D49" s="57" t="s">
        <v>31</v>
      </c>
      <c r="E49" s="383" t="s">
        <v>32</v>
      </c>
      <c r="F49" s="130" t="s">
        <v>14</v>
      </c>
      <c r="G49" s="123" t="s">
        <v>14</v>
      </c>
      <c r="H49" s="123" t="s">
        <v>23</v>
      </c>
      <c r="I49" s="123" t="s">
        <v>14</v>
      </c>
      <c r="J49" s="123" t="s">
        <v>14</v>
      </c>
      <c r="K49" s="123" t="s">
        <v>23</v>
      </c>
      <c r="L49" s="123" t="s">
        <v>14</v>
      </c>
      <c r="M49" s="123" t="s">
        <v>14</v>
      </c>
      <c r="N49" s="123" t="s">
        <v>23</v>
      </c>
      <c r="O49" s="123" t="s">
        <v>14</v>
      </c>
      <c r="P49" s="123" t="s">
        <v>14</v>
      </c>
      <c r="Q49" s="123" t="s">
        <v>23</v>
      </c>
      <c r="R49" s="123" t="s">
        <v>14</v>
      </c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30">
        <f>COUNTIF($F49:$AJ49,$C$126)</f>
        <v>9</v>
      </c>
      <c r="AL49" s="30">
        <f>COUNTIF($F49:$AJ49,$C$127)</f>
        <v>0</v>
      </c>
      <c r="AM49" s="30">
        <f>COUNTIF($F49:$AJ49,$C$128)</f>
        <v>0</v>
      </c>
      <c r="AN49" s="30">
        <f>COUNTIF($F49:$AJ49,$C$129)</f>
        <v>0</v>
      </c>
      <c r="AO49" s="30">
        <f>COUNTIF($F49:$AJ49,$C$130)</f>
        <v>0</v>
      </c>
      <c r="AP49" s="30">
        <f>COUNTIF($F49:$AJ49,$C$131)</f>
        <v>0</v>
      </c>
      <c r="AQ49" s="30">
        <f>COUNTIF($F49:$AJ49,$C$132)</f>
        <v>0</v>
      </c>
      <c r="AR49" s="30">
        <f>COUNTIF($F49:$AJ49,$C$133)</f>
        <v>0</v>
      </c>
      <c r="AS49" s="30">
        <f>COUNTIF($F49:$AJ49,$C$134)</f>
        <v>0</v>
      </c>
      <c r="AT49" s="30">
        <f>COUNTIF($F49:$AJ49,$C$135)</f>
        <v>4</v>
      </c>
      <c r="AU49" s="30">
        <f>COUNTIF($F49:$AJ49,$C$136)</f>
        <v>0</v>
      </c>
      <c r="AV49" s="30">
        <f>COUNTIF($F49:$AJ49,$C$137)</f>
        <v>0</v>
      </c>
      <c r="AW49" s="30">
        <f>COUNTIF($F49:$AJ49,$C$138)</f>
        <v>0</v>
      </c>
      <c r="AX49" s="30">
        <f>COUNTIF($F49:$AJ49,$C$139)</f>
        <v>0</v>
      </c>
      <c r="AY49" s="30">
        <f>COUNTA(F49:AJ49)</f>
        <v>13</v>
      </c>
      <c r="AZ49" s="54">
        <f>AK49+AU49</f>
        <v>9</v>
      </c>
      <c r="BA49" s="54" cm="1">
        <f t="array" ref="BA49">IFERROR(
COUNTA(F49:AJ49)-MAX(IF(TRIM(F49:AJ49)="OD",COLUMN(F49:AJ49)-COLUMN(F49)+1)),"")</f>
        <v>1</v>
      </c>
    </row>
    <row r="50" spans="1:53">
      <c r="A50" s="450"/>
      <c r="B50" s="60"/>
      <c r="C50" s="61"/>
      <c r="D50" s="61"/>
      <c r="E50" s="69" t="s">
        <v>34</v>
      </c>
      <c r="F50" s="421">
        <v>3</v>
      </c>
      <c r="G50" s="123">
        <v>3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5"/>
      <c r="AE50" s="25"/>
      <c r="AF50" s="24"/>
      <c r="AG50" s="24"/>
      <c r="AH50" s="24"/>
      <c r="AI50" s="25"/>
      <c r="AJ50" s="25"/>
      <c r="AK50" s="459">
        <f>SUM(F50:AJ50)</f>
        <v>6</v>
      </c>
      <c r="AL50" s="445"/>
      <c r="AM50" s="445"/>
      <c r="AN50" s="445"/>
      <c r="AO50" s="445"/>
      <c r="AP50" s="445"/>
      <c r="AQ50" s="445"/>
      <c r="AR50" s="445"/>
      <c r="AS50" s="445"/>
      <c r="AT50" s="445"/>
      <c r="AU50" s="445"/>
      <c r="AV50" s="445"/>
      <c r="AW50" s="445"/>
      <c r="AX50" s="445"/>
      <c r="AY50" s="479"/>
      <c r="AZ50" s="54"/>
    </row>
    <row r="51" spans="1:53">
      <c r="A51" s="449">
        <v>24</v>
      </c>
      <c r="B51" s="67">
        <v>64</v>
      </c>
      <c r="C51" s="56" t="s">
        <v>60</v>
      </c>
      <c r="D51" s="56" t="s">
        <v>31</v>
      </c>
      <c r="E51" s="71" t="s">
        <v>32</v>
      </c>
      <c r="F51" s="400" t="s">
        <v>14</v>
      </c>
      <c r="G51" s="123" t="s">
        <v>23</v>
      </c>
      <c r="H51" s="123" t="s">
        <v>14</v>
      </c>
      <c r="I51" s="123" t="s">
        <v>14</v>
      </c>
      <c r="J51" s="123" t="s">
        <v>23</v>
      </c>
      <c r="K51" s="123" t="s">
        <v>14</v>
      </c>
      <c r="L51" s="123" t="s">
        <v>23</v>
      </c>
      <c r="M51" s="123" t="s">
        <v>14</v>
      </c>
      <c r="N51" s="123" t="s">
        <v>14</v>
      </c>
      <c r="O51" s="123" t="s">
        <v>23</v>
      </c>
      <c r="P51" s="123" t="s">
        <v>14</v>
      </c>
      <c r="Q51" s="123" t="s">
        <v>14</v>
      </c>
      <c r="R51" s="123" t="s">
        <v>23</v>
      </c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30">
        <f>COUNTIF($F51:$AJ51,$C$126)</f>
        <v>8</v>
      </c>
      <c r="AL51" s="30">
        <f>COUNTIF($F51:$AJ51,$C$127)</f>
        <v>0</v>
      </c>
      <c r="AM51" s="30">
        <f>COUNTIF($F51:$AJ51,$C$128)</f>
        <v>0</v>
      </c>
      <c r="AN51" s="30">
        <f>COUNTIF($F51:$AJ51,$C$129)</f>
        <v>0</v>
      </c>
      <c r="AO51" s="30">
        <f>COUNTIF($F51:$AJ51,$C$130)</f>
        <v>0</v>
      </c>
      <c r="AP51" s="30">
        <f>COUNTIF($F51:$AJ51,$C$131)</f>
        <v>0</v>
      </c>
      <c r="AQ51" s="30">
        <f>COUNTIF($F51:$AJ51,$C$132)</f>
        <v>0</v>
      </c>
      <c r="AR51" s="30">
        <f>COUNTIF($F51:$AJ51,$C$133)</f>
        <v>0</v>
      </c>
      <c r="AS51" s="7">
        <f>COUNTIF($F51:$AJ51,$C$134)</f>
        <v>0</v>
      </c>
      <c r="AT51" s="30">
        <f>COUNTIF($F51:$AJ51,$C$135)</f>
        <v>5</v>
      </c>
      <c r="AU51" s="30">
        <f>COUNTIF($F51:$AJ51,$C$136)</f>
        <v>0</v>
      </c>
      <c r="AV51" s="30">
        <f>COUNTIF($F51:$AJ51,$C$137)</f>
        <v>0</v>
      </c>
      <c r="AW51" s="30">
        <f>COUNTIF($F51:$AJ51,$C$138)</f>
        <v>0</v>
      </c>
      <c r="AX51" s="30">
        <f>COUNTIF($F51:$AJ51,$C$139)</f>
        <v>0</v>
      </c>
      <c r="AY51" s="30">
        <f>COUNTA(F51:AJ51)</f>
        <v>13</v>
      </c>
      <c r="AZ51" s="54">
        <f>AK51+AU51</f>
        <v>8</v>
      </c>
      <c r="BA51" s="54" cm="1">
        <f t="array" ref="BA51">IFERROR(
COUNTA(F51:AJ51)-MAX(IF(TRIM(F51:AJ51)="OD",COLUMN(F51:AJ51)-COLUMN(F51)+1)),"")</f>
        <v>0</v>
      </c>
    </row>
    <row r="52" spans="1:53">
      <c r="A52" s="450"/>
      <c r="B52" s="60"/>
      <c r="C52" s="61"/>
      <c r="D52" s="61"/>
      <c r="E52" s="73" t="s">
        <v>34</v>
      </c>
      <c r="F52" s="242">
        <v>3</v>
      </c>
      <c r="G52" s="26"/>
      <c r="H52" s="26">
        <v>3</v>
      </c>
      <c r="I52" s="26">
        <v>3</v>
      </c>
      <c r="J52" s="26"/>
      <c r="K52" s="26">
        <v>3</v>
      </c>
      <c r="L52" s="26"/>
      <c r="M52" s="26">
        <v>3</v>
      </c>
      <c r="N52" s="26">
        <v>3</v>
      </c>
      <c r="O52" s="26"/>
      <c r="P52" s="26">
        <v>3</v>
      </c>
      <c r="Q52" s="26">
        <v>3</v>
      </c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5"/>
      <c r="AE52" s="25"/>
      <c r="AF52" s="25"/>
      <c r="AG52" s="25"/>
      <c r="AH52" s="25"/>
      <c r="AI52" s="25"/>
      <c r="AJ52" s="25"/>
      <c r="AK52" s="459">
        <f>SUM(F52:AJ52)</f>
        <v>24</v>
      </c>
      <c r="AL52" s="445"/>
      <c r="AM52" s="445"/>
      <c r="AN52" s="445"/>
      <c r="AO52" s="445"/>
      <c r="AP52" s="445"/>
      <c r="AQ52" s="445"/>
      <c r="AR52" s="445"/>
      <c r="AS52" s="445"/>
      <c r="AT52" s="445"/>
      <c r="AU52" s="445"/>
      <c r="AV52" s="445"/>
      <c r="AW52" s="445"/>
      <c r="AX52" s="445"/>
      <c r="AY52" s="479"/>
      <c r="AZ52" s="54"/>
    </row>
    <row r="53" spans="1:53">
      <c r="A53" s="449">
        <v>25</v>
      </c>
      <c r="B53" s="67">
        <v>65</v>
      </c>
      <c r="C53" s="56" t="s">
        <v>61</v>
      </c>
      <c r="D53" s="56" t="s">
        <v>31</v>
      </c>
      <c r="E53" s="71" t="s">
        <v>32</v>
      </c>
      <c r="F53" s="400" t="s">
        <v>14</v>
      </c>
      <c r="G53" s="123" t="s">
        <v>23</v>
      </c>
      <c r="H53" s="123" t="s">
        <v>14</v>
      </c>
      <c r="I53" s="123" t="s">
        <v>14</v>
      </c>
      <c r="J53" s="123" t="s">
        <v>23</v>
      </c>
      <c r="K53" s="123" t="s">
        <v>14</v>
      </c>
      <c r="L53" s="123" t="s">
        <v>14</v>
      </c>
      <c r="M53" s="123" t="s">
        <v>14</v>
      </c>
      <c r="N53" s="123" t="s">
        <v>14</v>
      </c>
      <c r="O53" s="123" t="s">
        <v>23</v>
      </c>
      <c r="P53" s="123" t="s">
        <v>14</v>
      </c>
      <c r="Q53" s="123" t="s">
        <v>23</v>
      </c>
      <c r="R53" s="123" t="s">
        <v>23</v>
      </c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30">
        <f>COUNTIF($F53:$AJ53,$C$126)</f>
        <v>8</v>
      </c>
      <c r="AL53" s="30">
        <f>COUNTIF($F53:$AJ53,$C$127)</f>
        <v>0</v>
      </c>
      <c r="AM53" s="30">
        <f>COUNTIF($F53:$AJ53,$C$128)</f>
        <v>0</v>
      </c>
      <c r="AN53" s="30">
        <f>COUNTIF($F53:$AJ53,$C$129)</f>
        <v>0</v>
      </c>
      <c r="AO53" s="30">
        <f>COUNTIF($F53:$AJ53,$C$130)</f>
        <v>0</v>
      </c>
      <c r="AP53" s="30">
        <f>COUNTIF($F53:$AJ53,$C$131)</f>
        <v>0</v>
      </c>
      <c r="AQ53" s="30">
        <f>COUNTIF($F53:$AJ53,$C$132)</f>
        <v>0</v>
      </c>
      <c r="AR53" s="30">
        <f>COUNTIF($F53:$AJ53,$C$133)</f>
        <v>0</v>
      </c>
      <c r="AS53" s="30">
        <f>COUNTIF($F53:$AJ53,$C$134)</f>
        <v>0</v>
      </c>
      <c r="AT53" s="30">
        <f>COUNTIF($F53:$AJ53,$C$135)</f>
        <v>5</v>
      </c>
      <c r="AU53" s="30">
        <f>COUNTIF($F53:$AJ53,$C$136)</f>
        <v>0</v>
      </c>
      <c r="AV53" s="30">
        <f>COUNTIF($F53:$AJ53,$C$137)</f>
        <v>0</v>
      </c>
      <c r="AW53" s="30">
        <f>COUNTIF($F53:$AJ53,$C$138)</f>
        <v>0</v>
      </c>
      <c r="AX53" s="30">
        <f>COUNTIF($F53:$AJ53,$C$139)</f>
        <v>0</v>
      </c>
      <c r="AY53" s="30">
        <f>COUNTA(F53:AJ53)</f>
        <v>13</v>
      </c>
      <c r="AZ53" s="54">
        <f>AK53+AU53</f>
        <v>8</v>
      </c>
      <c r="BA53" s="54" cm="1">
        <f t="array" ref="BA53">IFERROR(
COUNTA(F53:AJ53)-MAX(IF(TRIM(F53:AJ53)="OD",COLUMN(F53:AJ53)-COLUMN(F53)+1)),"")</f>
        <v>0</v>
      </c>
    </row>
    <row r="54" spans="1:53">
      <c r="A54" s="450"/>
      <c r="B54" s="60"/>
      <c r="C54" s="61"/>
      <c r="D54" s="61"/>
      <c r="E54" s="73" t="s">
        <v>34</v>
      </c>
      <c r="F54" s="242"/>
      <c r="G54" s="123"/>
      <c r="H54" s="26"/>
      <c r="I54" s="26"/>
      <c r="J54" s="123"/>
      <c r="K54" s="26"/>
      <c r="L54" s="44"/>
      <c r="M54" s="44"/>
      <c r="N54" s="26">
        <v>9</v>
      </c>
      <c r="O54" s="44"/>
      <c r="P54" s="26">
        <v>4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5"/>
      <c r="AE54" s="25"/>
      <c r="AF54" s="24"/>
      <c r="AG54" s="24"/>
      <c r="AH54" s="24"/>
      <c r="AI54" s="25"/>
      <c r="AJ54" s="25"/>
      <c r="AK54" s="459">
        <f>SUM(F54:AJ54)</f>
        <v>13</v>
      </c>
      <c r="AL54" s="445"/>
      <c r="AM54" s="445"/>
      <c r="AN54" s="445"/>
      <c r="AO54" s="445"/>
      <c r="AP54" s="445"/>
      <c r="AQ54" s="445"/>
      <c r="AR54" s="445"/>
      <c r="AS54" s="445"/>
      <c r="AT54" s="445"/>
      <c r="AU54" s="445"/>
      <c r="AV54" s="445"/>
      <c r="AW54" s="445"/>
      <c r="AX54" s="445"/>
      <c r="AY54" s="479"/>
      <c r="AZ54" s="54"/>
    </row>
    <row r="55" spans="1:53">
      <c r="A55" s="449">
        <v>26</v>
      </c>
      <c r="B55" s="67">
        <v>123</v>
      </c>
      <c r="C55" s="56" t="s">
        <v>62</v>
      </c>
      <c r="D55" s="56" t="s">
        <v>31</v>
      </c>
      <c r="E55" s="71" t="s">
        <v>32</v>
      </c>
      <c r="F55" s="400" t="s">
        <v>14</v>
      </c>
      <c r="G55" s="123" t="s">
        <v>23</v>
      </c>
      <c r="H55" s="123" t="s">
        <v>14</v>
      </c>
      <c r="I55" s="123" t="s">
        <v>14</v>
      </c>
      <c r="J55" s="123" t="s">
        <v>14</v>
      </c>
      <c r="K55" s="123" t="s">
        <v>14</v>
      </c>
      <c r="L55" s="123" t="s">
        <v>23</v>
      </c>
      <c r="M55" s="123" t="s">
        <v>14</v>
      </c>
      <c r="N55" s="123" t="s">
        <v>14</v>
      </c>
      <c r="O55" s="123" t="s">
        <v>23</v>
      </c>
      <c r="P55" s="123" t="s">
        <v>14</v>
      </c>
      <c r="Q55" s="123" t="s">
        <v>23</v>
      </c>
      <c r="R55" s="123" t="s">
        <v>14</v>
      </c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30">
        <f>COUNTIF($F55:$AJ55,$C$126)</f>
        <v>9</v>
      </c>
      <c r="AL55" s="30">
        <f>COUNTIF($F55:$AJ55,$C$127)</f>
        <v>0</v>
      </c>
      <c r="AM55" s="30">
        <f>COUNTIF($F55:$AJ55,$C$128)</f>
        <v>0</v>
      </c>
      <c r="AN55" s="30">
        <f>COUNTIF($F55:$AJ55,$C$129)</f>
        <v>0</v>
      </c>
      <c r="AO55" s="30">
        <f>COUNTIF($F55:$AJ55,$C$130)</f>
        <v>0</v>
      </c>
      <c r="AP55" s="30">
        <f>COUNTIF($F55:$AJ55,$C$131)</f>
        <v>0</v>
      </c>
      <c r="AQ55" s="30">
        <f>COUNTIF($F55:$AJ55,$C$132)</f>
        <v>0</v>
      </c>
      <c r="AR55" s="30">
        <f>COUNTIF($F55:$AJ55,$C$133)</f>
        <v>0</v>
      </c>
      <c r="AS55" s="30">
        <f>COUNTIF($F55:$AJ55,$C$134)</f>
        <v>0</v>
      </c>
      <c r="AT55" s="30">
        <f>COUNTIF($F55:$AJ55,$C$135)</f>
        <v>4</v>
      </c>
      <c r="AU55" s="30">
        <f>COUNTIF($F55:$AJ55,$C$136)</f>
        <v>0</v>
      </c>
      <c r="AV55" s="30">
        <f>COUNTIF($F55:$AJ55,$C$137)</f>
        <v>0</v>
      </c>
      <c r="AW55" s="30">
        <f>COUNTIF($F55:$AJ55,$C$138)</f>
        <v>0</v>
      </c>
      <c r="AX55" s="30">
        <f>COUNTIF($F55:$AJ55,$C$139)</f>
        <v>0</v>
      </c>
      <c r="AY55" s="30">
        <f>COUNTA(F55:AJ55)</f>
        <v>13</v>
      </c>
      <c r="AZ55" s="54">
        <f>AK55+AU55</f>
        <v>9</v>
      </c>
      <c r="BA55" s="54" cm="1">
        <f t="array" ref="BA55">IFERROR(
COUNTA(F55:AJ55)-MAX(IF(TRIM(F55:AJ55)="OD",COLUMN(F55:AJ55)-COLUMN(F55)+1)),"")</f>
        <v>1</v>
      </c>
    </row>
    <row r="56" spans="1:53">
      <c r="A56" s="450"/>
      <c r="B56" s="60"/>
      <c r="C56" s="61"/>
      <c r="D56" s="61"/>
      <c r="E56" s="73" t="s">
        <v>34</v>
      </c>
      <c r="F56" s="242">
        <v>3</v>
      </c>
      <c r="G56" s="26"/>
      <c r="H56" s="26">
        <v>3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5"/>
      <c r="AE56" s="25"/>
      <c r="AF56" s="25"/>
      <c r="AG56" s="25"/>
      <c r="AH56" s="25"/>
      <c r="AI56" s="25"/>
      <c r="AJ56" s="25"/>
      <c r="AK56" s="459">
        <f>SUM(F56:AJ56)</f>
        <v>6</v>
      </c>
      <c r="AL56" s="445"/>
      <c r="AM56" s="445"/>
      <c r="AN56" s="445"/>
      <c r="AO56" s="445"/>
      <c r="AP56" s="445"/>
      <c r="AQ56" s="445"/>
      <c r="AR56" s="445"/>
      <c r="AS56" s="445"/>
      <c r="AT56" s="445"/>
      <c r="AU56" s="445"/>
      <c r="AV56" s="445"/>
      <c r="AW56" s="445"/>
      <c r="AX56" s="445"/>
      <c r="AY56" s="479"/>
      <c r="AZ56" s="54"/>
    </row>
    <row r="57" spans="1:53">
      <c r="A57" s="449">
        <v>27</v>
      </c>
      <c r="B57" s="67">
        <v>60</v>
      </c>
      <c r="C57" s="56" t="s">
        <v>63</v>
      </c>
      <c r="D57" s="56" t="s">
        <v>31</v>
      </c>
      <c r="E57" s="71" t="s">
        <v>32</v>
      </c>
      <c r="F57" s="400" t="s">
        <v>23</v>
      </c>
      <c r="G57" s="123" t="s">
        <v>14</v>
      </c>
      <c r="H57" s="123" t="s">
        <v>14</v>
      </c>
      <c r="I57" s="123" t="s">
        <v>14</v>
      </c>
      <c r="J57" s="123" t="s">
        <v>23</v>
      </c>
      <c r="K57" s="123" t="s">
        <v>14</v>
      </c>
      <c r="L57" s="123" t="s">
        <v>14</v>
      </c>
      <c r="M57" s="123" t="s">
        <v>23</v>
      </c>
      <c r="N57" s="123" t="s">
        <v>14</v>
      </c>
      <c r="O57" s="123" t="s">
        <v>23</v>
      </c>
      <c r="P57" s="123" t="s">
        <v>14</v>
      </c>
      <c r="Q57" s="123" t="s">
        <v>14</v>
      </c>
      <c r="R57" s="123" t="s">
        <v>23</v>
      </c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30">
        <f>COUNTIF($F57:$AJ57,$C$126)</f>
        <v>8</v>
      </c>
      <c r="AL57" s="30">
        <f>COUNTIF($F57:$AJ57,$C$127)</f>
        <v>0</v>
      </c>
      <c r="AM57" s="30">
        <f>COUNTIF($F57:$AJ57,$C$128)</f>
        <v>0</v>
      </c>
      <c r="AN57" s="30">
        <f>COUNTIF($F57:$AJ57,$C$129)</f>
        <v>0</v>
      </c>
      <c r="AO57" s="30">
        <f>COUNTIF($F57:$AJ57,$C$130)</f>
        <v>0</v>
      </c>
      <c r="AP57" s="30">
        <f>COUNTIF($F57:$AJ57,$C$131)</f>
        <v>0</v>
      </c>
      <c r="AQ57" s="30">
        <f>COUNTIF($F57:$AJ57,$C$132)</f>
        <v>0</v>
      </c>
      <c r="AR57" s="7">
        <f>COUNTIF($F57:$AJ57,$C$133)</f>
        <v>0</v>
      </c>
      <c r="AS57" s="7">
        <f>COUNTIF($F57:$AJ57,$C$134)</f>
        <v>0</v>
      </c>
      <c r="AT57" s="30">
        <f>COUNTIF($F57:$AJ57,$C$135)</f>
        <v>5</v>
      </c>
      <c r="AU57" s="30">
        <f>COUNTIF($F57:$AJ57,$C$136)</f>
        <v>0</v>
      </c>
      <c r="AV57" s="30">
        <f>COUNTIF($F57:$AJ57,$C$137)</f>
        <v>0</v>
      </c>
      <c r="AW57" s="30">
        <f>COUNTIF($F57:$AJ57,$C$138)</f>
        <v>0</v>
      </c>
      <c r="AX57" s="30">
        <f>COUNTIF($F57:$AJ57,$C$139)</f>
        <v>0</v>
      </c>
      <c r="AY57" s="30">
        <f>COUNTA(F57:AJ57)</f>
        <v>13</v>
      </c>
      <c r="AZ57" s="54">
        <f>AK57+AU57</f>
        <v>8</v>
      </c>
      <c r="BA57" s="54" cm="1">
        <f t="array" ref="BA57">IFERROR(
COUNTA(F57:AJ57)-MAX(IF(TRIM(F57:AJ57)="OD",COLUMN(F57:AJ57)-COLUMN(F57)+1)),"")</f>
        <v>0</v>
      </c>
    </row>
    <row r="58" spans="1:53">
      <c r="A58" s="450"/>
      <c r="B58" s="60"/>
      <c r="C58" s="61"/>
      <c r="D58" s="61"/>
      <c r="E58" s="73" t="s">
        <v>34</v>
      </c>
      <c r="F58" s="400"/>
      <c r="G58" s="26">
        <v>3</v>
      </c>
      <c r="H58" s="26"/>
      <c r="I58" s="26"/>
      <c r="J58" s="26"/>
      <c r="K58" s="26"/>
      <c r="L58" s="26"/>
      <c r="M58" s="26"/>
      <c r="N58" s="26"/>
      <c r="O58" s="26"/>
      <c r="P58" s="26">
        <v>3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5"/>
      <c r="AE58" s="25"/>
      <c r="AF58" s="25"/>
      <c r="AG58" s="25"/>
      <c r="AH58" s="25"/>
      <c r="AI58" s="25"/>
      <c r="AJ58" s="25"/>
      <c r="AK58" s="459">
        <f>SUM(F58:AJ58)</f>
        <v>6</v>
      </c>
      <c r="AL58" s="445"/>
      <c r="AM58" s="445"/>
      <c r="AN58" s="445"/>
      <c r="AO58" s="445"/>
      <c r="AP58" s="445"/>
      <c r="AQ58" s="445"/>
      <c r="AR58" s="445"/>
      <c r="AS58" s="445"/>
      <c r="AT58" s="445"/>
      <c r="AU58" s="445"/>
      <c r="AV58" s="445"/>
      <c r="AW58" s="445"/>
      <c r="AX58" s="445"/>
      <c r="AY58" s="479"/>
      <c r="AZ58" s="54"/>
    </row>
    <row r="59" spans="1:53">
      <c r="A59" s="449">
        <v>28</v>
      </c>
      <c r="B59" s="67">
        <v>101</v>
      </c>
      <c r="C59" s="56" t="s">
        <v>64</v>
      </c>
      <c r="D59" s="56" t="s">
        <v>31</v>
      </c>
      <c r="E59" s="71" t="s">
        <v>32</v>
      </c>
      <c r="F59" s="400" t="s">
        <v>23</v>
      </c>
      <c r="G59" s="123" t="s">
        <v>14</v>
      </c>
      <c r="H59" s="123" t="s">
        <v>14</v>
      </c>
      <c r="I59" s="123" t="s">
        <v>23</v>
      </c>
      <c r="J59" s="123" t="s">
        <v>14</v>
      </c>
      <c r="K59" s="123" t="s">
        <v>14</v>
      </c>
      <c r="L59" s="123" t="s">
        <v>23</v>
      </c>
      <c r="M59" s="123" t="s">
        <v>14</v>
      </c>
      <c r="N59" s="123" t="s">
        <v>14</v>
      </c>
      <c r="O59" s="123" t="s">
        <v>23</v>
      </c>
      <c r="P59" s="123" t="s">
        <v>14</v>
      </c>
      <c r="Q59" s="123" t="s">
        <v>23</v>
      </c>
      <c r="R59" s="123" t="s">
        <v>14</v>
      </c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7">
        <f>COUNTIF($F59:$AJ59,$C$126)</f>
        <v>8</v>
      </c>
      <c r="AL59" s="7">
        <f>COUNTIF($F59:$AJ59,$C$127)</f>
        <v>0</v>
      </c>
      <c r="AM59" s="7">
        <f>COUNTIF($F59:$AJ59,$C$128)</f>
        <v>0</v>
      </c>
      <c r="AN59" s="7">
        <f>COUNTIF($F59:$AJ59,$C$129)</f>
        <v>0</v>
      </c>
      <c r="AO59" s="7">
        <f>COUNTIF($F59:$AJ59,$C$130)</f>
        <v>0</v>
      </c>
      <c r="AP59" s="7">
        <f>COUNTIF($F59:$AJ59,$C$131)</f>
        <v>0</v>
      </c>
      <c r="AQ59" s="7">
        <f>COUNTIF($F59:$AJ59,$C$132)</f>
        <v>0</v>
      </c>
      <c r="AR59" s="7">
        <f>COUNTIF($F59:$AJ59,$C$133)</f>
        <v>0</v>
      </c>
      <c r="AS59" s="7">
        <f>COUNTIF($F59:$AJ59,$C$134)</f>
        <v>0</v>
      </c>
      <c r="AT59" s="7">
        <f>COUNTIF($F59:$AJ59,$C$135)</f>
        <v>5</v>
      </c>
      <c r="AU59" s="7">
        <f>COUNTIF($F59:$AJ59,$C$136)</f>
        <v>0</v>
      </c>
      <c r="AV59" s="7">
        <f>COUNTIF($F59:$AJ59,$C$137)</f>
        <v>0</v>
      </c>
      <c r="AW59" s="7">
        <f>COUNTIF($F59:$AJ59,$C$138)</f>
        <v>0</v>
      </c>
      <c r="AX59" s="7">
        <f>COUNTIF($F59:$AJ59,$C$139)</f>
        <v>0</v>
      </c>
      <c r="AY59" s="7">
        <f>COUNTA(F59:AJ59)</f>
        <v>13</v>
      </c>
      <c r="AZ59" s="54">
        <f>AK59+AU59</f>
        <v>8</v>
      </c>
      <c r="BA59" s="54" cm="1">
        <f t="array" ref="BA59">IFERROR(
COUNTA(F59:AJ59)-MAX(IF(TRIM(F59:AJ59)="OD",COLUMN(F59:AJ59)-COLUMN(F59)+1)),"")</f>
        <v>1</v>
      </c>
    </row>
    <row r="60" spans="1:53">
      <c r="A60" s="450"/>
      <c r="B60" s="60"/>
      <c r="C60" s="61"/>
      <c r="D60" s="61"/>
      <c r="E60" s="73" t="s">
        <v>34</v>
      </c>
      <c r="F60" s="400"/>
      <c r="G60" s="123"/>
      <c r="H60" s="26"/>
      <c r="I60" s="26"/>
      <c r="J60" s="123">
        <v>3</v>
      </c>
      <c r="K60" s="26"/>
      <c r="L60" s="44"/>
      <c r="M60" s="44"/>
      <c r="N60" s="123"/>
      <c r="O60" s="44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5"/>
      <c r="AE60" s="25"/>
      <c r="AF60" s="24"/>
      <c r="AG60" s="25"/>
      <c r="AH60" s="25"/>
      <c r="AI60" s="25"/>
      <c r="AJ60" s="25"/>
      <c r="AK60" s="489">
        <f>SUM(F60:AJ60)</f>
        <v>3</v>
      </c>
      <c r="AL60" s="490"/>
      <c r="AM60" s="490"/>
      <c r="AN60" s="490"/>
      <c r="AO60" s="490"/>
      <c r="AP60" s="490"/>
      <c r="AQ60" s="490"/>
      <c r="AR60" s="490"/>
      <c r="AS60" s="490"/>
      <c r="AT60" s="490"/>
      <c r="AU60" s="490"/>
      <c r="AV60" s="490"/>
      <c r="AW60" s="490"/>
      <c r="AX60" s="490"/>
      <c r="AY60" s="491"/>
      <c r="AZ60" s="54"/>
    </row>
    <row r="61" spans="1:53">
      <c r="A61" s="449">
        <v>29</v>
      </c>
      <c r="B61" s="67">
        <v>105</v>
      </c>
      <c r="C61" s="56" t="s">
        <v>65</v>
      </c>
      <c r="D61" s="56" t="s">
        <v>31</v>
      </c>
      <c r="E61" s="71" t="s">
        <v>32</v>
      </c>
      <c r="F61" s="400" t="s">
        <v>23</v>
      </c>
      <c r="G61" s="123" t="s">
        <v>14</v>
      </c>
      <c r="H61" s="123" t="s">
        <v>14</v>
      </c>
      <c r="I61" s="123" t="s">
        <v>14</v>
      </c>
      <c r="J61" s="123" t="s">
        <v>14</v>
      </c>
      <c r="K61" s="123" t="s">
        <v>14</v>
      </c>
      <c r="L61" s="123" t="s">
        <v>23</v>
      </c>
      <c r="M61" s="123" t="s">
        <v>14</v>
      </c>
      <c r="N61" s="123" t="s">
        <v>14</v>
      </c>
      <c r="O61" s="123" t="s">
        <v>23</v>
      </c>
      <c r="P61" s="123" t="s">
        <v>14</v>
      </c>
      <c r="Q61" s="123" t="s">
        <v>23</v>
      </c>
      <c r="R61" s="123" t="s">
        <v>23</v>
      </c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30">
        <f>COUNTIF($F61:$AJ61,$C$126)</f>
        <v>8</v>
      </c>
      <c r="AL61" s="30">
        <f>COUNTIF($F61:$AJ61,$C$127)</f>
        <v>0</v>
      </c>
      <c r="AM61" s="30">
        <f>COUNTIF($F61:$AJ61,$C$128)</f>
        <v>0</v>
      </c>
      <c r="AN61" s="30">
        <f>COUNTIF($F61:$AJ61,$C$129)</f>
        <v>0</v>
      </c>
      <c r="AO61" s="30">
        <f>COUNTIF($F61:$AJ61,$C$130)</f>
        <v>0</v>
      </c>
      <c r="AP61" s="30">
        <f>COUNTIF($F61:$AJ61,$C$131)</f>
        <v>0</v>
      </c>
      <c r="AQ61" s="30">
        <f>COUNTIF($F61:$AJ61,$C$132)</f>
        <v>0</v>
      </c>
      <c r="AR61" s="30">
        <f>COUNTIF($F61:$AJ61,$C$133)</f>
        <v>0</v>
      </c>
      <c r="AS61" s="30">
        <f>COUNTIF($F61:$AJ61,$C$134)</f>
        <v>0</v>
      </c>
      <c r="AT61" s="30">
        <f>COUNTIF($F61:$AJ61,$C$135)</f>
        <v>5</v>
      </c>
      <c r="AU61" s="30">
        <f>COUNTIF($F61:$AJ61,$C$136)</f>
        <v>0</v>
      </c>
      <c r="AV61" s="30">
        <f>COUNTIF($F61:$AJ61,$C$137)</f>
        <v>0</v>
      </c>
      <c r="AW61" s="30">
        <f>COUNTIF($F61:$AJ61,$C$138)</f>
        <v>0</v>
      </c>
      <c r="AX61" s="30">
        <f>COUNTIF($F61:$AJ61,$C$139)</f>
        <v>0</v>
      </c>
      <c r="AY61" s="30">
        <f>COUNTA(F61:AJ61)</f>
        <v>13</v>
      </c>
      <c r="AZ61" s="54">
        <f>AK61+AU61</f>
        <v>8</v>
      </c>
      <c r="BA61" s="54" cm="1">
        <f t="array" ref="BA61">IFERROR(
COUNTA(F61:AJ61)-MAX(IF(TRIM(F61:AJ61)="OD",COLUMN(F61:AJ61)-COLUMN(F61)+1)),"")</f>
        <v>0</v>
      </c>
    </row>
    <row r="62" spans="1:53">
      <c r="A62" s="450"/>
      <c r="B62" s="60"/>
      <c r="C62" s="61"/>
      <c r="D62" s="61"/>
      <c r="E62" s="73" t="s">
        <v>34</v>
      </c>
      <c r="F62" s="242"/>
      <c r="G62" s="26">
        <v>4</v>
      </c>
      <c r="H62" s="26">
        <v>3</v>
      </c>
      <c r="I62" s="26">
        <v>3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5"/>
      <c r="AE62" s="25"/>
      <c r="AF62" s="25"/>
      <c r="AG62" s="25"/>
      <c r="AH62" s="25"/>
      <c r="AI62" s="25"/>
      <c r="AJ62" s="25"/>
      <c r="AK62" s="459">
        <f>SUM(F62:AJ62)</f>
        <v>10</v>
      </c>
      <c r="AL62" s="445"/>
      <c r="AM62" s="445"/>
      <c r="AN62" s="445"/>
      <c r="AO62" s="445"/>
      <c r="AP62" s="445"/>
      <c r="AQ62" s="445"/>
      <c r="AR62" s="445"/>
      <c r="AS62" s="445"/>
      <c r="AT62" s="445"/>
      <c r="AU62" s="445"/>
      <c r="AV62" s="445"/>
      <c r="AW62" s="445"/>
      <c r="AX62" s="445"/>
      <c r="AY62" s="479"/>
      <c r="AZ62" s="54"/>
    </row>
    <row r="63" spans="1:53">
      <c r="A63" s="449">
        <v>30</v>
      </c>
      <c r="B63" s="67">
        <v>127</v>
      </c>
      <c r="C63" s="56" t="s">
        <v>66</v>
      </c>
      <c r="D63" s="56" t="s">
        <v>31</v>
      </c>
      <c r="E63" s="71" t="s">
        <v>32</v>
      </c>
      <c r="F63" s="400" t="s">
        <v>23</v>
      </c>
      <c r="G63" s="123" t="s">
        <v>14</v>
      </c>
      <c r="H63" s="123" t="s">
        <v>14</v>
      </c>
      <c r="I63" s="123" t="s">
        <v>14</v>
      </c>
      <c r="J63" s="123" t="s">
        <v>23</v>
      </c>
      <c r="K63" s="123" t="s">
        <v>14</v>
      </c>
      <c r="L63" s="123" t="s">
        <v>14</v>
      </c>
      <c r="M63" s="123" t="s">
        <v>23</v>
      </c>
      <c r="N63" s="123" t="s">
        <v>14</v>
      </c>
      <c r="O63" s="123" t="s">
        <v>14</v>
      </c>
      <c r="P63" s="123" t="s">
        <v>23</v>
      </c>
      <c r="Q63" s="123" t="s">
        <v>22</v>
      </c>
      <c r="R63" s="123" t="s">
        <v>22</v>
      </c>
      <c r="S63" s="123" t="s">
        <v>22</v>
      </c>
      <c r="T63" s="123" t="s">
        <v>22</v>
      </c>
      <c r="U63" s="123" t="s">
        <v>22</v>
      </c>
      <c r="V63" s="123" t="s">
        <v>22</v>
      </c>
      <c r="W63" s="123" t="s">
        <v>22</v>
      </c>
      <c r="X63" s="123" t="s">
        <v>22</v>
      </c>
      <c r="Y63" s="123" t="s">
        <v>22</v>
      </c>
      <c r="Z63" s="123" t="s">
        <v>22</v>
      </c>
      <c r="AA63" s="123" t="s">
        <v>22</v>
      </c>
      <c r="AB63" s="123" t="s">
        <v>22</v>
      </c>
      <c r="AC63" s="123" t="s">
        <v>22</v>
      </c>
      <c r="AD63" s="123" t="s">
        <v>22</v>
      </c>
      <c r="AE63" s="123" t="s">
        <v>22</v>
      </c>
      <c r="AF63" s="123" t="s">
        <v>22</v>
      </c>
      <c r="AG63" s="123" t="s">
        <v>22</v>
      </c>
      <c r="AH63" s="123" t="s">
        <v>22</v>
      </c>
      <c r="AI63" s="123" t="s">
        <v>22</v>
      </c>
      <c r="AJ63" s="123" t="s">
        <v>22</v>
      </c>
      <c r="AK63" s="30">
        <f>COUNTIF($F63:$AJ63,$C$126)</f>
        <v>7</v>
      </c>
      <c r="AL63" s="30">
        <f>COUNTIF($F63:$AJ63,$C$127)</f>
        <v>0</v>
      </c>
      <c r="AM63" s="30">
        <f>COUNTIF($F63:$AJ63,$C$128)</f>
        <v>0</v>
      </c>
      <c r="AN63" s="30">
        <f>COUNTIF($F63:$AJ63,$C$129)</f>
        <v>0</v>
      </c>
      <c r="AO63" s="30">
        <f>COUNTIF($F63:$AJ63,$C$130)</f>
        <v>0</v>
      </c>
      <c r="AP63" s="30">
        <f>COUNTIF($F63:$AJ63,$C$131)</f>
        <v>0</v>
      </c>
      <c r="AQ63" s="30">
        <f>COUNTIF($F63:$AJ63,$C$132)</f>
        <v>0</v>
      </c>
      <c r="AR63" s="30">
        <f>COUNTIF($F63:$AJ63,$C$133)</f>
        <v>0</v>
      </c>
      <c r="AS63" s="30">
        <f>COUNTIF($F63:$AJ63,$C$134)</f>
        <v>20</v>
      </c>
      <c r="AT63" s="30">
        <f>COUNTIF($F63:$AJ63,$C$135)</f>
        <v>4</v>
      </c>
      <c r="AU63" s="30">
        <f>COUNTIF($F63:$AJ63,$C$136)</f>
        <v>0</v>
      </c>
      <c r="AV63" s="30">
        <f>COUNTIF($F63:$AJ63,$C$137)</f>
        <v>0</v>
      </c>
      <c r="AW63" s="30">
        <f>COUNTIF($F63:$AJ63,$C$138)</f>
        <v>0</v>
      </c>
      <c r="AX63" s="30">
        <f>COUNTIF($F63:$AJ63,$C$139)</f>
        <v>0</v>
      </c>
      <c r="AY63" s="30">
        <f>COUNTA(F63:AJ63)</f>
        <v>31</v>
      </c>
      <c r="AZ63" s="54">
        <f>AK63+AU63</f>
        <v>7</v>
      </c>
      <c r="BA63" s="54" cm="1">
        <f t="array" ref="BA63">IFERROR(
COUNTA(F63:AJ63)-MAX(IF(TRIM(F63:AJ63)="OD",COLUMN(F63:AJ63)-COLUMN(F63)+1)),"")</f>
        <v>20</v>
      </c>
    </row>
    <row r="64" spans="1:53">
      <c r="A64" s="450"/>
      <c r="B64" s="60"/>
      <c r="C64" s="61"/>
      <c r="D64" s="61"/>
      <c r="E64" s="73" t="s">
        <v>34</v>
      </c>
      <c r="F64" s="400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5"/>
      <c r="AE64" s="25"/>
      <c r="AF64" s="25"/>
      <c r="AG64" s="25"/>
      <c r="AH64" s="25"/>
      <c r="AI64" s="25"/>
      <c r="AJ64" s="25"/>
      <c r="AK64" s="459">
        <f>SUM(F64:AJ64)</f>
        <v>0</v>
      </c>
      <c r="AL64" s="445"/>
      <c r="AM64" s="445"/>
      <c r="AN64" s="445"/>
      <c r="AO64" s="445"/>
      <c r="AP64" s="445"/>
      <c r="AQ64" s="445"/>
      <c r="AR64" s="445"/>
      <c r="AS64" s="445"/>
      <c r="AT64" s="445"/>
      <c r="AU64" s="445"/>
      <c r="AV64" s="445"/>
      <c r="AW64" s="445"/>
      <c r="AX64" s="445"/>
      <c r="AY64" s="479"/>
      <c r="AZ64" s="54"/>
    </row>
    <row r="65" spans="1:53">
      <c r="A65" s="449">
        <v>31</v>
      </c>
      <c r="B65" s="67">
        <v>126</v>
      </c>
      <c r="C65" s="56" t="s">
        <v>67</v>
      </c>
      <c r="D65" s="56" t="s">
        <v>31</v>
      </c>
      <c r="E65" s="71" t="s">
        <v>32</v>
      </c>
      <c r="F65" s="400" t="s">
        <v>14</v>
      </c>
      <c r="G65" s="123" t="s">
        <v>23</v>
      </c>
      <c r="H65" s="123" t="s">
        <v>14</v>
      </c>
      <c r="I65" s="123" t="s">
        <v>14</v>
      </c>
      <c r="J65" s="123" t="s">
        <v>14</v>
      </c>
      <c r="K65" s="123" t="s">
        <v>23</v>
      </c>
      <c r="L65" s="123" t="s">
        <v>23</v>
      </c>
      <c r="M65" s="123" t="s">
        <v>14</v>
      </c>
      <c r="N65" s="123" t="s">
        <v>14</v>
      </c>
      <c r="O65" s="123" t="s">
        <v>23</v>
      </c>
      <c r="P65" s="123" t="s">
        <v>14</v>
      </c>
      <c r="Q65" s="123" t="s">
        <v>23</v>
      </c>
      <c r="R65" s="123" t="s">
        <v>14</v>
      </c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 t="s">
        <v>22</v>
      </c>
      <c r="AJ65" s="123" t="s">
        <v>22</v>
      </c>
      <c r="AK65" s="30">
        <f>COUNTIF($F65:$AJ65,$C$126)</f>
        <v>8</v>
      </c>
      <c r="AL65" s="30">
        <f>COUNTIF($F65:$AJ65,$C$127)</f>
        <v>0</v>
      </c>
      <c r="AM65" s="30">
        <f>COUNTIF($F65:$AJ65,$C$128)</f>
        <v>0</v>
      </c>
      <c r="AN65" s="30">
        <f>COUNTIF($F65:$AJ65,$C$129)</f>
        <v>0</v>
      </c>
      <c r="AO65" s="30">
        <f>COUNTIF($F65:$AJ65,$C$130)</f>
        <v>0</v>
      </c>
      <c r="AP65" s="30">
        <f>COUNTIF($F65:$AJ65,$C$131)</f>
        <v>0</v>
      </c>
      <c r="AQ65" s="30">
        <f>COUNTIF($F65:$AJ65,$C$132)</f>
        <v>0</v>
      </c>
      <c r="AR65" s="30">
        <f>COUNTIF($F65:$AJ65,$C$133)</f>
        <v>0</v>
      </c>
      <c r="AS65" s="30">
        <f>COUNTIF($F65:$AJ65,$C$134)</f>
        <v>2</v>
      </c>
      <c r="AT65" s="30">
        <f>COUNTIF($F65:$AJ65,$C$135)</f>
        <v>5</v>
      </c>
      <c r="AU65" s="30">
        <f>COUNTIF($F65:$AJ65,$C$136)</f>
        <v>0</v>
      </c>
      <c r="AV65" s="30">
        <f>COUNTIF($F65:$AJ65,$C$137)</f>
        <v>0</v>
      </c>
      <c r="AW65" s="30">
        <f>COUNTIF($F65:$AJ65,$C$138)</f>
        <v>0</v>
      </c>
      <c r="AX65" s="30">
        <f>COUNTIF($F65:$AJ65,$C$139)</f>
        <v>0</v>
      </c>
      <c r="AY65" s="30">
        <f>COUNTA(F65:AJ65)</f>
        <v>15</v>
      </c>
      <c r="AZ65" s="54">
        <f>AK65+AU65</f>
        <v>8</v>
      </c>
      <c r="BA65" s="54" cm="1">
        <f t="array" ref="BA65">IFERROR(
COUNTA(F65:AJ65)-MAX(IF(TRIM(F65:AJ65)="OD",COLUMN(F65:AJ65)-COLUMN(F65)+1)),"")</f>
        <v>3</v>
      </c>
    </row>
    <row r="66" spans="1:53">
      <c r="A66" s="450"/>
      <c r="B66" s="60"/>
      <c r="C66" s="61"/>
      <c r="D66" s="61"/>
      <c r="E66" s="73" t="s">
        <v>34</v>
      </c>
      <c r="F66" s="242">
        <v>3</v>
      </c>
      <c r="G66" s="26"/>
      <c r="H66" s="26"/>
      <c r="I66" s="26"/>
      <c r="J66" s="26"/>
      <c r="K66" s="26"/>
      <c r="L66" s="26"/>
      <c r="M66" s="26"/>
      <c r="N66" s="26">
        <v>3</v>
      </c>
      <c r="O66" s="26"/>
      <c r="P66" s="26">
        <v>3</v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5"/>
      <c r="AE66" s="25"/>
      <c r="AF66" s="25"/>
      <c r="AG66" s="25"/>
      <c r="AH66" s="25"/>
      <c r="AI66" s="25"/>
      <c r="AJ66" s="25"/>
      <c r="AK66" s="459">
        <f>SUM(F66:AJ66)</f>
        <v>9</v>
      </c>
      <c r="AL66" s="445"/>
      <c r="AM66" s="445"/>
      <c r="AN66" s="445"/>
      <c r="AO66" s="445"/>
      <c r="AP66" s="445"/>
      <c r="AQ66" s="445"/>
      <c r="AR66" s="445"/>
      <c r="AS66" s="445"/>
      <c r="AT66" s="445"/>
      <c r="AU66" s="445"/>
      <c r="AV66" s="445"/>
      <c r="AW66" s="445"/>
      <c r="AX66" s="445"/>
      <c r="AY66" s="479"/>
      <c r="AZ66" s="54"/>
    </row>
    <row r="67" spans="1:53">
      <c r="A67" s="449">
        <v>32</v>
      </c>
      <c r="B67" s="67">
        <v>96</v>
      </c>
      <c r="C67" s="56" t="s">
        <v>68</v>
      </c>
      <c r="D67" s="56" t="s">
        <v>31</v>
      </c>
      <c r="E67" s="71" t="s">
        <v>32</v>
      </c>
      <c r="F67" s="400" t="s">
        <v>14</v>
      </c>
      <c r="G67" s="123" t="s">
        <v>14</v>
      </c>
      <c r="H67" s="123" t="s">
        <v>23</v>
      </c>
      <c r="I67" s="123" t="s">
        <v>14</v>
      </c>
      <c r="J67" s="123" t="s">
        <v>14</v>
      </c>
      <c r="K67" s="123" t="s">
        <v>23</v>
      </c>
      <c r="L67" s="123" t="s">
        <v>14</v>
      </c>
      <c r="M67" s="123" t="s">
        <v>14</v>
      </c>
      <c r="N67" s="123" t="s">
        <v>23</v>
      </c>
      <c r="O67" s="123" t="s">
        <v>14</v>
      </c>
      <c r="P67" s="123" t="s">
        <v>14</v>
      </c>
      <c r="Q67" s="123" t="s">
        <v>23</v>
      </c>
      <c r="R67" s="123" t="s">
        <v>23</v>
      </c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30">
        <f>COUNTIF($F67:$AJ67,$C$126)</f>
        <v>8</v>
      </c>
      <c r="AL67" s="30">
        <f>COUNTIF($F67:$AJ67,$C$127)</f>
        <v>0</v>
      </c>
      <c r="AM67" s="30">
        <f>COUNTIF($F67:$AJ67,$C$128)</f>
        <v>0</v>
      </c>
      <c r="AN67" s="30">
        <f>COUNTIF($F67:$AJ67,$C$129)</f>
        <v>0</v>
      </c>
      <c r="AO67" s="30">
        <f>COUNTIF($F67:$AJ67,$C$130)</f>
        <v>0</v>
      </c>
      <c r="AP67" s="30">
        <f>COUNTIF($F67:$AJ67,$C$131)</f>
        <v>0</v>
      </c>
      <c r="AQ67" s="30">
        <f>COUNTIF($F67:$AJ67,$C$132)</f>
        <v>0</v>
      </c>
      <c r="AR67" s="30">
        <f>COUNTIF($F67:$AJ67,$C$133)</f>
        <v>0</v>
      </c>
      <c r="AS67" s="30">
        <f>COUNTIF($F67:$AJ67,$C$134)</f>
        <v>0</v>
      </c>
      <c r="AT67" s="30">
        <f>COUNTIF($F67:$AJ67,$C$135)</f>
        <v>5</v>
      </c>
      <c r="AU67" s="30">
        <f>COUNTIF($F67:$AJ67,$C$136)</f>
        <v>0</v>
      </c>
      <c r="AV67" s="30">
        <f>COUNTIF($F67:$AJ67,$C$137)</f>
        <v>0</v>
      </c>
      <c r="AW67" s="30">
        <f>COUNTIF($F67:$AJ67,$C$138)</f>
        <v>0</v>
      </c>
      <c r="AX67" s="30">
        <f>COUNTIF($F67:$AJ67,$C$139)</f>
        <v>0</v>
      </c>
      <c r="AY67" s="30">
        <f>COUNTA(F67:AJ67)</f>
        <v>13</v>
      </c>
      <c r="AZ67" s="54">
        <f>AK67+AU67</f>
        <v>8</v>
      </c>
      <c r="BA67" s="54" cm="1">
        <f t="array" ref="BA67">IFERROR(
COUNTA(F67:AJ67)-MAX(IF(TRIM(F67:AJ67)="OD",COLUMN(F67:AJ67)-COLUMN(F67)+1)),"")</f>
        <v>0</v>
      </c>
    </row>
    <row r="68" spans="1:53">
      <c r="A68" s="450"/>
      <c r="B68" s="60"/>
      <c r="C68" s="61"/>
      <c r="D68" s="61"/>
      <c r="E68" s="73" t="s">
        <v>34</v>
      </c>
      <c r="F68" s="242">
        <v>3</v>
      </c>
      <c r="G68" s="26">
        <v>3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5"/>
      <c r="AE68" s="25"/>
      <c r="AF68" s="25"/>
      <c r="AG68" s="25"/>
      <c r="AH68" s="25"/>
      <c r="AI68" s="25"/>
      <c r="AJ68" s="25"/>
      <c r="AK68" s="459">
        <f>SUM(F68:AJ68)</f>
        <v>6</v>
      </c>
      <c r="AL68" s="445"/>
      <c r="AM68" s="445"/>
      <c r="AN68" s="445"/>
      <c r="AO68" s="445"/>
      <c r="AP68" s="445"/>
      <c r="AQ68" s="445"/>
      <c r="AR68" s="445"/>
      <c r="AS68" s="445"/>
      <c r="AT68" s="445"/>
      <c r="AU68" s="445"/>
      <c r="AV68" s="445"/>
      <c r="AW68" s="445"/>
      <c r="AX68" s="445"/>
      <c r="AY68" s="479"/>
      <c r="AZ68" s="54"/>
    </row>
    <row r="69" spans="1:53">
      <c r="A69" s="449">
        <v>33</v>
      </c>
      <c r="B69" s="67">
        <v>122</v>
      </c>
      <c r="C69" s="56" t="s">
        <v>69</v>
      </c>
      <c r="D69" s="56" t="s">
        <v>31</v>
      </c>
      <c r="E69" s="71" t="s">
        <v>32</v>
      </c>
      <c r="F69" s="400" t="s">
        <v>14</v>
      </c>
      <c r="G69" s="123" t="s">
        <v>14</v>
      </c>
      <c r="H69" s="123" t="s">
        <v>14</v>
      </c>
      <c r="I69" s="123" t="s">
        <v>14</v>
      </c>
      <c r="J69" s="123" t="s">
        <v>23</v>
      </c>
      <c r="K69" s="123" t="s">
        <v>23</v>
      </c>
      <c r="L69" s="123" t="s">
        <v>14</v>
      </c>
      <c r="M69" s="123" t="s">
        <v>14</v>
      </c>
      <c r="N69" s="123" t="s">
        <v>23</v>
      </c>
      <c r="O69" s="123" t="s">
        <v>14</v>
      </c>
      <c r="P69" s="123" t="s">
        <v>23</v>
      </c>
      <c r="Q69" s="123" t="s">
        <v>14</v>
      </c>
      <c r="R69" s="123" t="s">
        <v>23</v>
      </c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30">
        <f>COUNTIF($F69:$AJ69,$C$126)</f>
        <v>8</v>
      </c>
      <c r="AL69" s="30">
        <f>COUNTIF($F69:$AJ69,$C$127)</f>
        <v>0</v>
      </c>
      <c r="AM69" s="30">
        <f>COUNTIF($F69:$AJ69,$C$128)</f>
        <v>0</v>
      </c>
      <c r="AN69" s="30">
        <f>COUNTIF($F69:$AJ69,$C$129)</f>
        <v>0</v>
      </c>
      <c r="AO69" s="30">
        <f>COUNTIF($F69:$AJ69,$C$130)</f>
        <v>0</v>
      </c>
      <c r="AP69" s="30">
        <f>COUNTIF($F69:$AJ69,$C$131)</f>
        <v>0</v>
      </c>
      <c r="AQ69" s="30">
        <f>COUNTIF($F69:$AJ69,$C$132)</f>
        <v>0</v>
      </c>
      <c r="AR69" s="30">
        <f>COUNTIF($F69:$AJ69,$C$133)</f>
        <v>0</v>
      </c>
      <c r="AS69" s="30">
        <f>COUNTIF($F69:$AJ69,$C$134)</f>
        <v>0</v>
      </c>
      <c r="AT69" s="30">
        <f>COUNTIF($F69:$AJ69,$C$135)</f>
        <v>5</v>
      </c>
      <c r="AU69" s="30">
        <f>COUNTIF($F69:$AJ69,$C$136)</f>
        <v>0</v>
      </c>
      <c r="AV69" s="30">
        <f>COUNTIF($F69:$AJ69,$C$137)</f>
        <v>0</v>
      </c>
      <c r="AW69" s="30">
        <f>COUNTIF($F69:$AJ69,$C$138)</f>
        <v>0</v>
      </c>
      <c r="AX69" s="30">
        <f>COUNTIF($F69:$AJ69,$C$139)</f>
        <v>0</v>
      </c>
      <c r="AY69" s="30">
        <f>COUNTA(F69:AJ69)</f>
        <v>13</v>
      </c>
      <c r="AZ69" s="54">
        <f>AK69+AU69</f>
        <v>8</v>
      </c>
      <c r="BA69" s="54" cm="1">
        <f t="array" ref="BA69">IFERROR(
COUNTA(F69:AJ69)-MAX(IF(TRIM(F69:AJ69)="OD",COLUMN(F69:AJ69)-COLUMN(F69)+1)),"")</f>
        <v>0</v>
      </c>
    </row>
    <row r="70" spans="1:53">
      <c r="A70" s="450"/>
      <c r="B70" s="60"/>
      <c r="C70" s="61"/>
      <c r="D70" s="61"/>
      <c r="E70" s="73" t="s">
        <v>34</v>
      </c>
      <c r="F70" s="242">
        <v>4</v>
      </c>
      <c r="G70" s="26">
        <v>3</v>
      </c>
      <c r="H70" s="26">
        <v>3</v>
      </c>
      <c r="I70" s="26">
        <v>3</v>
      </c>
      <c r="J70" s="26"/>
      <c r="K70" s="26"/>
      <c r="L70" s="26">
        <v>3</v>
      </c>
      <c r="M70" s="26">
        <v>3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5"/>
      <c r="AE70" s="25"/>
      <c r="AF70" s="25"/>
      <c r="AG70" s="25"/>
      <c r="AH70" s="25"/>
      <c r="AI70" s="25"/>
      <c r="AJ70" s="25"/>
      <c r="AK70" s="459">
        <f>SUM(F70:AJ70)</f>
        <v>19</v>
      </c>
      <c r="AL70" s="445"/>
      <c r="AM70" s="445"/>
      <c r="AN70" s="445"/>
      <c r="AO70" s="445"/>
      <c r="AP70" s="445"/>
      <c r="AQ70" s="445"/>
      <c r="AR70" s="445"/>
      <c r="AS70" s="445"/>
      <c r="AT70" s="445"/>
      <c r="AU70" s="445"/>
      <c r="AV70" s="445"/>
      <c r="AW70" s="445"/>
      <c r="AX70" s="445"/>
      <c r="AY70" s="479"/>
      <c r="AZ70" s="54"/>
    </row>
    <row r="71" spans="1:53">
      <c r="A71" s="449">
        <v>34</v>
      </c>
      <c r="B71" s="67">
        <v>121</v>
      </c>
      <c r="C71" s="56" t="s">
        <v>70</v>
      </c>
      <c r="D71" s="56" t="s">
        <v>31</v>
      </c>
      <c r="E71" s="71" t="s">
        <v>32</v>
      </c>
      <c r="F71" s="400" t="s">
        <v>14</v>
      </c>
      <c r="G71" s="123" t="s">
        <v>14</v>
      </c>
      <c r="H71" s="123" t="s">
        <v>23</v>
      </c>
      <c r="I71" s="123" t="s">
        <v>14</v>
      </c>
      <c r="J71" s="123" t="s">
        <v>14</v>
      </c>
      <c r="K71" s="123" t="s">
        <v>23</v>
      </c>
      <c r="L71" s="123" t="s">
        <v>14</v>
      </c>
      <c r="M71" s="123" t="s">
        <v>14</v>
      </c>
      <c r="N71" s="123" t="s">
        <v>23</v>
      </c>
      <c r="O71" s="123" t="s">
        <v>23</v>
      </c>
      <c r="P71" s="123" t="s">
        <v>14</v>
      </c>
      <c r="Q71" s="123" t="s">
        <v>23</v>
      </c>
      <c r="R71" s="123" t="s">
        <v>14</v>
      </c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30">
        <f>COUNTIF($F71:$AJ71,$C$126)</f>
        <v>8</v>
      </c>
      <c r="AL71" s="30">
        <f>COUNTIF($F71:$AJ71,$C$127)</f>
        <v>0</v>
      </c>
      <c r="AM71" s="30">
        <f>COUNTIF($F71:$AJ71,$C$128)</f>
        <v>0</v>
      </c>
      <c r="AN71" s="30">
        <f>COUNTIF($F71:$AJ71,$C$129)</f>
        <v>0</v>
      </c>
      <c r="AO71" s="30">
        <f>COUNTIF($F71:$AJ71,$C$130)</f>
        <v>0</v>
      </c>
      <c r="AP71" s="30">
        <f>COUNTIF($F71:$AJ71,$C$131)</f>
        <v>0</v>
      </c>
      <c r="AQ71" s="30">
        <f>COUNTIF($F71:$AJ71,$C$132)</f>
        <v>0</v>
      </c>
      <c r="AR71" s="30">
        <f>COUNTIF($F71:$AJ71,$C$133)</f>
        <v>0</v>
      </c>
      <c r="AS71" s="30">
        <f>COUNTIF($F71:$AJ71,$C$134)</f>
        <v>0</v>
      </c>
      <c r="AT71" s="30">
        <f>COUNTIF($F71:$AJ71,$C$135)</f>
        <v>5</v>
      </c>
      <c r="AU71" s="30">
        <f>COUNTIF($F71:$AJ71,$C$136)</f>
        <v>0</v>
      </c>
      <c r="AV71" s="30">
        <f>COUNTIF($F71:$AJ71,$C$137)</f>
        <v>0</v>
      </c>
      <c r="AW71" s="30">
        <f>COUNTIF($F71:$AJ71,$C$138)</f>
        <v>0</v>
      </c>
      <c r="AX71" s="30">
        <f>COUNTIF($F71:$AJ71,$C$139)</f>
        <v>0</v>
      </c>
      <c r="AY71" s="30">
        <f>COUNTA(F71:AJ71)</f>
        <v>13</v>
      </c>
      <c r="AZ71" s="54">
        <f>AK71+AU71</f>
        <v>8</v>
      </c>
      <c r="BA71" s="54" cm="1">
        <f t="array" ref="BA71">IFERROR(
COUNTA(F71:AJ71)-MAX(IF(TRIM(F71:AJ71)="OD",COLUMN(F71:AJ71)-COLUMN(F71)+1)),"")</f>
        <v>1</v>
      </c>
    </row>
    <row r="72" spans="1:53">
      <c r="A72" s="450"/>
      <c r="B72" s="60"/>
      <c r="C72" s="61"/>
      <c r="D72" s="61"/>
      <c r="E72" s="73" t="s">
        <v>34</v>
      </c>
      <c r="F72" s="242">
        <v>3</v>
      </c>
      <c r="G72" s="26">
        <v>3</v>
      </c>
      <c r="H72" s="26"/>
      <c r="I72" s="26">
        <v>3</v>
      </c>
      <c r="J72" s="26">
        <v>3</v>
      </c>
      <c r="K72" s="26"/>
      <c r="L72" s="26"/>
      <c r="M72" s="26"/>
      <c r="N72" s="26"/>
      <c r="O72" s="26"/>
      <c r="P72" s="26">
        <v>3</v>
      </c>
      <c r="Q72" s="26"/>
      <c r="R72" s="26">
        <v>3</v>
      </c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5"/>
      <c r="AE72" s="25"/>
      <c r="AF72" s="25"/>
      <c r="AG72" s="25"/>
      <c r="AH72" s="25"/>
      <c r="AI72" s="25"/>
      <c r="AJ72" s="25"/>
      <c r="AK72" s="459">
        <f>SUM(F72:AJ72)</f>
        <v>18</v>
      </c>
      <c r="AL72" s="445"/>
      <c r="AM72" s="445"/>
      <c r="AN72" s="445"/>
      <c r="AO72" s="445"/>
      <c r="AP72" s="445"/>
      <c r="AQ72" s="445"/>
      <c r="AR72" s="445"/>
      <c r="AS72" s="445"/>
      <c r="AT72" s="445"/>
      <c r="AU72" s="445"/>
      <c r="AV72" s="445"/>
      <c r="AW72" s="445"/>
      <c r="AX72" s="445"/>
      <c r="AY72" s="479"/>
      <c r="AZ72" s="54"/>
    </row>
    <row r="73" spans="1:53">
      <c r="A73" s="449">
        <v>35</v>
      </c>
      <c r="B73" s="67">
        <v>86</v>
      </c>
      <c r="C73" s="56" t="s">
        <v>71</v>
      </c>
      <c r="D73" s="56" t="s">
        <v>31</v>
      </c>
      <c r="E73" s="71" t="s">
        <v>32</v>
      </c>
      <c r="F73" s="400" t="s">
        <v>14</v>
      </c>
      <c r="G73" s="123" t="s">
        <v>23</v>
      </c>
      <c r="H73" s="123" t="s">
        <v>14</v>
      </c>
      <c r="I73" s="123" t="s">
        <v>14</v>
      </c>
      <c r="J73" s="123" t="s">
        <v>14</v>
      </c>
      <c r="K73" s="123" t="s">
        <v>23</v>
      </c>
      <c r="L73" s="123" t="s">
        <v>14</v>
      </c>
      <c r="M73" s="123" t="s">
        <v>14</v>
      </c>
      <c r="N73" s="123" t="s">
        <v>23</v>
      </c>
      <c r="O73" s="123" t="s">
        <v>14</v>
      </c>
      <c r="P73" s="123" t="s">
        <v>23</v>
      </c>
      <c r="Q73" s="123" t="s">
        <v>14</v>
      </c>
      <c r="R73" s="123" t="s">
        <v>14</v>
      </c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30">
        <f>COUNTIF($F73:$AJ73,$C$126)</f>
        <v>9</v>
      </c>
      <c r="AL73" s="30">
        <f>COUNTIF($F73:$AJ73,$C$127)</f>
        <v>0</v>
      </c>
      <c r="AM73" s="30">
        <f>COUNTIF($F73:$AJ73,$C$128)</f>
        <v>0</v>
      </c>
      <c r="AN73" s="30">
        <f>COUNTIF($F73:$AJ73,$C$129)</f>
        <v>0</v>
      </c>
      <c r="AO73" s="30">
        <f>COUNTIF($F73:$AJ73,$C$130)</f>
        <v>0</v>
      </c>
      <c r="AP73" s="30">
        <f>COUNTIF($F73:$AJ73,$C$131)</f>
        <v>0</v>
      </c>
      <c r="AQ73" s="30">
        <f>COUNTIF($F73:$AJ73,$C$132)</f>
        <v>0</v>
      </c>
      <c r="AR73" s="30">
        <f>COUNTIF($F73:$AJ73,$C$133)</f>
        <v>0</v>
      </c>
      <c r="AS73" s="7">
        <f>COUNTIF($F73:$AJ73,$C$134)</f>
        <v>0</v>
      </c>
      <c r="AT73" s="30">
        <f>COUNTIF($F73:$AJ73,$C$135)</f>
        <v>4</v>
      </c>
      <c r="AU73" s="30">
        <f>COUNTIF($F73:$AJ73,$C$136)</f>
        <v>0</v>
      </c>
      <c r="AV73" s="30">
        <f>COUNTIF($F73:$AJ73,$C$137)</f>
        <v>0</v>
      </c>
      <c r="AW73" s="30">
        <f>COUNTIF($F73:$AJ73,$C$138)</f>
        <v>0</v>
      </c>
      <c r="AX73" s="30">
        <f>COUNTIF($F73:$AJ73,$C$139)</f>
        <v>0</v>
      </c>
      <c r="AY73" s="30">
        <f>COUNTA(F73:AJ73)</f>
        <v>13</v>
      </c>
      <c r="AZ73" s="54">
        <f>AK73+AU73</f>
        <v>9</v>
      </c>
      <c r="BA73" s="54" cm="1">
        <f t="array" ref="BA73">IFERROR(
COUNTA(F73:AJ73)-MAX(IF(TRIM(F73:AJ73)="OD",COLUMN(F73:AJ73)-COLUMN(F73)+1)),"")</f>
        <v>2</v>
      </c>
    </row>
    <row r="74" spans="1:53">
      <c r="A74" s="450"/>
      <c r="B74" s="60"/>
      <c r="C74" s="61"/>
      <c r="D74" s="61"/>
      <c r="E74" s="73" t="s">
        <v>34</v>
      </c>
      <c r="F74" s="242">
        <v>3</v>
      </c>
      <c r="G74" s="26"/>
      <c r="H74" s="26">
        <v>3</v>
      </c>
      <c r="I74" s="26">
        <v>3</v>
      </c>
      <c r="J74" s="26">
        <v>3</v>
      </c>
      <c r="K74" s="26"/>
      <c r="L74" s="26">
        <v>3</v>
      </c>
      <c r="M74" s="26">
        <v>3</v>
      </c>
      <c r="N74" s="26"/>
      <c r="O74" s="26">
        <v>3</v>
      </c>
      <c r="P74" s="26"/>
      <c r="Q74" s="26">
        <v>3</v>
      </c>
      <c r="R74" s="26">
        <v>3</v>
      </c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5"/>
      <c r="AE74" s="25"/>
      <c r="AF74" s="25"/>
      <c r="AG74" s="25"/>
      <c r="AH74" s="25"/>
      <c r="AI74" s="25"/>
      <c r="AJ74" s="25"/>
      <c r="AK74" s="459">
        <f>SUM(F74:AJ74)</f>
        <v>27</v>
      </c>
      <c r="AL74" s="445"/>
      <c r="AM74" s="445"/>
      <c r="AN74" s="445"/>
      <c r="AO74" s="445"/>
      <c r="AP74" s="445"/>
      <c r="AQ74" s="445"/>
      <c r="AR74" s="445"/>
      <c r="AS74" s="445"/>
      <c r="AT74" s="445"/>
      <c r="AU74" s="445"/>
      <c r="AV74" s="445"/>
      <c r="AW74" s="445"/>
      <c r="AX74" s="445"/>
      <c r="AY74" s="479"/>
      <c r="AZ74" s="54"/>
    </row>
    <row r="75" spans="1:53">
      <c r="A75" s="449">
        <v>36</v>
      </c>
      <c r="B75" s="67">
        <v>81</v>
      </c>
      <c r="C75" s="56" t="s">
        <v>72</v>
      </c>
      <c r="D75" s="56" t="s">
        <v>31</v>
      </c>
      <c r="E75" s="153" t="s">
        <v>32</v>
      </c>
      <c r="F75" s="401" t="s">
        <v>17</v>
      </c>
      <c r="G75" s="401" t="s">
        <v>17</v>
      </c>
      <c r="H75" s="401" t="s">
        <v>17</v>
      </c>
      <c r="I75" s="401" t="s">
        <v>17</v>
      </c>
      <c r="J75" s="401" t="s">
        <v>17</v>
      </c>
      <c r="K75" s="401" t="s">
        <v>17</v>
      </c>
      <c r="L75" s="401" t="s">
        <v>17</v>
      </c>
      <c r="M75" s="401" t="s">
        <v>17</v>
      </c>
      <c r="N75" s="401" t="s">
        <v>17</v>
      </c>
      <c r="O75" s="401" t="s">
        <v>17</v>
      </c>
      <c r="P75" s="401" t="s">
        <v>17</v>
      </c>
      <c r="Q75" s="401" t="s">
        <v>17</v>
      </c>
      <c r="R75" s="401" t="s">
        <v>17</v>
      </c>
      <c r="S75" s="401" t="s">
        <v>17</v>
      </c>
      <c r="T75" s="123" t="s">
        <v>17</v>
      </c>
      <c r="U75" s="123" t="s">
        <v>17</v>
      </c>
      <c r="V75" s="123" t="s">
        <v>17</v>
      </c>
      <c r="W75" s="123" t="s">
        <v>17</v>
      </c>
      <c r="X75" s="123" t="s">
        <v>17</v>
      </c>
      <c r="Y75" s="123" t="s">
        <v>17</v>
      </c>
      <c r="Z75" s="123" t="s">
        <v>17</v>
      </c>
      <c r="AA75" s="123" t="s">
        <v>17</v>
      </c>
      <c r="AB75" s="123" t="s">
        <v>17</v>
      </c>
      <c r="AC75" s="123" t="s">
        <v>17</v>
      </c>
      <c r="AD75" s="123" t="s">
        <v>17</v>
      </c>
      <c r="AE75" s="123" t="s">
        <v>17</v>
      </c>
      <c r="AF75" s="123" t="s">
        <v>17</v>
      </c>
      <c r="AG75" s="123" t="s">
        <v>17</v>
      </c>
      <c r="AH75" s="123" t="s">
        <v>17</v>
      </c>
      <c r="AI75" s="123" t="s">
        <v>17</v>
      </c>
      <c r="AJ75" s="123" t="s">
        <v>17</v>
      </c>
      <c r="AK75" s="30">
        <f>COUNTIF($F75:$AJ75,$C$126)</f>
        <v>0</v>
      </c>
      <c r="AL75" s="30">
        <f>COUNTIF($F75:$AJ75,$C$127)</f>
        <v>0</v>
      </c>
      <c r="AM75" s="30">
        <f>COUNTIF($F75:$AJ75,$C$128)</f>
        <v>0</v>
      </c>
      <c r="AN75" s="30">
        <f>COUNTIF($F75:$AJ75,$C$129)</f>
        <v>31</v>
      </c>
      <c r="AO75" s="30">
        <f>COUNTIF($F75:$AJ75,$C$130)</f>
        <v>0</v>
      </c>
      <c r="AP75" s="30">
        <f>COUNTIF($F75:$AJ75,$C$131)</f>
        <v>0</v>
      </c>
      <c r="AQ75" s="30">
        <f>COUNTIF($F75:$AJ75,$C$132)</f>
        <v>0</v>
      </c>
      <c r="AR75" s="7">
        <f>COUNTIF($F75:$AJ75,$C$133)</f>
        <v>0</v>
      </c>
      <c r="AS75" s="7">
        <f>COUNTIF($F75:$AJ75,$C$134)</f>
        <v>0</v>
      </c>
      <c r="AT75" s="7">
        <f>COUNTIF($F75:$AJ75,$C$135)</f>
        <v>0</v>
      </c>
      <c r="AU75" s="30">
        <f>COUNTIF($F75:$AJ75,$C$136)</f>
        <v>0</v>
      </c>
      <c r="AV75" s="30">
        <f>COUNTIF($F75:$AJ75,$C$137)</f>
        <v>0</v>
      </c>
      <c r="AW75" s="30">
        <f>COUNTIF($F75:$AJ75,$C$138)</f>
        <v>0</v>
      </c>
      <c r="AX75" s="30">
        <f>COUNTIF($F75:$AJ75,$C$139)</f>
        <v>0</v>
      </c>
      <c r="AY75" s="30">
        <f>COUNTA(F75:AJ75)</f>
        <v>31</v>
      </c>
      <c r="AZ75" s="54">
        <f>AK75+AU75</f>
        <v>0</v>
      </c>
      <c r="BA75" s="54" cm="1">
        <f t="array" ref="BA75">IFERROR(
COUNTA(F75:AJ75)-MAX(IF(TRIM(F75:AJ75)="OD",COLUMN(F75:AJ75)-COLUMN(F75)+1)),"")</f>
        <v>31</v>
      </c>
    </row>
    <row r="76" spans="1:53">
      <c r="A76" s="450"/>
      <c r="B76" s="60"/>
      <c r="C76" s="61"/>
      <c r="D76" s="62"/>
      <c r="E76" s="386" t="s">
        <v>34</v>
      </c>
      <c r="F76" s="123"/>
      <c r="G76" s="123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5"/>
      <c r="AE76" s="25"/>
      <c r="AF76" s="25"/>
      <c r="AG76" s="25"/>
      <c r="AH76" s="25"/>
      <c r="AI76" s="25"/>
      <c r="AJ76" s="25"/>
      <c r="AK76" s="459">
        <f>SUM(F76:AJ76)</f>
        <v>0</v>
      </c>
      <c r="AL76" s="445"/>
      <c r="AM76" s="445"/>
      <c r="AN76" s="445"/>
      <c r="AO76" s="445"/>
      <c r="AP76" s="445"/>
      <c r="AQ76" s="445"/>
      <c r="AR76" s="445"/>
      <c r="AS76" s="445"/>
      <c r="AT76" s="445"/>
      <c r="AU76" s="445"/>
      <c r="AV76" s="445"/>
      <c r="AW76" s="445"/>
      <c r="AX76" s="445"/>
      <c r="AY76" s="479"/>
      <c r="AZ76" s="54"/>
    </row>
    <row r="77" spans="1:53">
      <c r="A77" s="449">
        <v>37</v>
      </c>
      <c r="B77" s="67">
        <v>116</v>
      </c>
      <c r="C77" s="56" t="s">
        <v>73</v>
      </c>
      <c r="D77" s="57" t="s">
        <v>31</v>
      </c>
      <c r="E77" s="381" t="s">
        <v>32</v>
      </c>
      <c r="F77" s="123" t="s">
        <v>14</v>
      </c>
      <c r="G77" s="123" t="s">
        <v>14</v>
      </c>
      <c r="H77" s="123" t="s">
        <v>14</v>
      </c>
      <c r="I77" s="123" t="s">
        <v>23</v>
      </c>
      <c r="J77" s="123" t="s">
        <v>14</v>
      </c>
      <c r="K77" s="123" t="s">
        <v>14</v>
      </c>
      <c r="L77" s="123" t="s">
        <v>23</v>
      </c>
      <c r="M77" s="123" t="s">
        <v>14</v>
      </c>
      <c r="N77" s="123" t="s">
        <v>14</v>
      </c>
      <c r="O77" s="123" t="s">
        <v>23</v>
      </c>
      <c r="P77" s="123" t="s">
        <v>14</v>
      </c>
      <c r="Q77" s="123" t="s">
        <v>23</v>
      </c>
      <c r="R77" s="123" t="s">
        <v>14</v>
      </c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30">
        <f>COUNTIF($F77:$AJ77,$C$126)</f>
        <v>9</v>
      </c>
      <c r="AL77" s="30">
        <f>COUNTIF($F77:$AJ77,$C$127)</f>
        <v>0</v>
      </c>
      <c r="AM77" s="30">
        <f>COUNTIF($F77:$AJ77,$C$128)</f>
        <v>0</v>
      </c>
      <c r="AN77" s="30">
        <f>COUNTIF($F77:$AJ77,$C$129)</f>
        <v>0</v>
      </c>
      <c r="AO77" s="30">
        <f>COUNTIF($F77:$AJ77,$C$130)</f>
        <v>0</v>
      </c>
      <c r="AP77" s="74">
        <f>COUNTIF($F77:$AJ77,$C$131)</f>
        <v>0</v>
      </c>
      <c r="AQ77" s="74">
        <f>COUNTIF($F77:$AJ77,$C$132)</f>
        <v>0</v>
      </c>
      <c r="AR77" s="30">
        <f>COUNTIF($F77:$AJ77,$C$133)</f>
        <v>0</v>
      </c>
      <c r="AS77" s="30">
        <f>COUNTIF($F77:$AJ77,$C$134)</f>
        <v>0</v>
      </c>
      <c r="AT77" s="30">
        <f>COUNTIF($F77:$AJ77,$C$135)</f>
        <v>4</v>
      </c>
      <c r="AU77" s="30">
        <f>COUNTIF($F77:$AJ77,$C$136)</f>
        <v>0</v>
      </c>
      <c r="AV77" s="30">
        <f>COUNTIF($F77:$AJ77,$C$137)</f>
        <v>0</v>
      </c>
      <c r="AW77" s="30">
        <f>COUNTIF($F77:$AJ77,$C$138)</f>
        <v>0</v>
      </c>
      <c r="AX77" s="30">
        <f>COUNTIF($F77:$AJ77,$C$139)</f>
        <v>0</v>
      </c>
      <c r="AY77" s="30">
        <f>COUNTA(F77:AJ77)</f>
        <v>13</v>
      </c>
      <c r="AZ77" s="54">
        <f>AK77+AU77</f>
        <v>9</v>
      </c>
      <c r="BA77" s="54" cm="1">
        <f t="array" ref="BA77">IFERROR(
COUNTA(F77:AJ77)-MAX(IF(TRIM(F77:AJ77)="OD",COLUMN(F77:AJ77)-COLUMN(F77)+1)),"")</f>
        <v>1</v>
      </c>
    </row>
    <row r="78" spans="1:53">
      <c r="A78" s="450"/>
      <c r="B78" s="60"/>
      <c r="C78" s="61"/>
      <c r="D78" s="62"/>
      <c r="E78" s="382" t="s">
        <v>34</v>
      </c>
      <c r="F78" s="26">
        <v>3</v>
      </c>
      <c r="G78" s="26">
        <v>3</v>
      </c>
      <c r="H78" s="26">
        <v>3</v>
      </c>
      <c r="I78" s="26"/>
      <c r="J78" s="26">
        <v>3</v>
      </c>
      <c r="K78" s="26">
        <v>3</v>
      </c>
      <c r="L78" s="26"/>
      <c r="M78" s="26"/>
      <c r="N78" s="26">
        <v>3</v>
      </c>
      <c r="O78" s="26"/>
      <c r="P78" s="26">
        <v>3</v>
      </c>
      <c r="Q78" s="26"/>
      <c r="R78" s="26">
        <v>3</v>
      </c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5"/>
      <c r="AE78" s="25"/>
      <c r="AF78" s="25"/>
      <c r="AG78" s="25"/>
      <c r="AH78" s="25"/>
      <c r="AI78" s="25"/>
      <c r="AJ78" s="25"/>
      <c r="AK78" s="459">
        <f>SUM(F78:AJ78)</f>
        <v>24</v>
      </c>
      <c r="AL78" s="445"/>
      <c r="AM78" s="445"/>
      <c r="AN78" s="445"/>
      <c r="AO78" s="445"/>
      <c r="AP78" s="445"/>
      <c r="AQ78" s="445"/>
      <c r="AR78" s="445"/>
      <c r="AS78" s="445"/>
      <c r="AT78" s="445"/>
      <c r="AU78" s="445"/>
      <c r="AV78" s="445"/>
      <c r="AW78" s="445"/>
      <c r="AX78" s="445"/>
      <c r="AY78" s="479"/>
      <c r="AZ78" s="54"/>
    </row>
    <row r="79" spans="1:53">
      <c r="A79" s="449">
        <v>38</v>
      </c>
      <c r="B79" s="67">
        <v>58</v>
      </c>
      <c r="C79" s="56" t="s">
        <v>74</v>
      </c>
      <c r="D79" s="57" t="s">
        <v>31</v>
      </c>
      <c r="E79" s="381" t="s">
        <v>32</v>
      </c>
      <c r="F79" s="123" t="s">
        <v>23</v>
      </c>
      <c r="G79" s="123" t="s">
        <v>14</v>
      </c>
      <c r="H79" s="123" t="s">
        <v>14</v>
      </c>
      <c r="I79" s="123" t="s">
        <v>23</v>
      </c>
      <c r="J79" s="123" t="s">
        <v>14</v>
      </c>
      <c r="K79" s="123" t="s">
        <v>14</v>
      </c>
      <c r="L79" s="123" t="s">
        <v>23</v>
      </c>
      <c r="M79" s="123" t="s">
        <v>14</v>
      </c>
      <c r="N79" s="123" t="s">
        <v>14</v>
      </c>
      <c r="O79" s="123" t="s">
        <v>14</v>
      </c>
      <c r="P79" s="123" t="s">
        <v>23</v>
      </c>
      <c r="Q79" s="123" t="s">
        <v>14</v>
      </c>
      <c r="R79" s="123" t="s">
        <v>14</v>
      </c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30">
        <f>COUNTIF($F79:$AJ79,$C$126)</f>
        <v>9</v>
      </c>
      <c r="AL79" s="30">
        <f>COUNTIF($F79:$AJ79,$C$127)</f>
        <v>0</v>
      </c>
      <c r="AM79" s="30">
        <f>COUNTIF($F79:$AJ79,$C$128)</f>
        <v>0</v>
      </c>
      <c r="AN79" s="30">
        <f>COUNTIF($F79:$AJ79,$C$129)</f>
        <v>0</v>
      </c>
      <c r="AO79" s="30">
        <f>COUNTIF($F79:$AJ79,$C$130)</f>
        <v>0</v>
      </c>
      <c r="AP79" s="30">
        <f>COUNTIF($F79:$AJ79,$C$131)</f>
        <v>0</v>
      </c>
      <c r="AQ79" s="30">
        <f>COUNTIF($F79:$AJ79,$C$132)</f>
        <v>0</v>
      </c>
      <c r="AR79" s="30">
        <f>COUNTIF($F79:$AJ79,$C$133)</f>
        <v>0</v>
      </c>
      <c r="AS79" s="30">
        <f>COUNTIF($F79:$AJ79,$C$134)</f>
        <v>0</v>
      </c>
      <c r="AT79" s="30">
        <f>COUNTIF($F79:$AJ79,$C$135)</f>
        <v>4</v>
      </c>
      <c r="AU79" s="30">
        <f>COUNTIF($F79:$AJ79,$C$136)</f>
        <v>0</v>
      </c>
      <c r="AV79" s="30">
        <f>COUNTIF($F79:$AJ79,$C$137)</f>
        <v>0</v>
      </c>
      <c r="AW79" s="30">
        <f>COUNTIF($F79:$AJ79,$C$138)</f>
        <v>0</v>
      </c>
      <c r="AX79" s="30">
        <f>COUNTIF($F79:$AJ79,$C$139)</f>
        <v>0</v>
      </c>
      <c r="AY79" s="30">
        <f>COUNTA(F79:AJ79)</f>
        <v>13</v>
      </c>
      <c r="AZ79" s="54">
        <f>AK79+AU79</f>
        <v>9</v>
      </c>
      <c r="BA79" s="54" cm="1">
        <f t="array" ref="BA79">IFERROR(
COUNTA(F79:AJ79)-MAX(IF(TRIM(F79:AJ79)="OD",COLUMN(F79:AJ79)-COLUMN(F79)+1)),"")</f>
        <v>2</v>
      </c>
    </row>
    <row r="80" spans="1:53">
      <c r="A80" s="450"/>
      <c r="B80" s="60"/>
      <c r="C80" s="61"/>
      <c r="D80" s="62"/>
      <c r="E80" s="382" t="s">
        <v>34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5"/>
      <c r="AE80" s="25"/>
      <c r="AF80" s="25"/>
      <c r="AG80" s="25"/>
      <c r="AH80" s="25"/>
      <c r="AI80" s="25"/>
      <c r="AJ80" s="25"/>
      <c r="AK80" s="459">
        <f>SUM(F80:AJ80)</f>
        <v>0</v>
      </c>
      <c r="AL80" s="445"/>
      <c r="AM80" s="445"/>
      <c r="AN80" s="445"/>
      <c r="AO80" s="445"/>
      <c r="AP80" s="445"/>
      <c r="AQ80" s="445"/>
      <c r="AR80" s="445"/>
      <c r="AS80" s="445"/>
      <c r="AT80" s="445"/>
      <c r="AU80" s="445"/>
      <c r="AV80" s="445"/>
      <c r="AW80" s="445"/>
      <c r="AX80" s="445"/>
      <c r="AY80" s="479"/>
      <c r="AZ80" s="54"/>
    </row>
    <row r="81" spans="1:54">
      <c r="A81" s="449">
        <v>39</v>
      </c>
      <c r="B81" s="67">
        <v>92</v>
      </c>
      <c r="C81" s="70" t="s">
        <v>75</v>
      </c>
      <c r="D81" s="57" t="s">
        <v>31</v>
      </c>
      <c r="E81" s="381" t="s">
        <v>32</v>
      </c>
      <c r="F81" s="123" t="s">
        <v>14</v>
      </c>
      <c r="G81" s="123" t="s">
        <v>23</v>
      </c>
      <c r="H81" s="45" t="s">
        <v>14</v>
      </c>
      <c r="I81" s="45" t="s">
        <v>14</v>
      </c>
      <c r="J81" s="45" t="s">
        <v>23</v>
      </c>
      <c r="K81" s="45" t="s">
        <v>14</v>
      </c>
      <c r="L81" s="45" t="s">
        <v>14</v>
      </c>
      <c r="M81" s="123" t="s">
        <v>23</v>
      </c>
      <c r="N81" s="45" t="s">
        <v>14</v>
      </c>
      <c r="O81" s="123" t="s">
        <v>14</v>
      </c>
      <c r="P81" s="123" t="s">
        <v>23</v>
      </c>
      <c r="Q81" s="123" t="s">
        <v>14</v>
      </c>
      <c r="R81" s="123" t="s">
        <v>23</v>
      </c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30">
        <f>COUNTIF($F81:$AJ81,$C$126)</f>
        <v>8</v>
      </c>
      <c r="AL81" s="30">
        <f>COUNTIF($F81:$AJ81,$C$127)</f>
        <v>0</v>
      </c>
      <c r="AM81" s="30">
        <f>COUNTIF($F81:$AJ81,$C$128)</f>
        <v>0</v>
      </c>
      <c r="AN81" s="30">
        <f>COUNTIF($F81:$AJ81,$C$129)</f>
        <v>0</v>
      </c>
      <c r="AO81" s="30">
        <f>COUNTIF($F81:$AJ81,$C$130)</f>
        <v>0</v>
      </c>
      <c r="AP81" s="30">
        <f>COUNTIF($F81:$AJ81,$C$131)</f>
        <v>0</v>
      </c>
      <c r="AQ81" s="30">
        <f>COUNTIF($F81:$AJ81,$C$132)</f>
        <v>0</v>
      </c>
      <c r="AR81" s="30">
        <f>COUNTIF($F81:$AJ81,$C$133)</f>
        <v>0</v>
      </c>
      <c r="AS81" s="30">
        <f>COUNTIF($F81:$AJ81,$C$134)</f>
        <v>0</v>
      </c>
      <c r="AT81" s="30">
        <f>COUNTIF($F81:$AJ81,$C$135)</f>
        <v>5</v>
      </c>
      <c r="AU81" s="30">
        <f>COUNTIF($F81:$AJ81,$C$136)</f>
        <v>0</v>
      </c>
      <c r="AV81" s="30">
        <f>COUNTIF($F81:$AJ81,$C$137)</f>
        <v>0</v>
      </c>
      <c r="AW81" s="30">
        <f>COUNTIF($F81:$AJ81,$C$138)</f>
        <v>0</v>
      </c>
      <c r="AX81" s="30">
        <f>COUNTIF($F81:$AJ81,$C$139)</f>
        <v>0</v>
      </c>
      <c r="AY81" s="30">
        <f>COUNTA(F81:AJ81)</f>
        <v>13</v>
      </c>
      <c r="AZ81" s="54">
        <f>AK81+AU81</f>
        <v>8</v>
      </c>
      <c r="BA81" s="54" cm="1">
        <f t="array" ref="BA81">IFERROR(
COUNTA(F81:AJ81)-MAX(IF(TRIM(F81:AJ81)="OD",COLUMN(F81:AJ81)-COLUMN(F81)+1)),"")</f>
        <v>0</v>
      </c>
    </row>
    <row r="82" spans="1:54">
      <c r="A82" s="470"/>
      <c r="B82" s="55"/>
      <c r="C82" s="167"/>
      <c r="D82" s="65"/>
      <c r="E82" s="382" t="s">
        <v>34</v>
      </c>
      <c r="F82" s="26">
        <v>3</v>
      </c>
      <c r="G82" s="26"/>
      <c r="H82" s="25">
        <v>3</v>
      </c>
      <c r="I82" s="25">
        <v>3</v>
      </c>
      <c r="J82" s="25"/>
      <c r="K82" s="25"/>
      <c r="L82" s="25"/>
      <c r="M82" s="25"/>
      <c r="N82" s="25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5"/>
      <c r="AE82" s="25"/>
      <c r="AF82" s="25"/>
      <c r="AG82" s="25"/>
      <c r="AH82" s="25"/>
      <c r="AI82" s="25"/>
      <c r="AJ82" s="25"/>
      <c r="AK82" s="459">
        <f>SUM(F82:AJ82)</f>
        <v>9</v>
      </c>
      <c r="AL82" s="445"/>
      <c r="AM82" s="445"/>
      <c r="AN82" s="445"/>
      <c r="AO82" s="445"/>
      <c r="AP82" s="445"/>
      <c r="AQ82" s="445"/>
      <c r="AR82" s="445"/>
      <c r="AS82" s="445"/>
      <c r="AT82" s="445"/>
      <c r="AU82" s="445"/>
      <c r="AV82" s="445"/>
      <c r="AW82" s="445"/>
      <c r="AX82" s="445"/>
      <c r="AY82" s="479"/>
      <c r="AZ82" s="54"/>
    </row>
    <row r="83" spans="1:54">
      <c r="A83" s="487">
        <v>40</v>
      </c>
      <c r="B83" s="164">
        <v>103</v>
      </c>
      <c r="C83" s="168" t="s">
        <v>76</v>
      </c>
      <c r="D83" s="168" t="s">
        <v>31</v>
      </c>
      <c r="E83" s="381" t="s">
        <v>32</v>
      </c>
      <c r="F83" s="123" t="s">
        <v>23</v>
      </c>
      <c r="G83" s="123" t="s">
        <v>14</v>
      </c>
      <c r="H83" s="45" t="s">
        <v>14</v>
      </c>
      <c r="I83" s="45" t="s">
        <v>14</v>
      </c>
      <c r="J83" s="45" t="s">
        <v>23</v>
      </c>
      <c r="K83" s="45" t="s">
        <v>14</v>
      </c>
      <c r="L83" s="45" t="s">
        <v>14</v>
      </c>
      <c r="M83" s="123" t="s">
        <v>23</v>
      </c>
      <c r="N83" s="45" t="s">
        <v>14</v>
      </c>
      <c r="O83" s="123" t="s">
        <v>14</v>
      </c>
      <c r="P83" s="123" t="s">
        <v>14</v>
      </c>
      <c r="Q83" s="123" t="s">
        <v>23</v>
      </c>
      <c r="R83" s="123" t="s">
        <v>14</v>
      </c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30">
        <f>COUNTIF($F83:$AJ83,$C$126)</f>
        <v>9</v>
      </c>
      <c r="AL83" s="30">
        <f>COUNTIF($F83:$AJ83,$C$127)</f>
        <v>0</v>
      </c>
      <c r="AM83" s="30">
        <f>COUNTIF($F83:$AJ83,$C$128)</f>
        <v>0</v>
      </c>
      <c r="AN83" s="30">
        <f>COUNTIF($F83:$AJ83,$C$129)</f>
        <v>0</v>
      </c>
      <c r="AO83" s="30">
        <f>COUNTIF($F83:$AJ83,$C$130)</f>
        <v>0</v>
      </c>
      <c r="AP83" s="30">
        <f>COUNTIF($F83:$AJ83,$C$131)</f>
        <v>0</v>
      </c>
      <c r="AQ83" s="30">
        <f>COUNTIF($F83:$AJ83,$C$132)</f>
        <v>0</v>
      </c>
      <c r="AR83" s="30">
        <f>COUNTIF($F83:$AJ83,$C$133)</f>
        <v>0</v>
      </c>
      <c r="AS83" s="30">
        <f>COUNTIF($F83:$AJ83,$C$134)</f>
        <v>0</v>
      </c>
      <c r="AT83" s="30">
        <f>COUNTIF($F83:$AJ83,$C$135)</f>
        <v>4</v>
      </c>
      <c r="AU83" s="30">
        <f>COUNTIF($F83:$AJ83,$C$136)</f>
        <v>0</v>
      </c>
      <c r="AV83" s="30">
        <f>COUNTIF($F83:$AJ83,$C$137)</f>
        <v>0</v>
      </c>
      <c r="AW83" s="30">
        <f>COUNTIF($F83:$AJ83,$C$138)</f>
        <v>0</v>
      </c>
      <c r="AX83" s="30">
        <f>COUNTIF($F83:$AJ83,$C$139)</f>
        <v>0</v>
      </c>
      <c r="AY83" s="30">
        <f>COUNTA(F83:AJ83)</f>
        <v>13</v>
      </c>
      <c r="AZ83" s="54">
        <f>AK83+AU83</f>
        <v>9</v>
      </c>
      <c r="BA83" s="54" cm="1">
        <f t="array" ref="BA83">IFERROR(
COUNTA(F83:AJ83)-MAX(IF(TRIM(F83:AJ83)="OD",COLUMN(F83:AJ83)-COLUMN(F83)+1)),"")</f>
        <v>1</v>
      </c>
    </row>
    <row r="84" spans="1:54">
      <c r="A84" s="488"/>
      <c r="B84" s="162"/>
      <c r="C84" s="169"/>
      <c r="D84" s="169"/>
      <c r="E84" s="382" t="s">
        <v>34</v>
      </c>
      <c r="F84" s="26"/>
      <c r="G84" s="26">
        <v>3</v>
      </c>
      <c r="H84" s="25">
        <v>3</v>
      </c>
      <c r="I84" s="25"/>
      <c r="J84" s="25"/>
      <c r="K84" s="25"/>
      <c r="L84" s="25"/>
      <c r="M84" s="25"/>
      <c r="N84" s="25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5"/>
      <c r="AE84" s="25"/>
      <c r="AF84" s="25"/>
      <c r="AG84" s="25"/>
      <c r="AH84" s="25"/>
      <c r="AI84" s="25"/>
      <c r="AJ84" s="25"/>
      <c r="AK84" s="459">
        <f>SUM(F84:AJ84)</f>
        <v>6</v>
      </c>
      <c r="AL84" s="445"/>
      <c r="AM84" s="445"/>
      <c r="AN84" s="445"/>
      <c r="AO84" s="445"/>
      <c r="AP84" s="445"/>
      <c r="AQ84" s="445"/>
      <c r="AR84" s="445"/>
      <c r="AS84" s="445"/>
      <c r="AT84" s="445"/>
      <c r="AU84" s="445"/>
      <c r="AV84" s="445"/>
      <c r="AW84" s="445"/>
      <c r="AX84" s="445"/>
      <c r="AY84" s="479"/>
      <c r="AZ84" s="54"/>
    </row>
    <row r="85" spans="1:54">
      <c r="A85" s="425">
        <v>41</v>
      </c>
      <c r="B85" s="165">
        <v>117</v>
      </c>
      <c r="C85" s="170" t="s">
        <v>77</v>
      </c>
      <c r="D85" s="170" t="s">
        <v>31</v>
      </c>
      <c r="E85" s="387" t="s">
        <v>32</v>
      </c>
      <c r="F85" s="365" t="s">
        <v>22</v>
      </c>
      <c r="G85" s="130" t="s">
        <v>22</v>
      </c>
      <c r="H85" s="126" t="s">
        <v>22</v>
      </c>
      <c r="I85" s="45" t="s">
        <v>22</v>
      </c>
      <c r="J85" s="45" t="s">
        <v>22</v>
      </c>
      <c r="K85" s="45" t="s">
        <v>22</v>
      </c>
      <c r="L85" s="45" t="s">
        <v>22</v>
      </c>
      <c r="M85" s="123" t="s">
        <v>22</v>
      </c>
      <c r="N85" s="45" t="s">
        <v>22</v>
      </c>
      <c r="O85" s="24" t="s">
        <v>22</v>
      </c>
      <c r="P85" s="24" t="s">
        <v>22</v>
      </c>
      <c r="Q85" s="24" t="s">
        <v>22</v>
      </c>
      <c r="R85" s="24" t="s">
        <v>22</v>
      </c>
      <c r="S85" s="24" t="s">
        <v>22</v>
      </c>
      <c r="T85" s="24" t="s">
        <v>22</v>
      </c>
      <c r="U85" s="24" t="s">
        <v>22</v>
      </c>
      <c r="V85" s="24" t="s">
        <v>22</v>
      </c>
      <c r="W85" s="24" t="s">
        <v>22</v>
      </c>
      <c r="X85" s="24" t="s">
        <v>22</v>
      </c>
      <c r="Y85" s="24" t="s">
        <v>22</v>
      </c>
      <c r="Z85" s="24" t="s">
        <v>22</v>
      </c>
      <c r="AA85" s="24" t="s">
        <v>22</v>
      </c>
      <c r="AB85" s="24" t="s">
        <v>22</v>
      </c>
      <c r="AC85" s="24" t="s">
        <v>21</v>
      </c>
      <c r="AD85" s="24" t="s">
        <v>21</v>
      </c>
      <c r="AE85" s="24" t="s">
        <v>21</v>
      </c>
      <c r="AF85" s="24" t="s">
        <v>21</v>
      </c>
      <c r="AG85" s="24" t="s">
        <v>21</v>
      </c>
      <c r="AH85" s="24" t="s">
        <v>21</v>
      </c>
      <c r="AI85" s="24" t="s">
        <v>21</v>
      </c>
      <c r="AJ85" s="24" t="s">
        <v>21</v>
      </c>
      <c r="AK85" s="30">
        <f>COUNTIF($F85:$AJ85,$C$126)</f>
        <v>0</v>
      </c>
      <c r="AL85" s="30">
        <f>COUNTIF($F85:$AJ85,$C$127)</f>
        <v>0</v>
      </c>
      <c r="AM85" s="30">
        <f>COUNTIF($F85:$AJ85,$C$128)</f>
        <v>0</v>
      </c>
      <c r="AN85" s="30">
        <f>COUNTIF($F85:$AJ85,$C$129)</f>
        <v>0</v>
      </c>
      <c r="AO85" s="30">
        <f>COUNTIF($F85:$AJ85,$C$130)</f>
        <v>0</v>
      </c>
      <c r="AP85" s="30">
        <f>COUNTIF($F85:$AJ85,$C$131)</f>
        <v>0</v>
      </c>
      <c r="AQ85" s="30">
        <f>COUNTIF($F85:$AJ85,$C$132)</f>
        <v>0</v>
      </c>
      <c r="AR85" s="7">
        <f>COUNTIF($F85:$AJ85,$C$133)</f>
        <v>8</v>
      </c>
      <c r="AS85" s="7">
        <f>COUNTIF($F85:$AJ85,$C$134)</f>
        <v>23</v>
      </c>
      <c r="AT85" s="30">
        <f>COUNTIF($F85:$AJ85,$C$135)</f>
        <v>0</v>
      </c>
      <c r="AU85" s="30">
        <f>COUNTIF($F85:$AJ85,$C$136)</f>
        <v>0</v>
      </c>
      <c r="AV85" s="30">
        <f>COUNTIF($F85:$AJ85,$C$137)</f>
        <v>0</v>
      </c>
      <c r="AW85" s="30">
        <f>COUNTIF($F85:$AJ85,$C$138)</f>
        <v>0</v>
      </c>
      <c r="AX85" s="30">
        <f>COUNTIF($F85:$AJ85,$C$139)</f>
        <v>0</v>
      </c>
      <c r="AY85" s="30">
        <f>COUNTA(F85:AJ85)</f>
        <v>31</v>
      </c>
      <c r="AZ85" s="54">
        <f>AK85+AU85</f>
        <v>0</v>
      </c>
      <c r="BA85" s="54" cm="1">
        <f t="array" ref="BA85">IFERROR(
COUNTA(F85:AJ85)-MAX(IF(TRIM(F85:AJ85)="OD",COLUMN(F85:AJ85)-COLUMN(F85)+1)),"")</f>
        <v>31</v>
      </c>
    </row>
    <row r="86" spans="1:54">
      <c r="A86" s="426"/>
      <c r="B86" s="166"/>
      <c r="C86" s="170"/>
      <c r="D86" s="169"/>
      <c r="E86" s="388" t="s">
        <v>34</v>
      </c>
      <c r="F86" s="422"/>
      <c r="G86" s="423"/>
      <c r="H86" s="288"/>
      <c r="I86" s="424"/>
      <c r="J86" s="25"/>
      <c r="K86" s="25"/>
      <c r="L86" s="25"/>
      <c r="M86" s="3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477">
        <f>SUM(F86:AJ86)</f>
        <v>0</v>
      </c>
      <c r="AL86" s="461"/>
      <c r="AM86" s="461"/>
      <c r="AN86" s="461"/>
      <c r="AO86" s="461"/>
      <c r="AP86" s="461"/>
      <c r="AQ86" s="461"/>
      <c r="AR86" s="461"/>
      <c r="AS86" s="461"/>
      <c r="AT86" s="461"/>
      <c r="AU86" s="461"/>
      <c r="AV86" s="461"/>
      <c r="AW86" s="461"/>
      <c r="AX86" s="461"/>
      <c r="AY86" s="480"/>
      <c r="AZ86" s="54"/>
    </row>
    <row r="87" spans="1:54">
      <c r="A87" s="427">
        <v>42</v>
      </c>
      <c r="B87" s="402">
        <v>134</v>
      </c>
      <c r="C87" s="487" t="s">
        <v>78</v>
      </c>
      <c r="D87" s="525" t="s">
        <v>31</v>
      </c>
      <c r="E87" s="383" t="s">
        <v>32</v>
      </c>
      <c r="F87" s="123" t="s">
        <v>14</v>
      </c>
      <c r="G87" s="123" t="s">
        <v>14</v>
      </c>
      <c r="H87" s="45" t="s">
        <v>14</v>
      </c>
      <c r="I87" s="45" t="s">
        <v>23</v>
      </c>
      <c r="J87" s="45" t="s">
        <v>14</v>
      </c>
      <c r="K87" s="45" t="s">
        <v>23</v>
      </c>
      <c r="L87" s="176" t="s">
        <v>14</v>
      </c>
      <c r="M87" s="271" t="s">
        <v>14</v>
      </c>
      <c r="N87" s="123" t="s">
        <v>23</v>
      </c>
      <c r="O87" s="45" t="s">
        <v>14</v>
      </c>
      <c r="P87" s="45" t="s">
        <v>23</v>
      </c>
      <c r="Q87" s="45" t="s">
        <v>14</v>
      </c>
      <c r="R87" s="45" t="s">
        <v>23</v>
      </c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4" t="s">
        <v>21</v>
      </c>
      <c r="AI87" s="24" t="s">
        <v>21</v>
      </c>
      <c r="AJ87" s="24" t="s">
        <v>21</v>
      </c>
      <c r="AK87" s="173">
        <f>COUNTIF($F87:$AJ87,$C$126)</f>
        <v>8</v>
      </c>
      <c r="AL87" s="97">
        <f>COUNTIF($F87:$AJ87,$C$127)</f>
        <v>0</v>
      </c>
      <c r="AM87" s="97">
        <f>COUNTIF($F87:$AJ87,$C$128)</f>
        <v>0</v>
      </c>
      <c r="AN87" s="97">
        <f>COUNTIF($F87:$AJ87,$C$129)</f>
        <v>0</v>
      </c>
      <c r="AO87" s="97">
        <f>COUNTIF($F87:$AJ87,$C$130)</f>
        <v>0</v>
      </c>
      <c r="AP87" s="97">
        <f>COUNTIF($F87:$AJ87,$C$131)</f>
        <v>0</v>
      </c>
      <c r="AQ87" s="97">
        <f>COUNTIF($F87:$AJ87,$C$132)</f>
        <v>0</v>
      </c>
      <c r="AR87" s="174">
        <f>COUNTIF($F87:$AJ87,$C$133)</f>
        <v>3</v>
      </c>
      <c r="AS87" s="174">
        <f>COUNTIF($F87:$AJ87,$C$134)</f>
        <v>0</v>
      </c>
      <c r="AT87" s="97">
        <f>COUNTIF($F87:$AJ87,$C$135)</f>
        <v>5</v>
      </c>
      <c r="AU87" s="97">
        <f>COUNTIF($F87:$AJ87,$C$136)</f>
        <v>0</v>
      </c>
      <c r="AV87" s="97">
        <f>COUNTIF($F87:$AJ87,$C$137)</f>
        <v>0</v>
      </c>
      <c r="AW87" s="97">
        <f>COUNTIF($F87:$AJ87,$C$138)</f>
        <v>0</v>
      </c>
      <c r="AX87" s="97">
        <f>COUNTIF($F87:$AJ87,$C$139)</f>
        <v>0</v>
      </c>
      <c r="AY87" s="175">
        <f>COUNTA(F87:AJ87)</f>
        <v>16</v>
      </c>
      <c r="AZ87" s="54">
        <f t="shared" ref="AZ87:AZ88" si="2">AK87+AU87</f>
        <v>8</v>
      </c>
      <c r="BA87" s="54" cm="1">
        <f t="array" ref="BA87">IFERROR(
COUNTA(F87:AJ87)-MAX(IF(TRIM(F87:AJ87)="OD",COLUMN(F87:AJ87)-COLUMN(F87)+1)),"")</f>
        <v>3</v>
      </c>
    </row>
    <row r="88" spans="1:54">
      <c r="A88" s="427"/>
      <c r="B88" s="402"/>
      <c r="C88" s="488"/>
      <c r="D88" s="526"/>
      <c r="E88" s="295" t="s">
        <v>34</v>
      </c>
      <c r="F88" s="296">
        <v>1</v>
      </c>
      <c r="G88" s="39">
        <v>3</v>
      </c>
      <c r="H88" s="39">
        <v>3</v>
      </c>
      <c r="I88" s="37"/>
      <c r="J88" s="37"/>
      <c r="K88" s="37"/>
      <c r="L88" s="37"/>
      <c r="M88" s="35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484">
        <f>SUM(F88:AJ88)</f>
        <v>7</v>
      </c>
      <c r="AL88" s="485"/>
      <c r="AM88" s="485"/>
      <c r="AN88" s="485"/>
      <c r="AO88" s="485"/>
      <c r="AP88" s="485"/>
      <c r="AQ88" s="485"/>
      <c r="AR88" s="485"/>
      <c r="AS88" s="485"/>
      <c r="AT88" s="485"/>
      <c r="AU88" s="485"/>
      <c r="AV88" s="485"/>
      <c r="AW88" s="485"/>
      <c r="AX88" s="485"/>
      <c r="AY88" s="486"/>
      <c r="AZ88" s="54"/>
    </row>
    <row r="89" spans="1:54">
      <c r="A89" s="428">
        <v>43</v>
      </c>
      <c r="B89" s="78">
        <v>111</v>
      </c>
      <c r="C89" s="523" t="s">
        <v>79</v>
      </c>
      <c r="D89" s="520" t="s">
        <v>80</v>
      </c>
      <c r="E89" s="293" t="s">
        <v>32</v>
      </c>
      <c r="F89" s="294" t="s">
        <v>23</v>
      </c>
      <c r="G89" s="238" t="s">
        <v>14</v>
      </c>
      <c r="H89" s="47" t="s">
        <v>14</v>
      </c>
      <c r="I89" s="47" t="s">
        <v>14</v>
      </c>
      <c r="J89" s="235" t="s">
        <v>14</v>
      </c>
      <c r="K89" s="235" t="s">
        <v>14</v>
      </c>
      <c r="L89" s="235" t="s">
        <v>23</v>
      </c>
      <c r="M89" s="123" t="s">
        <v>23</v>
      </c>
      <c r="N89" s="235" t="s">
        <v>14</v>
      </c>
      <c r="O89" s="236" t="s">
        <v>14</v>
      </c>
      <c r="P89" s="236" t="s">
        <v>14</v>
      </c>
      <c r="Q89" s="236" t="s">
        <v>14</v>
      </c>
      <c r="R89" s="236" t="s">
        <v>14</v>
      </c>
      <c r="S89" s="236"/>
      <c r="T89" s="236"/>
      <c r="U89" s="236"/>
      <c r="V89" s="236"/>
      <c r="W89" s="236"/>
      <c r="X89" s="235"/>
      <c r="Y89" s="236"/>
      <c r="Z89" s="236"/>
      <c r="AA89" s="235"/>
      <c r="AB89" s="235"/>
      <c r="AC89" s="236"/>
      <c r="AD89" s="236"/>
      <c r="AE89" s="235"/>
      <c r="AF89" s="235"/>
      <c r="AG89" s="47"/>
      <c r="AH89" s="47"/>
      <c r="AI89" s="47"/>
      <c r="AJ89" s="236"/>
      <c r="AK89" s="80">
        <f>COUNTIF($F89:$AJ89,$C$126)</f>
        <v>10</v>
      </c>
      <c r="AL89" s="80">
        <f>COUNTIF($F89:$AJ89,$C$127)</f>
        <v>0</v>
      </c>
      <c r="AM89" s="80">
        <f>COUNTIF($F89:$AJ89,$C$128)</f>
        <v>0</v>
      </c>
      <c r="AN89" s="80">
        <f>COUNTIF($F89:$AJ89,$C$129)</f>
        <v>0</v>
      </c>
      <c r="AO89" s="80">
        <f>COUNTIF($F89:$AJ89,$C$130)</f>
        <v>0</v>
      </c>
      <c r="AP89" s="80">
        <f>COUNTIF($F89:$AJ89,$C$131)</f>
        <v>0</v>
      </c>
      <c r="AQ89" s="80">
        <f>COUNTIF($F89:$AJ89,$C$132)</f>
        <v>0</v>
      </c>
      <c r="AR89" s="80">
        <f>COUNTIF($F89:$AJ89,$C$133)</f>
        <v>0</v>
      </c>
      <c r="AS89" s="80">
        <f>COUNTIF($F89:$AJ89,$C$134)</f>
        <v>0</v>
      </c>
      <c r="AT89" s="80">
        <f>COUNTIF($F89:$AJ89,$C$135)</f>
        <v>3</v>
      </c>
      <c r="AU89" s="80">
        <f>COUNTIF($F89:$AJ89,$C$136)</f>
        <v>0</v>
      </c>
      <c r="AV89" s="80">
        <f>COUNTIF($F89:$AJ89,$C$137)</f>
        <v>0</v>
      </c>
      <c r="AW89" s="80">
        <f>COUNTIF($F89:$AJ89,$C$138)</f>
        <v>0</v>
      </c>
      <c r="AX89" s="80">
        <f>COUNTIF($F89:$AJ89,$C$139)</f>
        <v>0</v>
      </c>
      <c r="AY89" s="81">
        <f>COUNTA(F89:AJ89)</f>
        <v>13</v>
      </c>
      <c r="AZ89" s="54">
        <f>AK89+AU89</f>
        <v>10</v>
      </c>
    </row>
    <row r="90" spans="1:54">
      <c r="A90" s="429"/>
      <c r="B90" s="60"/>
      <c r="C90" s="524"/>
      <c r="D90" s="521"/>
      <c r="E90" s="69" t="s">
        <v>34</v>
      </c>
      <c r="F90" s="404"/>
      <c r="G90" s="239"/>
      <c r="H90" s="237"/>
      <c r="I90" s="24"/>
      <c r="J90" s="23"/>
      <c r="K90" s="24"/>
      <c r="L90" s="23"/>
      <c r="M90" s="24"/>
      <c r="N90" s="23"/>
      <c r="O90" s="24"/>
      <c r="P90" s="24"/>
      <c r="Q90" s="23"/>
      <c r="R90" s="24"/>
      <c r="S90" s="23"/>
      <c r="T90" s="23"/>
      <c r="U90" s="23"/>
      <c r="V90" s="23"/>
      <c r="W90" s="24"/>
      <c r="X90" s="23"/>
      <c r="Y90" s="24"/>
      <c r="Z90" s="24"/>
      <c r="AA90" s="24"/>
      <c r="AB90" s="23"/>
      <c r="AC90" s="24"/>
      <c r="AD90" s="24"/>
      <c r="AE90" s="23"/>
      <c r="AF90" s="24"/>
      <c r="AG90" s="23"/>
      <c r="AH90" s="24"/>
      <c r="AI90" s="23"/>
      <c r="AJ90" s="24"/>
      <c r="AK90" s="459">
        <f>SUM(F90:AJ90)</f>
        <v>0</v>
      </c>
      <c r="AL90" s="445"/>
      <c r="AM90" s="445"/>
      <c r="AN90" s="445"/>
      <c r="AO90" s="445"/>
      <c r="AP90" s="445"/>
      <c r="AQ90" s="445"/>
      <c r="AR90" s="445"/>
      <c r="AS90" s="445"/>
      <c r="AT90" s="445"/>
      <c r="AU90" s="445"/>
      <c r="AV90" s="445"/>
      <c r="AW90" s="445"/>
      <c r="AX90" s="445"/>
      <c r="AY90" s="446"/>
      <c r="AZ90" s="54"/>
    </row>
    <row r="91" spans="1:54">
      <c r="A91" s="430">
        <v>44</v>
      </c>
      <c r="B91" s="67">
        <v>18</v>
      </c>
      <c r="C91" s="510" t="s">
        <v>83</v>
      </c>
      <c r="D91" s="470" t="s">
        <v>84</v>
      </c>
      <c r="E91" s="71" t="s">
        <v>32</v>
      </c>
      <c r="F91" s="379" t="s">
        <v>23</v>
      </c>
      <c r="G91" s="27" t="s">
        <v>14</v>
      </c>
      <c r="H91" s="45" t="s">
        <v>14</v>
      </c>
      <c r="I91" s="45" t="s">
        <v>14</v>
      </c>
      <c r="J91" s="45" t="s">
        <v>14</v>
      </c>
      <c r="K91" s="45" t="s">
        <v>14</v>
      </c>
      <c r="L91" s="45" t="s">
        <v>14</v>
      </c>
      <c r="M91" s="123" t="s">
        <v>23</v>
      </c>
      <c r="N91" s="45" t="s">
        <v>14</v>
      </c>
      <c r="O91" s="45" t="s">
        <v>14</v>
      </c>
      <c r="P91" s="24" t="s">
        <v>14</v>
      </c>
      <c r="Q91" s="24" t="s">
        <v>14</v>
      </c>
      <c r="R91" s="24" t="s">
        <v>14</v>
      </c>
      <c r="S91" s="45"/>
      <c r="T91" s="123"/>
      <c r="U91" s="123"/>
      <c r="V91" s="123"/>
      <c r="W91" s="123"/>
      <c r="X91" s="24"/>
      <c r="Y91" s="24"/>
      <c r="Z91" s="24"/>
      <c r="AA91" s="24"/>
      <c r="AB91" s="24"/>
      <c r="AC91" s="24"/>
      <c r="AD91" s="123"/>
      <c r="AE91" s="24"/>
      <c r="AF91" s="24"/>
      <c r="AG91" s="45"/>
      <c r="AH91" s="45"/>
      <c r="AI91" s="45"/>
      <c r="AJ91" s="24"/>
      <c r="AK91" s="30">
        <f>COUNTIF($F91:$AJ91,$C$126)</f>
        <v>11</v>
      </c>
      <c r="AL91" s="30">
        <f>COUNTIF($F91:$AJ91,$C$127)</f>
        <v>0</v>
      </c>
      <c r="AM91" s="30">
        <f>COUNTIF($F91:$AJ91,$C$128)</f>
        <v>0</v>
      </c>
      <c r="AN91" s="30">
        <f>COUNTIF($F91:$AJ91,$C$129)</f>
        <v>0</v>
      </c>
      <c r="AO91" s="30">
        <f>COUNTIF($F91:$AJ91,$C$130)</f>
        <v>0</v>
      </c>
      <c r="AP91" s="30">
        <f>COUNTIF($F91:$AJ91,$C$131)</f>
        <v>0</v>
      </c>
      <c r="AQ91" s="30">
        <f>COUNTIF($F91:$AJ91,$C$132)</f>
        <v>0</v>
      </c>
      <c r="AR91" s="30">
        <f>COUNTIF($F91:$AJ91,$C$133)</f>
        <v>0</v>
      </c>
      <c r="AS91" s="30">
        <f>COUNTIF($F91:$AJ91,$C$134)</f>
        <v>0</v>
      </c>
      <c r="AT91" s="30">
        <f>COUNTIF($F91:$AJ91,$C$135)</f>
        <v>2</v>
      </c>
      <c r="AU91" s="30">
        <f>COUNTIF($F91:$AJ91,$C$136)</f>
        <v>0</v>
      </c>
      <c r="AV91" s="30">
        <f>COUNTIF($F91:$AJ91,$C$137)</f>
        <v>0</v>
      </c>
      <c r="AW91" s="30">
        <f>COUNTIF($F91:$AJ91,$C$138)</f>
        <v>0</v>
      </c>
      <c r="AX91" s="30">
        <f>COUNTIF($F91:$AJ91,$C$139)</f>
        <v>0</v>
      </c>
      <c r="AY91" s="82">
        <f>COUNTA(F91:AJ91)</f>
        <v>13</v>
      </c>
      <c r="AZ91" s="54">
        <f>AK91+AU91</f>
        <v>11</v>
      </c>
      <c r="BB91" s="34"/>
    </row>
    <row r="92" spans="1:54">
      <c r="A92" s="429"/>
      <c r="B92" s="60"/>
      <c r="C92" s="522"/>
      <c r="D92" s="450"/>
      <c r="E92" s="73" t="s">
        <v>34</v>
      </c>
      <c r="F92" s="400"/>
      <c r="G92" s="27"/>
      <c r="H92" s="45"/>
      <c r="I92" s="45"/>
      <c r="J92" s="45"/>
      <c r="K92" s="45"/>
      <c r="L92" s="45"/>
      <c r="M92" s="45"/>
      <c r="N92" s="45"/>
      <c r="O92" s="45"/>
      <c r="P92" s="24"/>
      <c r="Q92" s="23"/>
      <c r="R92" s="23"/>
      <c r="S92" s="45"/>
      <c r="T92" s="45"/>
      <c r="U92" s="45"/>
      <c r="V92" s="45"/>
      <c r="W92" s="23"/>
      <c r="X92" s="24"/>
      <c r="Y92" s="24"/>
      <c r="Z92" s="25"/>
      <c r="AA92" s="25"/>
      <c r="AB92" s="24"/>
      <c r="AC92" s="24"/>
      <c r="AD92" s="24"/>
      <c r="AE92" s="23"/>
      <c r="AF92" s="23"/>
      <c r="AG92" s="45"/>
      <c r="AH92" s="23"/>
      <c r="AI92" s="24"/>
      <c r="AJ92" s="24"/>
      <c r="AK92" s="459">
        <f>SUM(F92:AJ92)</f>
        <v>0</v>
      </c>
      <c r="AL92" s="445"/>
      <c r="AM92" s="445"/>
      <c r="AN92" s="445"/>
      <c r="AO92" s="445"/>
      <c r="AP92" s="445"/>
      <c r="AQ92" s="445"/>
      <c r="AR92" s="445"/>
      <c r="AS92" s="445"/>
      <c r="AT92" s="445"/>
      <c r="AU92" s="445"/>
      <c r="AV92" s="445"/>
      <c r="AW92" s="445"/>
      <c r="AX92" s="445"/>
      <c r="AY92" s="446"/>
      <c r="AZ92" s="54"/>
      <c r="BB92" s="34"/>
    </row>
    <row r="93" spans="1:54">
      <c r="A93" s="430">
        <v>45</v>
      </c>
      <c r="B93" s="67">
        <v>44</v>
      </c>
      <c r="C93" s="512" t="s">
        <v>85</v>
      </c>
      <c r="D93" s="449" t="s">
        <v>84</v>
      </c>
      <c r="E93" s="71" t="s">
        <v>32</v>
      </c>
      <c r="F93" s="400" t="s">
        <v>14</v>
      </c>
      <c r="G93" s="27" t="s">
        <v>14</v>
      </c>
      <c r="H93" s="45" t="s">
        <v>23</v>
      </c>
      <c r="I93" s="45" t="s">
        <v>14</v>
      </c>
      <c r="J93" s="45" t="s">
        <v>14</v>
      </c>
      <c r="K93" s="45" t="s">
        <v>14</v>
      </c>
      <c r="L93" s="45" t="s">
        <v>14</v>
      </c>
      <c r="M93" s="123" t="s">
        <v>14</v>
      </c>
      <c r="N93" s="45" t="s">
        <v>14</v>
      </c>
      <c r="O93" s="45" t="s">
        <v>23</v>
      </c>
      <c r="P93" s="24" t="s">
        <v>14</v>
      </c>
      <c r="Q93" s="24" t="s">
        <v>14</v>
      </c>
      <c r="R93" s="24" t="s">
        <v>14</v>
      </c>
      <c r="S93" s="24"/>
      <c r="T93" s="24"/>
      <c r="U93" s="24"/>
      <c r="V93" s="24"/>
      <c r="W93" s="24"/>
      <c r="X93" s="45"/>
      <c r="Y93" s="24"/>
      <c r="Z93" s="24"/>
      <c r="AA93" s="24"/>
      <c r="AB93" s="45"/>
      <c r="AC93" s="24"/>
      <c r="AD93" s="24"/>
      <c r="AE93" s="24"/>
      <c r="AF93" s="24"/>
      <c r="AG93" s="24"/>
      <c r="AH93" s="24"/>
      <c r="AI93" s="45"/>
      <c r="AJ93" s="24"/>
      <c r="AK93" s="30">
        <f>COUNTIF($F93:$AJ93,$C$126)</f>
        <v>11</v>
      </c>
      <c r="AL93" s="30">
        <f>COUNTIF($F93:$AJ93,$C$127)</f>
        <v>0</v>
      </c>
      <c r="AM93" s="30">
        <f>COUNTIF($F93:$AJ93,$C$128)</f>
        <v>0</v>
      </c>
      <c r="AN93" s="30">
        <f>COUNTIF($F93:$AJ93,$C$129)</f>
        <v>0</v>
      </c>
      <c r="AO93" s="30">
        <f>COUNTIF($F93:$AJ93,$C$130)</f>
        <v>0</v>
      </c>
      <c r="AP93" s="30">
        <f>COUNTIF($F93:$AJ93,$C$131)</f>
        <v>0</v>
      </c>
      <c r="AQ93" s="30">
        <f>COUNTIF($F93:$AJ93,$C$132)</f>
        <v>0</v>
      </c>
      <c r="AR93" s="30">
        <f>COUNTIF($F93:$AJ93,$C$133)</f>
        <v>0</v>
      </c>
      <c r="AS93" s="30">
        <f>COUNTIF($F93:$AJ93,$C$134)</f>
        <v>0</v>
      </c>
      <c r="AT93" s="30">
        <f>COUNTIF($F93:$AJ93,$C$135)</f>
        <v>2</v>
      </c>
      <c r="AU93" s="30">
        <f>COUNTIF($F93:$AJ93,$C$136)</f>
        <v>0</v>
      </c>
      <c r="AV93" s="30">
        <f>COUNTIF($F93:$AJ93,$C$137)</f>
        <v>0</v>
      </c>
      <c r="AW93" s="30">
        <f>COUNTIF($F93:$AJ93,$C$138)</f>
        <v>0</v>
      </c>
      <c r="AX93" s="30">
        <f>COUNTIF($F93:$AJ93,$C$139)</f>
        <v>0</v>
      </c>
      <c r="AY93" s="82">
        <f>COUNTA(F93:AJ93)</f>
        <v>13</v>
      </c>
      <c r="AZ93" s="54">
        <f>AK93+AU93</f>
        <v>11</v>
      </c>
    </row>
    <row r="94" spans="1:54">
      <c r="A94" s="429"/>
      <c r="B94" s="60"/>
      <c r="C94" s="513"/>
      <c r="D94" s="450"/>
      <c r="E94" s="73" t="s">
        <v>34</v>
      </c>
      <c r="F94" s="400"/>
      <c r="G94" s="27"/>
      <c r="H94" s="45"/>
      <c r="I94" s="45"/>
      <c r="J94" s="45"/>
      <c r="K94" s="45"/>
      <c r="L94" s="45"/>
      <c r="M94" s="45"/>
      <c r="N94" s="45"/>
      <c r="O94" s="45"/>
      <c r="P94" s="24"/>
      <c r="Q94" s="23"/>
      <c r="R94" s="23"/>
      <c r="S94" s="45"/>
      <c r="T94" s="45"/>
      <c r="U94" s="45"/>
      <c r="V94" s="45"/>
      <c r="W94" s="23"/>
      <c r="X94" s="24"/>
      <c r="Y94" s="24"/>
      <c r="Z94" s="24"/>
      <c r="AA94" s="24"/>
      <c r="AB94" s="24"/>
      <c r="AC94" s="24"/>
      <c r="AD94" s="24"/>
      <c r="AE94" s="23"/>
      <c r="AF94" s="23"/>
      <c r="AG94" s="45"/>
      <c r="AH94" s="23"/>
      <c r="AI94" s="24"/>
      <c r="AJ94" s="24"/>
      <c r="AK94" s="459">
        <f>SUM(F94:AJ94)</f>
        <v>0</v>
      </c>
      <c r="AL94" s="445"/>
      <c r="AM94" s="445"/>
      <c r="AN94" s="445"/>
      <c r="AO94" s="445"/>
      <c r="AP94" s="445"/>
      <c r="AQ94" s="445"/>
      <c r="AR94" s="445"/>
      <c r="AS94" s="445"/>
      <c r="AT94" s="445"/>
      <c r="AU94" s="445"/>
      <c r="AV94" s="445"/>
      <c r="AW94" s="445"/>
      <c r="AX94" s="445"/>
      <c r="AY94" s="446"/>
      <c r="AZ94" s="54"/>
    </row>
    <row r="95" spans="1:54">
      <c r="A95" s="430">
        <v>46</v>
      </c>
      <c r="B95" s="67">
        <v>73</v>
      </c>
      <c r="C95" s="512" t="s">
        <v>86</v>
      </c>
      <c r="D95" s="449" t="s">
        <v>84</v>
      </c>
      <c r="E95" s="71" t="s">
        <v>32</v>
      </c>
      <c r="F95" s="400" t="s">
        <v>14</v>
      </c>
      <c r="G95" s="27" t="s">
        <v>14</v>
      </c>
      <c r="H95" s="45" t="s">
        <v>14</v>
      </c>
      <c r="I95" s="45" t="s">
        <v>14</v>
      </c>
      <c r="J95" s="45" t="s">
        <v>23</v>
      </c>
      <c r="K95" s="45" t="s">
        <v>14</v>
      </c>
      <c r="L95" s="45" t="s">
        <v>14</v>
      </c>
      <c r="M95" s="123" t="s">
        <v>14</v>
      </c>
      <c r="N95" s="45" t="s">
        <v>14</v>
      </c>
      <c r="O95" s="45" t="s">
        <v>14</v>
      </c>
      <c r="P95" s="24" t="s">
        <v>14</v>
      </c>
      <c r="Q95" s="24" t="s">
        <v>23</v>
      </c>
      <c r="R95" s="24" t="s">
        <v>14</v>
      </c>
      <c r="S95" s="24"/>
      <c r="T95" s="24"/>
      <c r="U95" s="24"/>
      <c r="V95" s="24"/>
      <c r="W95" s="45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30">
        <f>COUNTIF($F95:$AJ95,$C$126)</f>
        <v>11</v>
      </c>
      <c r="AL95" s="30">
        <f>COUNTIF($F95:$AJ95,$C$127)</f>
        <v>0</v>
      </c>
      <c r="AM95" s="30">
        <f>COUNTIF($F95:$AJ95,$C$128)</f>
        <v>0</v>
      </c>
      <c r="AN95" s="30">
        <f>COUNTIF($F95:$AJ95,$C$129)</f>
        <v>0</v>
      </c>
      <c r="AO95" s="30">
        <f>COUNTIF($F95:$AJ95,$C$130)</f>
        <v>0</v>
      </c>
      <c r="AP95" s="30">
        <f>COUNTIF($F95:$AJ95,$C$131)</f>
        <v>0</v>
      </c>
      <c r="AQ95" s="30">
        <f>COUNTIF($F95:$AJ95,$C$132)</f>
        <v>0</v>
      </c>
      <c r="AR95" s="30">
        <f>COUNTIF($F95:$AJ95,$C$133)</f>
        <v>0</v>
      </c>
      <c r="AS95" s="30">
        <f>COUNTIF($F95:$AJ95,$C$134)</f>
        <v>0</v>
      </c>
      <c r="AT95" s="30">
        <f>COUNTIF($F95:$AJ95,$C$135)</f>
        <v>2</v>
      </c>
      <c r="AU95" s="30">
        <f>COUNTIF($F95:$AJ95,$C$136)</f>
        <v>0</v>
      </c>
      <c r="AV95" s="30">
        <f>COUNTIF($F95:$AJ95,$C$137)</f>
        <v>0</v>
      </c>
      <c r="AW95" s="30">
        <f>COUNTIF($F95:$AJ95,$C$138)</f>
        <v>0</v>
      </c>
      <c r="AX95" s="30">
        <f>COUNTIF($F95:$AJ95,$C$139)</f>
        <v>0</v>
      </c>
      <c r="AY95" s="82">
        <f>COUNTA(F95:AJ95)</f>
        <v>13</v>
      </c>
      <c r="AZ95" s="54">
        <f>AK95+AU95</f>
        <v>11</v>
      </c>
    </row>
    <row r="96" spans="1:54">
      <c r="A96" s="429"/>
      <c r="B96" s="60"/>
      <c r="C96" s="513"/>
      <c r="D96" s="450"/>
      <c r="E96" s="73" t="s">
        <v>34</v>
      </c>
      <c r="F96" s="242"/>
      <c r="G96" s="26">
        <v>1</v>
      </c>
      <c r="H96" s="25"/>
      <c r="I96" s="25"/>
      <c r="J96" s="25"/>
      <c r="K96" s="25"/>
      <c r="L96" s="25"/>
      <c r="M96" s="25"/>
      <c r="N96" s="25"/>
      <c r="O96" s="25"/>
      <c r="P96" s="125"/>
      <c r="Q96" s="125"/>
      <c r="R96" s="1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459">
        <f>SUM(F96:AJ96)</f>
        <v>1</v>
      </c>
      <c r="AL96" s="445"/>
      <c r="AM96" s="445"/>
      <c r="AN96" s="445"/>
      <c r="AO96" s="445"/>
      <c r="AP96" s="445"/>
      <c r="AQ96" s="445"/>
      <c r="AR96" s="445"/>
      <c r="AS96" s="445"/>
      <c r="AT96" s="445"/>
      <c r="AU96" s="445"/>
      <c r="AV96" s="445"/>
      <c r="AW96" s="445"/>
      <c r="AX96" s="445"/>
      <c r="AY96" s="446"/>
      <c r="AZ96" s="54"/>
    </row>
    <row r="97" spans="1:52">
      <c r="A97" s="430">
        <v>47</v>
      </c>
      <c r="B97" s="67">
        <v>113</v>
      </c>
      <c r="C97" s="512" t="s">
        <v>87</v>
      </c>
      <c r="D97" s="449" t="s">
        <v>84</v>
      </c>
      <c r="E97" s="71" t="s">
        <v>32</v>
      </c>
      <c r="F97" s="400" t="s">
        <v>14</v>
      </c>
      <c r="G97" s="27" t="s">
        <v>14</v>
      </c>
      <c r="H97" s="45" t="s">
        <v>14</v>
      </c>
      <c r="I97" s="45" t="s">
        <v>14</v>
      </c>
      <c r="J97" s="45" t="s">
        <v>14</v>
      </c>
      <c r="K97" s="45" t="s">
        <v>23</v>
      </c>
      <c r="L97" s="45" t="s">
        <v>14</v>
      </c>
      <c r="M97" s="123" t="s">
        <v>14</v>
      </c>
      <c r="N97" s="45" t="s">
        <v>14</v>
      </c>
      <c r="O97" s="45" t="s">
        <v>14</v>
      </c>
      <c r="P97" s="45" t="s">
        <v>14</v>
      </c>
      <c r="Q97" s="24" t="s">
        <v>14</v>
      </c>
      <c r="R97" s="24" t="s">
        <v>23</v>
      </c>
      <c r="S97" s="374"/>
      <c r="T97" s="374"/>
      <c r="U97" s="374"/>
      <c r="V97" s="374"/>
      <c r="W97" s="374"/>
      <c r="X97" s="374"/>
      <c r="Y97" s="374"/>
      <c r="Z97" s="373"/>
      <c r="AA97" s="374"/>
      <c r="AB97" s="24"/>
      <c r="AC97" s="24"/>
      <c r="AD97" s="45"/>
      <c r="AE97" s="24"/>
      <c r="AF97" s="24"/>
      <c r="AG97" s="24"/>
      <c r="AH97" s="24"/>
      <c r="AI97" s="44"/>
      <c r="AJ97" s="44"/>
      <c r="AK97" s="30">
        <f>COUNTIF($F97:$AJ97,$C$126)</f>
        <v>11</v>
      </c>
      <c r="AL97" s="30">
        <f>COUNTIF($F97:$AJ97,$C$127)</f>
        <v>0</v>
      </c>
      <c r="AM97" s="30">
        <f>COUNTIF($F97:$AJ97,$C$128)</f>
        <v>0</v>
      </c>
      <c r="AN97" s="30">
        <f>COUNTIF($F97:$AJ97,$C$129)</f>
        <v>0</v>
      </c>
      <c r="AO97" s="30">
        <f>COUNTIF($F97:$AJ97,$C$130)</f>
        <v>0</v>
      </c>
      <c r="AP97" s="30">
        <f>COUNTIF($F97:$AJ97,$C$131)</f>
        <v>0</v>
      </c>
      <c r="AQ97" s="30">
        <f>COUNTIF($F97:$AJ97,$C$132)</f>
        <v>0</v>
      </c>
      <c r="AR97" s="30">
        <f>COUNTIF($F97:$AJ97,$C$133)</f>
        <v>0</v>
      </c>
      <c r="AS97" s="7">
        <f>COUNTIF($F97:$AJ97,$C$134)</f>
        <v>0</v>
      </c>
      <c r="AT97" s="30">
        <f>COUNTIF($F97:$AJ97,$C$135)</f>
        <v>2</v>
      </c>
      <c r="AU97" s="30">
        <f>COUNTIF($F97:$AJ97,$C$136)</f>
        <v>0</v>
      </c>
      <c r="AV97" s="30">
        <f>COUNTIF($F97:$AJ97,$C$137)</f>
        <v>0</v>
      </c>
      <c r="AW97" s="30">
        <f>COUNTIF($F97:$AJ97,$C$138)</f>
        <v>0</v>
      </c>
      <c r="AX97" s="30">
        <f>COUNTIF($F97:$AJ97,$C$139)</f>
        <v>0</v>
      </c>
      <c r="AY97" s="82">
        <f>COUNTA(F97:AJ97)</f>
        <v>13</v>
      </c>
      <c r="AZ97" s="54">
        <f>AK97+AU97</f>
        <v>11</v>
      </c>
    </row>
    <row r="98" spans="1:52">
      <c r="A98" s="429"/>
      <c r="B98" s="60"/>
      <c r="C98" s="513"/>
      <c r="D98" s="450"/>
      <c r="E98" s="73" t="s">
        <v>34</v>
      </c>
      <c r="F98" s="400"/>
      <c r="G98" s="27"/>
      <c r="H98" s="45"/>
      <c r="I98" s="45"/>
      <c r="J98" s="45"/>
      <c r="K98" s="45"/>
      <c r="L98" s="45"/>
      <c r="M98" s="45"/>
      <c r="N98" s="45"/>
      <c r="O98" s="45"/>
      <c r="P98" s="24"/>
      <c r="Q98" s="23"/>
      <c r="R98" s="23"/>
      <c r="S98" s="45"/>
      <c r="T98" s="45"/>
      <c r="U98" s="45"/>
      <c r="V98" s="45"/>
      <c r="W98" s="23"/>
      <c r="X98" s="24"/>
      <c r="Y98" s="24"/>
      <c r="Z98" s="24"/>
      <c r="AA98" s="24"/>
      <c r="AB98" s="24"/>
      <c r="AC98" s="24"/>
      <c r="AD98" s="24"/>
      <c r="AE98" s="23"/>
      <c r="AF98" s="23"/>
      <c r="AG98" s="45"/>
      <c r="AH98" s="23"/>
      <c r="AI98" s="24"/>
      <c r="AJ98" s="24"/>
      <c r="AK98" s="459">
        <f>SUM(F98:AJ98)</f>
        <v>0</v>
      </c>
      <c r="AL98" s="445"/>
      <c r="AM98" s="445"/>
      <c r="AN98" s="445"/>
      <c r="AO98" s="445"/>
      <c r="AP98" s="445"/>
      <c r="AQ98" s="445"/>
      <c r="AR98" s="445"/>
      <c r="AS98" s="445"/>
      <c r="AT98" s="445"/>
      <c r="AU98" s="445"/>
      <c r="AV98" s="445"/>
      <c r="AW98" s="445"/>
      <c r="AX98" s="445"/>
      <c r="AY98" s="446"/>
      <c r="AZ98" s="54"/>
    </row>
    <row r="99" spans="1:52">
      <c r="A99" s="430">
        <v>48</v>
      </c>
      <c r="B99" s="67">
        <v>89</v>
      </c>
      <c r="C99" s="512" t="s">
        <v>88</v>
      </c>
      <c r="D99" s="449" t="s">
        <v>84</v>
      </c>
      <c r="E99" s="71" t="s">
        <v>32</v>
      </c>
      <c r="F99" s="400" t="s">
        <v>14</v>
      </c>
      <c r="G99" s="27" t="s">
        <v>14</v>
      </c>
      <c r="H99" s="45" t="s">
        <v>23</v>
      </c>
      <c r="I99" s="45" t="s">
        <v>14</v>
      </c>
      <c r="J99" s="45" t="s">
        <v>14</v>
      </c>
      <c r="K99" s="45" t="s">
        <v>14</v>
      </c>
      <c r="L99" s="45" t="s">
        <v>14</v>
      </c>
      <c r="M99" s="123" t="s">
        <v>14</v>
      </c>
      <c r="N99" s="45" t="s">
        <v>14</v>
      </c>
      <c r="O99" s="45" t="s">
        <v>23</v>
      </c>
      <c r="P99" s="24" t="s">
        <v>14</v>
      </c>
      <c r="Q99" s="24" t="s">
        <v>14</v>
      </c>
      <c r="R99" s="24" t="s">
        <v>14</v>
      </c>
      <c r="S99" s="24"/>
      <c r="T99" s="24"/>
      <c r="U99" s="24"/>
      <c r="V99" s="24"/>
      <c r="W99" s="24"/>
      <c r="X99" s="24"/>
      <c r="Y99" s="45"/>
      <c r="Z99" s="24"/>
      <c r="AA99" s="24"/>
      <c r="AB99" s="24"/>
      <c r="AC99" s="45"/>
      <c r="AD99" s="24"/>
      <c r="AE99" s="24"/>
      <c r="AF99" s="24"/>
      <c r="AG99" s="24"/>
      <c r="AH99" s="24"/>
      <c r="AI99" s="24"/>
      <c r="AJ99" s="45"/>
      <c r="AK99" s="30">
        <f>COUNTIF($F99:$AJ99,$C$126)</f>
        <v>11</v>
      </c>
      <c r="AL99" s="30">
        <f>COUNTIF($F99:$AJ99,$C$127)</f>
        <v>0</v>
      </c>
      <c r="AM99" s="30">
        <f>COUNTIF($F99:$AJ99,$C$128)</f>
        <v>0</v>
      </c>
      <c r="AN99" s="30">
        <f>COUNTIF($F99:$AJ99,$C$129)</f>
        <v>0</v>
      </c>
      <c r="AO99" s="30">
        <f>COUNTIF($F99:$AJ99,$C$130)</f>
        <v>0</v>
      </c>
      <c r="AP99" s="30">
        <f>COUNTIF($F99:$AJ99,$C$131)</f>
        <v>0</v>
      </c>
      <c r="AQ99" s="30">
        <f>COUNTIF($F99:$AJ99,$C$132)</f>
        <v>0</v>
      </c>
      <c r="AR99" s="30">
        <f>COUNTIF($F99:$AJ99,$C$133)</f>
        <v>0</v>
      </c>
      <c r="AS99" s="30">
        <f>COUNTIF($F99:$AJ99,$C$134)</f>
        <v>0</v>
      </c>
      <c r="AT99" s="30">
        <f>COUNTIF($F99:$AJ99,$C$135)</f>
        <v>2</v>
      </c>
      <c r="AU99" s="30">
        <f>COUNTIF($F99:$AJ99,$C$136)</f>
        <v>0</v>
      </c>
      <c r="AV99" s="30">
        <f>COUNTIF($F99:$AJ99,$C$137)</f>
        <v>0</v>
      </c>
      <c r="AW99" s="30">
        <f>COUNTIF($F99:$AJ99,$C$138)</f>
        <v>0</v>
      </c>
      <c r="AX99" s="30">
        <f>COUNTIF($F99:$AJ99,$C$139)</f>
        <v>0</v>
      </c>
      <c r="AY99" s="82">
        <f>COUNTA(F99:AJ99)</f>
        <v>13</v>
      </c>
      <c r="AZ99" s="54">
        <f>AK99+AU99</f>
        <v>11</v>
      </c>
    </row>
    <row r="100" spans="1:52">
      <c r="A100" s="429"/>
      <c r="B100" s="60"/>
      <c r="C100" s="513"/>
      <c r="D100" s="450"/>
      <c r="E100" s="73" t="s">
        <v>34</v>
      </c>
      <c r="F100" s="400"/>
      <c r="G100" s="27"/>
      <c r="H100" s="45"/>
      <c r="I100" s="45"/>
      <c r="J100" s="45"/>
      <c r="K100" s="45"/>
      <c r="L100" s="45"/>
      <c r="M100" s="45"/>
      <c r="N100" s="45"/>
      <c r="O100" s="45"/>
      <c r="P100" s="24"/>
      <c r="Q100" s="23"/>
      <c r="R100" s="23"/>
      <c r="S100" s="45"/>
      <c r="T100" s="45"/>
      <c r="U100" s="45"/>
      <c r="V100" s="45"/>
      <c r="W100" s="23"/>
      <c r="X100" s="24"/>
      <c r="Y100" s="24"/>
      <c r="Z100" s="25"/>
      <c r="AA100" s="24"/>
      <c r="AB100" s="24"/>
      <c r="AC100" s="24"/>
      <c r="AD100" s="24"/>
      <c r="AE100" s="23"/>
      <c r="AF100" s="23"/>
      <c r="AG100" s="45"/>
      <c r="AH100" s="23"/>
      <c r="AI100" s="24"/>
      <c r="AJ100" s="24"/>
      <c r="AK100" s="459">
        <f>SUM(F100:AJ100)</f>
        <v>0</v>
      </c>
      <c r="AL100" s="445"/>
      <c r="AM100" s="445"/>
      <c r="AN100" s="445"/>
      <c r="AO100" s="445"/>
      <c r="AP100" s="445"/>
      <c r="AQ100" s="445"/>
      <c r="AR100" s="445"/>
      <c r="AS100" s="445"/>
      <c r="AT100" s="445"/>
      <c r="AU100" s="445"/>
      <c r="AV100" s="445"/>
      <c r="AW100" s="445"/>
      <c r="AX100" s="445"/>
      <c r="AY100" s="446"/>
      <c r="AZ100" s="54"/>
    </row>
    <row r="101" spans="1:52">
      <c r="A101" s="430">
        <v>49</v>
      </c>
      <c r="B101" s="67">
        <v>118</v>
      </c>
      <c r="C101" s="512" t="s">
        <v>89</v>
      </c>
      <c r="D101" s="449" t="s">
        <v>84</v>
      </c>
      <c r="E101" s="71" t="s">
        <v>32</v>
      </c>
      <c r="F101" s="400" t="s">
        <v>14</v>
      </c>
      <c r="G101" s="27" t="s">
        <v>14</v>
      </c>
      <c r="H101" s="45" t="s">
        <v>14</v>
      </c>
      <c r="I101" s="45" t="s">
        <v>23</v>
      </c>
      <c r="J101" s="45" t="s">
        <v>14</v>
      </c>
      <c r="K101" s="45" t="s">
        <v>14</v>
      </c>
      <c r="L101" s="45" t="s">
        <v>14</v>
      </c>
      <c r="M101" s="123" t="s">
        <v>14</v>
      </c>
      <c r="N101" s="45" t="s">
        <v>14</v>
      </c>
      <c r="O101" s="45" t="s">
        <v>21</v>
      </c>
      <c r="P101" s="24" t="s">
        <v>21</v>
      </c>
      <c r="Q101" s="45" t="s">
        <v>21</v>
      </c>
      <c r="R101" s="24" t="s">
        <v>21</v>
      </c>
      <c r="S101" s="24" t="s">
        <v>21</v>
      </c>
      <c r="T101" s="24" t="s">
        <v>21</v>
      </c>
      <c r="U101" s="24" t="s">
        <v>21</v>
      </c>
      <c r="V101" s="24" t="s">
        <v>21</v>
      </c>
      <c r="W101" s="24" t="s">
        <v>21</v>
      </c>
      <c r="X101" s="24" t="s">
        <v>21</v>
      </c>
      <c r="Y101" s="45" t="s">
        <v>21</v>
      </c>
      <c r="Z101" s="24" t="s">
        <v>21</v>
      </c>
      <c r="AA101" s="24" t="s">
        <v>21</v>
      </c>
      <c r="AB101" s="24" t="s">
        <v>21</v>
      </c>
      <c r="AC101" s="24" t="s">
        <v>21</v>
      </c>
      <c r="AD101" s="24" t="s">
        <v>21</v>
      </c>
      <c r="AE101" s="45" t="s">
        <v>21</v>
      </c>
      <c r="AF101" s="24" t="s">
        <v>21</v>
      </c>
      <c r="AG101" s="24" t="s">
        <v>21</v>
      </c>
      <c r="AH101" s="24" t="s">
        <v>21</v>
      </c>
      <c r="AI101" s="24" t="s">
        <v>21</v>
      </c>
      <c r="AJ101" s="24" t="s">
        <v>21</v>
      </c>
      <c r="AK101" s="30">
        <f>COUNTIF($F101:$AJ101,$C$126)</f>
        <v>8</v>
      </c>
      <c r="AL101" s="30">
        <f>COUNTIF($F101:$AJ101,$C$127)</f>
        <v>0</v>
      </c>
      <c r="AM101" s="30">
        <f>COUNTIF($F101:$AJ101,$C$128)</f>
        <v>0</v>
      </c>
      <c r="AN101" s="30">
        <f>COUNTIF($F101:$AJ101,$C$129)</f>
        <v>0</v>
      </c>
      <c r="AO101" s="30">
        <f>COUNTIF($F101:$AJ101,$C$130)</f>
        <v>0</v>
      </c>
      <c r="AP101" s="30">
        <f>COUNTIF($F101:$AJ101,$C$131)</f>
        <v>0</v>
      </c>
      <c r="AQ101" s="30">
        <f>COUNTIF($F101:$AJ101,$C$132)</f>
        <v>0</v>
      </c>
      <c r="AR101" s="30">
        <f>COUNTIF($F101:$AJ101,$C$133)</f>
        <v>22</v>
      </c>
      <c r="AS101" s="30">
        <f>COUNTIF($F101:$AJ101,$C$134)</f>
        <v>0</v>
      </c>
      <c r="AT101" s="30">
        <f>COUNTIF($F101:$AJ101,$C$135)</f>
        <v>1</v>
      </c>
      <c r="AU101" s="30">
        <f>COUNTIF($F101:$AJ101,$C$136)</f>
        <v>0</v>
      </c>
      <c r="AV101" s="30">
        <f>COUNTIF($F101:$AJ101,$C$137)</f>
        <v>0</v>
      </c>
      <c r="AW101" s="30">
        <f>COUNTIF($F101:$AJ101,$C$138)</f>
        <v>0</v>
      </c>
      <c r="AX101" s="30">
        <f>COUNTIF($F101:$AJ101,$C$139)</f>
        <v>0</v>
      </c>
      <c r="AY101" s="82">
        <f>COUNTA(F101:AJ101)</f>
        <v>31</v>
      </c>
      <c r="AZ101" s="54">
        <f>AK101+AU101</f>
        <v>8</v>
      </c>
    </row>
    <row r="102" spans="1:52">
      <c r="A102" s="429"/>
      <c r="B102" s="60"/>
      <c r="C102" s="513"/>
      <c r="D102" s="450"/>
      <c r="E102" s="73" t="s">
        <v>34</v>
      </c>
      <c r="F102" s="242">
        <v>1</v>
      </c>
      <c r="G102" s="26">
        <v>1</v>
      </c>
      <c r="H102" s="25">
        <v>1</v>
      </c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459">
        <f>SUM(F102:AJ102)</f>
        <v>3</v>
      </c>
      <c r="AL102" s="445"/>
      <c r="AM102" s="445"/>
      <c r="AN102" s="445"/>
      <c r="AO102" s="445"/>
      <c r="AP102" s="445"/>
      <c r="AQ102" s="445"/>
      <c r="AR102" s="445"/>
      <c r="AS102" s="445"/>
      <c r="AT102" s="445"/>
      <c r="AU102" s="445"/>
      <c r="AV102" s="445"/>
      <c r="AW102" s="445"/>
      <c r="AX102" s="445"/>
      <c r="AY102" s="446"/>
      <c r="AZ102" s="54"/>
    </row>
    <row r="103" spans="1:52">
      <c r="A103" s="430">
        <v>50</v>
      </c>
      <c r="B103" s="67">
        <v>14</v>
      </c>
      <c r="C103" s="512" t="s">
        <v>90</v>
      </c>
      <c r="D103" s="449" t="s">
        <v>84</v>
      </c>
      <c r="E103" s="71" t="s">
        <v>32</v>
      </c>
      <c r="F103" s="400" t="s">
        <v>14</v>
      </c>
      <c r="G103" s="27" t="s">
        <v>14</v>
      </c>
      <c r="H103" s="45" t="s">
        <v>14</v>
      </c>
      <c r="I103" s="45" t="s">
        <v>14</v>
      </c>
      <c r="J103" s="45" t="s">
        <v>14</v>
      </c>
      <c r="K103" s="45" t="s">
        <v>14</v>
      </c>
      <c r="L103" s="45" t="s">
        <v>23</v>
      </c>
      <c r="M103" s="45" t="s">
        <v>14</v>
      </c>
      <c r="N103" s="45" t="s">
        <v>14</v>
      </c>
      <c r="O103" s="45" t="s">
        <v>14</v>
      </c>
      <c r="P103" s="24" t="s">
        <v>14</v>
      </c>
      <c r="Q103" s="24" t="s">
        <v>14</v>
      </c>
      <c r="R103" s="45" t="s">
        <v>14</v>
      </c>
      <c r="S103" s="24"/>
      <c r="T103" s="24"/>
      <c r="U103" s="24"/>
      <c r="V103" s="24"/>
      <c r="W103" s="24"/>
      <c r="X103" s="24"/>
      <c r="Y103" s="24"/>
      <c r="Z103" s="24"/>
      <c r="AA103" s="24"/>
      <c r="AB103" s="44"/>
      <c r="AC103" s="24"/>
      <c r="AD103" s="44"/>
      <c r="AE103" s="44"/>
      <c r="AF103" s="44"/>
      <c r="AG103" s="24"/>
      <c r="AH103" s="24"/>
      <c r="AI103" s="24"/>
      <c r="AJ103" s="24"/>
      <c r="AK103" s="30">
        <f>COUNTIF($F103:$AJ103,$C$126)</f>
        <v>12</v>
      </c>
      <c r="AL103" s="30">
        <f>COUNTIF($F103:$AJ103,$C$127)</f>
        <v>0</v>
      </c>
      <c r="AM103" s="30">
        <f>COUNTIF($F103:$AJ103,$C$128)</f>
        <v>0</v>
      </c>
      <c r="AN103" s="30">
        <f>COUNTIF($F103:$AJ103,$C$129)</f>
        <v>0</v>
      </c>
      <c r="AO103" s="30">
        <f>COUNTIF($F103:$AJ103,$C$130)</f>
        <v>0</v>
      </c>
      <c r="AP103" s="30">
        <f>COUNTIF($F103:$AJ103,$C$131)</f>
        <v>0</v>
      </c>
      <c r="AQ103" s="30">
        <f>COUNTIF($F103:$AJ103,$C$132)</f>
        <v>0</v>
      </c>
      <c r="AR103" s="30">
        <f>COUNTIF($F103:$AJ103,$C$133)</f>
        <v>0</v>
      </c>
      <c r="AS103" s="30">
        <f>COUNTIF($F103:$AJ103,$C$134)</f>
        <v>0</v>
      </c>
      <c r="AT103" s="30">
        <f>COUNTIF($F103:$AJ103,$C$135)</f>
        <v>1</v>
      </c>
      <c r="AU103" s="30">
        <f>COUNTIF($F103:$AJ103,$C$136)</f>
        <v>0</v>
      </c>
      <c r="AV103" s="30">
        <f>COUNTIF($F103:$AJ103,$C$137)</f>
        <v>0</v>
      </c>
      <c r="AW103" s="30">
        <f>COUNTIF($F103:$AJ103,$C$138)</f>
        <v>0</v>
      </c>
      <c r="AX103" s="30">
        <f>COUNTIF($F103:$AJ103,$C$139)</f>
        <v>0</v>
      </c>
      <c r="AY103" s="82">
        <f>COUNTA(F103:AJ103)</f>
        <v>13</v>
      </c>
      <c r="AZ103" s="54">
        <f>AK103+AU103</f>
        <v>12</v>
      </c>
    </row>
    <row r="104" spans="1:52">
      <c r="A104" s="429"/>
      <c r="B104" s="60"/>
      <c r="C104" s="513"/>
      <c r="D104" s="450"/>
      <c r="E104" s="73" t="s">
        <v>34</v>
      </c>
      <c r="F104" s="400"/>
      <c r="G104" s="27"/>
      <c r="H104" s="45"/>
      <c r="I104" s="45"/>
      <c r="J104" s="45"/>
      <c r="K104" s="45"/>
      <c r="L104" s="45"/>
      <c r="M104" s="45"/>
      <c r="N104" s="45"/>
      <c r="O104" s="45"/>
      <c r="P104" s="24"/>
      <c r="Q104" s="23"/>
      <c r="R104" s="23"/>
      <c r="S104" s="45"/>
      <c r="T104" s="45"/>
      <c r="U104" s="45"/>
      <c r="V104" s="45"/>
      <c r="W104" s="23"/>
      <c r="X104" s="24"/>
      <c r="Y104" s="24"/>
      <c r="Z104" s="25"/>
      <c r="AA104" s="25"/>
      <c r="AB104" s="24"/>
      <c r="AC104" s="24"/>
      <c r="AD104" s="24"/>
      <c r="AE104" s="23"/>
      <c r="AF104" s="23"/>
      <c r="AG104" s="45"/>
      <c r="AH104" s="23"/>
      <c r="AI104" s="24"/>
      <c r="AJ104" s="24"/>
      <c r="AK104" s="459">
        <f>SUM(F104:AJ104)</f>
        <v>0</v>
      </c>
      <c r="AL104" s="445"/>
      <c r="AM104" s="445"/>
      <c r="AN104" s="445"/>
      <c r="AO104" s="445"/>
      <c r="AP104" s="445"/>
      <c r="AQ104" s="445"/>
      <c r="AR104" s="445"/>
      <c r="AS104" s="445"/>
      <c r="AT104" s="445"/>
      <c r="AU104" s="445"/>
      <c r="AV104" s="445"/>
      <c r="AW104" s="445"/>
      <c r="AX104" s="445"/>
      <c r="AY104" s="446"/>
      <c r="AZ104" s="54"/>
    </row>
    <row r="105" spans="1:52">
      <c r="A105" s="430">
        <v>51</v>
      </c>
      <c r="B105" s="67">
        <v>132</v>
      </c>
      <c r="C105" s="512" t="s">
        <v>91</v>
      </c>
      <c r="D105" s="449" t="s">
        <v>84</v>
      </c>
      <c r="E105" s="71" t="s">
        <v>32</v>
      </c>
      <c r="F105" s="400" t="s">
        <v>23</v>
      </c>
      <c r="G105" s="27" t="s">
        <v>14</v>
      </c>
      <c r="H105" s="45" t="s">
        <v>14</v>
      </c>
      <c r="I105" s="123" t="s">
        <v>14</v>
      </c>
      <c r="J105" s="45" t="s">
        <v>14</v>
      </c>
      <c r="K105" s="45" t="s">
        <v>14</v>
      </c>
      <c r="L105" s="45" t="s">
        <v>14</v>
      </c>
      <c r="M105" s="123" t="s">
        <v>23</v>
      </c>
      <c r="N105" s="45" t="s">
        <v>14</v>
      </c>
      <c r="O105" s="45" t="s">
        <v>14</v>
      </c>
      <c r="P105" s="45" t="s">
        <v>14</v>
      </c>
      <c r="Q105" s="45" t="s">
        <v>14</v>
      </c>
      <c r="R105" s="24" t="s">
        <v>14</v>
      </c>
      <c r="S105" s="45"/>
      <c r="T105" s="123"/>
      <c r="U105" s="123"/>
      <c r="V105" s="123"/>
      <c r="W105" s="123"/>
      <c r="X105" s="45"/>
      <c r="Y105" s="45"/>
      <c r="Z105" s="24"/>
      <c r="AA105" s="45"/>
      <c r="AB105" s="45"/>
      <c r="AC105" s="45"/>
      <c r="AD105" s="123"/>
      <c r="AE105" s="45"/>
      <c r="AF105" s="24"/>
      <c r="AG105" s="45"/>
      <c r="AH105" s="45"/>
      <c r="AI105" s="45"/>
      <c r="AJ105" s="45"/>
      <c r="AK105" s="30">
        <f>COUNTIF($F105:$AJ105,$C$126)</f>
        <v>11</v>
      </c>
      <c r="AL105" s="30">
        <f>COUNTIF($F105:$AJ105,$C$127)</f>
        <v>0</v>
      </c>
      <c r="AM105" s="30">
        <f>COUNTIF($F105:$AJ105,$C$128)</f>
        <v>0</v>
      </c>
      <c r="AN105" s="30">
        <f>COUNTIF($F105:$AJ105,$C$129)</f>
        <v>0</v>
      </c>
      <c r="AO105" s="30">
        <f>COUNTIF($F105:$AJ105,$C$130)</f>
        <v>0</v>
      </c>
      <c r="AP105" s="30">
        <f>COUNTIF($F105:$AJ105,$C$131)</f>
        <v>0</v>
      </c>
      <c r="AQ105" s="30">
        <f>COUNTIF($F105:$AJ105,$C$132)</f>
        <v>0</v>
      </c>
      <c r="AR105" s="7">
        <f>COUNTIF($F105:$AJ105,$C$133)</f>
        <v>0</v>
      </c>
      <c r="AS105" s="30">
        <f>COUNTIF($F105:$AJ105,$C$134)</f>
        <v>0</v>
      </c>
      <c r="AT105" s="30">
        <f>COUNTIF($F105:$AJ105,$C$135)</f>
        <v>2</v>
      </c>
      <c r="AU105" s="30">
        <f>COUNTIF($F105:$AJ105,$C$136)</f>
        <v>0</v>
      </c>
      <c r="AV105" s="30">
        <f>COUNTIF($F105:$AJ105,$C$137)</f>
        <v>0</v>
      </c>
      <c r="AW105" s="30">
        <f>COUNTIF($F105:$AJ105,$C$138)</f>
        <v>0</v>
      </c>
      <c r="AX105" s="30">
        <f>COUNTIF($F105:$AJ105,$C$139)</f>
        <v>0</v>
      </c>
      <c r="AY105" s="82">
        <f>COUNTA(F105:AJ105)</f>
        <v>13</v>
      </c>
      <c r="AZ105" s="54">
        <f>AK105+AU105</f>
        <v>11</v>
      </c>
    </row>
    <row r="106" spans="1:52">
      <c r="A106" s="429"/>
      <c r="B106" s="60"/>
      <c r="C106" s="513"/>
      <c r="D106" s="450"/>
      <c r="E106" s="73" t="s">
        <v>34</v>
      </c>
      <c r="F106" s="400"/>
      <c r="G106" s="27"/>
      <c r="H106" s="45"/>
      <c r="I106" s="45"/>
      <c r="J106" s="45"/>
      <c r="K106" s="45"/>
      <c r="L106" s="45"/>
      <c r="M106" s="45"/>
      <c r="N106" s="45"/>
      <c r="O106" s="45"/>
      <c r="P106" s="24"/>
      <c r="Q106" s="23"/>
      <c r="R106" s="25"/>
      <c r="S106" s="25"/>
      <c r="T106" s="25"/>
      <c r="U106" s="25"/>
      <c r="V106" s="25"/>
      <c r="W106" s="24"/>
      <c r="X106" s="24"/>
      <c r="Y106" s="24"/>
      <c r="Z106" s="24"/>
      <c r="AA106" s="24"/>
      <c r="AB106" s="24"/>
      <c r="AC106" s="24"/>
      <c r="AD106" s="24"/>
      <c r="AE106" s="23"/>
      <c r="AF106" s="25"/>
      <c r="AG106" s="25"/>
      <c r="AH106" s="24"/>
      <c r="AI106" s="24"/>
      <c r="AJ106" s="24"/>
      <c r="AK106" s="459">
        <f>SUM(F106:AJ106)</f>
        <v>0</v>
      </c>
      <c r="AL106" s="445"/>
      <c r="AM106" s="445"/>
      <c r="AN106" s="445"/>
      <c r="AO106" s="445"/>
      <c r="AP106" s="445"/>
      <c r="AQ106" s="445"/>
      <c r="AR106" s="445"/>
      <c r="AS106" s="445"/>
      <c r="AT106" s="445"/>
      <c r="AU106" s="445"/>
      <c r="AV106" s="445"/>
      <c r="AW106" s="445"/>
      <c r="AX106" s="445"/>
      <c r="AY106" s="446"/>
      <c r="AZ106" s="54"/>
    </row>
    <row r="107" spans="1:52">
      <c r="A107" s="430">
        <v>52</v>
      </c>
      <c r="B107" s="471">
        <v>133</v>
      </c>
      <c r="C107" s="510" t="s">
        <v>92</v>
      </c>
      <c r="D107" s="449" t="s">
        <v>84</v>
      </c>
      <c r="E107" s="71" t="s">
        <v>32</v>
      </c>
      <c r="F107" s="400" t="s">
        <v>14</v>
      </c>
      <c r="G107" s="27" t="s">
        <v>23</v>
      </c>
      <c r="H107" s="45" t="s">
        <v>14</v>
      </c>
      <c r="I107" s="45" t="s">
        <v>14</v>
      </c>
      <c r="J107" s="45" t="s">
        <v>14</v>
      </c>
      <c r="K107" s="45" t="s">
        <v>14</v>
      </c>
      <c r="L107" s="45" t="s">
        <v>14</v>
      </c>
      <c r="M107" s="45" t="s">
        <v>14</v>
      </c>
      <c r="N107" s="45" t="s">
        <v>23</v>
      </c>
      <c r="O107" s="45" t="s">
        <v>21</v>
      </c>
      <c r="P107" s="24" t="s">
        <v>21</v>
      </c>
      <c r="Q107" s="24" t="s">
        <v>21</v>
      </c>
      <c r="R107" s="45" t="s">
        <v>21</v>
      </c>
      <c r="S107" s="24" t="s">
        <v>21</v>
      </c>
      <c r="T107" s="24" t="s">
        <v>21</v>
      </c>
      <c r="U107" s="24" t="s">
        <v>21</v>
      </c>
      <c r="V107" s="24" t="s">
        <v>21</v>
      </c>
      <c r="W107" s="24" t="s">
        <v>21</v>
      </c>
      <c r="X107" s="24" t="s">
        <v>21</v>
      </c>
      <c r="Y107" s="24" t="s">
        <v>21</v>
      </c>
      <c r="Z107" s="24" t="s">
        <v>21</v>
      </c>
      <c r="AA107" s="24" t="s">
        <v>21</v>
      </c>
      <c r="AB107" s="24" t="s">
        <v>21</v>
      </c>
      <c r="AC107" s="24" t="s">
        <v>21</v>
      </c>
      <c r="AD107" s="24" t="s">
        <v>21</v>
      </c>
      <c r="AE107" s="24" t="s">
        <v>21</v>
      </c>
      <c r="AF107" s="45" t="s">
        <v>21</v>
      </c>
      <c r="AG107" s="24" t="s">
        <v>21</v>
      </c>
      <c r="AH107" s="24" t="s">
        <v>21</v>
      </c>
      <c r="AI107" s="24" t="s">
        <v>21</v>
      </c>
      <c r="AJ107" s="24" t="s">
        <v>21</v>
      </c>
      <c r="AK107" s="30">
        <f>COUNTIF($F107:$AJ107,$C$126)</f>
        <v>7</v>
      </c>
      <c r="AL107" s="30">
        <f>COUNTIF($F107:$AJ107,$C$127)</f>
        <v>0</v>
      </c>
      <c r="AM107" s="30">
        <f>COUNTIF($F107:$AJ107,$C$128)</f>
        <v>0</v>
      </c>
      <c r="AN107" s="30">
        <f>COUNTIF($F107:$AJ107,$C$129)</f>
        <v>0</v>
      </c>
      <c r="AO107" s="30">
        <f>COUNTIF($F107:$AJ107,$C$130)</f>
        <v>0</v>
      </c>
      <c r="AP107" s="30">
        <f>COUNTIF($F107:$AJ107,$C$131)</f>
        <v>0</v>
      </c>
      <c r="AQ107" s="30">
        <f>COUNTIF($F107:$AJ107,$C$132)</f>
        <v>0</v>
      </c>
      <c r="AR107" s="30">
        <f>COUNTIF($F107:$AJ107,$C$133)</f>
        <v>22</v>
      </c>
      <c r="AS107" s="30">
        <f>COUNTIF($F107:$AJ107,$C$134)</f>
        <v>0</v>
      </c>
      <c r="AT107" s="30">
        <f>COUNTIF($F107:$AJ107,$C$135)</f>
        <v>2</v>
      </c>
      <c r="AU107" s="30">
        <f>COUNTIF($F107:$AJ107,$C$136)</f>
        <v>0</v>
      </c>
      <c r="AV107" s="30">
        <f>COUNTIF($F107:$AJ107,$C$137)</f>
        <v>0</v>
      </c>
      <c r="AW107" s="30">
        <f>COUNTIF($F107:$AJ107,$C$138)</f>
        <v>0</v>
      </c>
      <c r="AX107" s="30">
        <f>COUNTIF($F107:$AJ107,$C$139)</f>
        <v>0</v>
      </c>
      <c r="AY107" s="82">
        <f>COUNTA(F107:AJ107)</f>
        <v>31</v>
      </c>
      <c r="AZ107" s="54">
        <f>AK107+AU107</f>
        <v>7</v>
      </c>
    </row>
    <row r="108" spans="1:52">
      <c r="A108" s="468"/>
      <c r="B108" s="472"/>
      <c r="C108" s="511"/>
      <c r="D108" s="450"/>
      <c r="E108" s="77" t="s">
        <v>34</v>
      </c>
      <c r="F108" s="244">
        <v>1</v>
      </c>
      <c r="G108" s="39"/>
      <c r="H108" s="37">
        <v>1</v>
      </c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477">
        <f>SUM(F108:AJ108)</f>
        <v>2</v>
      </c>
      <c r="AL108" s="461"/>
      <c r="AM108" s="461"/>
      <c r="AN108" s="461"/>
      <c r="AO108" s="461"/>
      <c r="AP108" s="461"/>
      <c r="AQ108" s="461"/>
      <c r="AR108" s="461"/>
      <c r="AS108" s="461"/>
      <c r="AT108" s="461"/>
      <c r="AU108" s="461"/>
      <c r="AV108" s="461"/>
      <c r="AW108" s="461"/>
      <c r="AX108" s="461"/>
      <c r="AY108" s="478"/>
      <c r="AZ108" s="54"/>
    </row>
    <row r="109" spans="1:52">
      <c r="A109" s="466">
        <v>53</v>
      </c>
      <c r="B109" s="186">
        <v>71</v>
      </c>
      <c r="C109" s="514" t="s">
        <v>93</v>
      </c>
      <c r="D109" s="159" t="s">
        <v>94</v>
      </c>
      <c r="E109" s="232" t="s">
        <v>32</v>
      </c>
      <c r="F109" s="400" t="s">
        <v>14</v>
      </c>
      <c r="G109" s="187" t="s">
        <v>14</v>
      </c>
      <c r="H109" s="188" t="s">
        <v>14</v>
      </c>
      <c r="I109" s="188" t="s">
        <v>14</v>
      </c>
      <c r="J109" s="188" t="s">
        <v>14</v>
      </c>
      <c r="K109" s="188" t="s">
        <v>14</v>
      </c>
      <c r="L109" s="188" t="s">
        <v>23</v>
      </c>
      <c r="M109" s="188" t="s">
        <v>14</v>
      </c>
      <c r="N109" s="188" t="s">
        <v>14</v>
      </c>
      <c r="O109" s="188" t="s">
        <v>14</v>
      </c>
      <c r="P109" s="189" t="s">
        <v>14</v>
      </c>
      <c r="Q109" s="189" t="s">
        <v>14</v>
      </c>
      <c r="R109" s="189" t="s">
        <v>14</v>
      </c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202"/>
      <c r="AK109" s="199">
        <f>COUNTIF($F109:$AJ109,$C$126)</f>
        <v>12</v>
      </c>
      <c r="AL109" s="190">
        <f>COUNTIF($F109:$AJ109,$C$127)</f>
        <v>0</v>
      </c>
      <c r="AM109" s="190">
        <f>COUNTIF($F109:$AJ109,$C$128)</f>
        <v>0</v>
      </c>
      <c r="AN109" s="190">
        <f>COUNTIF($F109:$AJ109,$C$129)</f>
        <v>0</v>
      </c>
      <c r="AO109" s="190">
        <f>COUNTIF($F109:$AJ109,$C$130)</f>
        <v>0</v>
      </c>
      <c r="AP109" s="190">
        <f>COUNTIF($F109:$AJ109,$C$131)</f>
        <v>0</v>
      </c>
      <c r="AQ109" s="190">
        <f>COUNTIF($F109:$AJ109,$C$132)</f>
        <v>0</v>
      </c>
      <c r="AR109" s="191">
        <f>COUNTIF($F109:$AJ109,$C$133)</f>
        <v>0</v>
      </c>
      <c r="AS109" s="191">
        <f>COUNTIF($F109:$AJ109,$C$134)</f>
        <v>0</v>
      </c>
      <c r="AT109" s="190">
        <f>COUNTIF($F109:$AJ109,$C$135)</f>
        <v>1</v>
      </c>
      <c r="AU109" s="190">
        <f>COUNTIF($F109:$AJ109,$C$136)</f>
        <v>0</v>
      </c>
      <c r="AV109" s="190">
        <f>COUNTIF($F109:$AJ109,$C$137)</f>
        <v>0</v>
      </c>
      <c r="AW109" s="190">
        <f>COUNTIF($F109:$AJ109,$C$138)</f>
        <v>0</v>
      </c>
      <c r="AX109" s="190">
        <f>COUNTIF($F109:$AJ109,$C$139)</f>
        <v>0</v>
      </c>
      <c r="AY109" s="218">
        <f>COUNTA(F109:AJ109)</f>
        <v>13</v>
      </c>
      <c r="AZ109" s="54">
        <f>AK109+AU109</f>
        <v>12</v>
      </c>
    </row>
    <row r="110" spans="1:52" ht="17.25" customHeight="1">
      <c r="A110" s="467"/>
      <c r="B110" s="192"/>
      <c r="C110" s="515"/>
      <c r="D110" s="64"/>
      <c r="E110" s="233" t="s">
        <v>34</v>
      </c>
      <c r="F110" s="405"/>
      <c r="G110" s="193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203"/>
      <c r="AK110" s="460">
        <f>SUM(F110:AJ110)</f>
        <v>0</v>
      </c>
      <c r="AL110" s="461"/>
      <c r="AM110" s="462"/>
      <c r="AN110" s="462"/>
      <c r="AO110" s="462"/>
      <c r="AP110" s="462"/>
      <c r="AQ110" s="462"/>
      <c r="AR110" s="462"/>
      <c r="AS110" s="462"/>
      <c r="AT110" s="462"/>
      <c r="AU110" s="462"/>
      <c r="AV110" s="462"/>
      <c r="AW110" s="462"/>
      <c r="AX110" s="462"/>
      <c r="AY110" s="463"/>
      <c r="AZ110" s="54"/>
    </row>
    <row r="111" spans="1:52">
      <c r="A111" s="468">
        <v>54</v>
      </c>
      <c r="B111" s="85">
        <v>131</v>
      </c>
      <c r="C111" s="516" t="s">
        <v>95</v>
      </c>
      <c r="D111" s="171" t="s">
        <v>94</v>
      </c>
      <c r="E111" s="71" t="s">
        <v>32</v>
      </c>
      <c r="F111" s="401" t="s">
        <v>14</v>
      </c>
      <c r="G111" s="193" t="s">
        <v>14</v>
      </c>
      <c r="H111" s="27" t="s">
        <v>14</v>
      </c>
      <c r="I111" s="193" t="s">
        <v>14</v>
      </c>
      <c r="J111" s="193" t="s">
        <v>14</v>
      </c>
      <c r="K111" s="193" t="s">
        <v>23</v>
      </c>
      <c r="L111" s="193" t="s">
        <v>14</v>
      </c>
      <c r="M111" s="188" t="s">
        <v>14</v>
      </c>
      <c r="N111" s="193" t="s">
        <v>14</v>
      </c>
      <c r="O111" s="193" t="s">
        <v>14</v>
      </c>
      <c r="P111" s="196" t="s">
        <v>14</v>
      </c>
      <c r="Q111" s="196" t="s">
        <v>14</v>
      </c>
      <c r="R111" s="196" t="s">
        <v>23</v>
      </c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7"/>
      <c r="AJ111" s="198"/>
      <c r="AK111" s="205">
        <f>COUNTIF($F111:$AJ111,$C$126)</f>
        <v>11</v>
      </c>
      <c r="AL111" s="204">
        <f>COUNTIF($F111:$AJ111,$C$127)</f>
        <v>0</v>
      </c>
      <c r="AM111" s="200">
        <f>COUNTIF($F111:$AJ111,$C$128)</f>
        <v>0</v>
      </c>
      <c r="AN111" s="201">
        <f>COUNTIF($F111:$AJ111,$C$129)</f>
        <v>0</v>
      </c>
      <c r="AO111" s="201">
        <f>COUNTIF($F111:$AJ111,$C$130)</f>
        <v>0</v>
      </c>
      <c r="AP111" s="201">
        <f>COUNTIF($F111:$AJ111,$C$131)</f>
        <v>0</v>
      </c>
      <c r="AQ111" s="201">
        <f>COUNTIF($F111:$AJ111,$C$132)</f>
        <v>0</v>
      </c>
      <c r="AR111" s="201">
        <f>COUNTIF($F111:$AJ111,$C$133)</f>
        <v>0</v>
      </c>
      <c r="AS111" s="201">
        <f>COUNTIF($F111:$AJ111,$C$134)</f>
        <v>0</v>
      </c>
      <c r="AT111" s="201">
        <f>COUNTIF($F111:$AJ111,$C$135)</f>
        <v>2</v>
      </c>
      <c r="AU111" s="201">
        <f>COUNTIF($F111:$AJ111,$C$136)</f>
        <v>0</v>
      </c>
      <c r="AV111" s="201">
        <f>COUNTIF($F111:$AJ111,$C$137)</f>
        <v>0</v>
      </c>
      <c r="AW111" s="201">
        <f>COUNTIF($F111:$AJ111,$C$138)</f>
        <v>0</v>
      </c>
      <c r="AX111" s="201">
        <f>COUNTIF($F111:$AJ111,$C$139)</f>
        <v>0</v>
      </c>
      <c r="AY111" s="219">
        <f>COUNTA(F111:AJ111)</f>
        <v>13</v>
      </c>
      <c r="AZ111" s="54">
        <f>AK111+AU111</f>
        <v>11</v>
      </c>
    </row>
    <row r="112" spans="1:52">
      <c r="A112" s="469"/>
      <c r="B112" s="150"/>
      <c r="C112" s="517"/>
      <c r="D112" s="220"/>
      <c r="E112" s="234" t="s">
        <v>34</v>
      </c>
      <c r="F112" s="406"/>
      <c r="G112" s="152"/>
      <c r="H112" s="152"/>
      <c r="I112" s="41"/>
      <c r="J112" s="134"/>
      <c r="K112" s="101"/>
      <c r="L112" s="134"/>
      <c r="M112" s="10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135"/>
      <c r="AJ112" s="154"/>
      <c r="AK112" s="443">
        <f>SUM(F112:AJ112)</f>
        <v>0</v>
      </c>
      <c r="AL112" s="443"/>
      <c r="AM112" s="443"/>
      <c r="AN112" s="443"/>
      <c r="AO112" s="443"/>
      <c r="AP112" s="443"/>
      <c r="AQ112" s="443"/>
      <c r="AR112" s="443"/>
      <c r="AS112" s="443"/>
      <c r="AT112" s="443"/>
      <c r="AU112" s="443"/>
      <c r="AV112" s="443"/>
      <c r="AW112" s="443"/>
      <c r="AX112" s="443"/>
      <c r="AY112" s="444"/>
      <c r="AZ112" s="54"/>
    </row>
    <row r="113" spans="1:52">
      <c r="A113" s="468">
        <v>55</v>
      </c>
      <c r="B113" s="64">
        <v>125</v>
      </c>
      <c r="C113" s="518" t="s">
        <v>96</v>
      </c>
      <c r="D113" s="64" t="s">
        <v>94</v>
      </c>
      <c r="E113" s="153" t="s">
        <v>32</v>
      </c>
      <c r="F113" s="130" t="s">
        <v>23</v>
      </c>
      <c r="G113" s="281" t="s">
        <v>14</v>
      </c>
      <c r="H113" s="45" t="s">
        <v>14</v>
      </c>
      <c r="I113" s="45" t="s">
        <v>14</v>
      </c>
      <c r="J113" s="45" t="s">
        <v>14</v>
      </c>
      <c r="K113" s="45" t="s">
        <v>14</v>
      </c>
      <c r="L113" s="45" t="s">
        <v>14</v>
      </c>
      <c r="M113" s="123" t="s">
        <v>23</v>
      </c>
      <c r="N113" s="45" t="s">
        <v>14</v>
      </c>
      <c r="O113" s="45" t="s">
        <v>14</v>
      </c>
      <c r="P113" s="24" t="s">
        <v>14</v>
      </c>
      <c r="Q113" s="24" t="s">
        <v>14</v>
      </c>
      <c r="R113" s="24" t="s">
        <v>14</v>
      </c>
      <c r="S113" s="24"/>
      <c r="T113" s="27"/>
      <c r="U113" s="27"/>
      <c r="V113" s="27"/>
      <c r="W113" s="123"/>
      <c r="X113" s="24"/>
      <c r="Y113" s="24"/>
      <c r="Z113" s="24"/>
      <c r="AA113" s="24"/>
      <c r="AB113" s="24"/>
      <c r="AC113" s="24"/>
      <c r="AD113" s="123"/>
      <c r="AE113" s="24"/>
      <c r="AF113" s="24"/>
      <c r="AG113" s="24"/>
      <c r="AH113" s="24"/>
      <c r="AI113" s="40"/>
      <c r="AJ113" s="155"/>
      <c r="AK113" s="157">
        <f>COUNTIF($F113:$AJ113,$C$126)</f>
        <v>11</v>
      </c>
      <c r="AL113" s="136">
        <f>COUNTIF($F113:$AJ113,$C$127)</f>
        <v>0</v>
      </c>
      <c r="AM113" s="136">
        <f>COUNTIF($F113:$AJ113,$C$128)</f>
        <v>0</v>
      </c>
      <c r="AN113" s="136">
        <f>COUNTIF($F113:$AJ113,$C$129)</f>
        <v>0</v>
      </c>
      <c r="AO113" s="136">
        <f>COUNTIF($F113:$AJ113,$C$130)</f>
        <v>0</v>
      </c>
      <c r="AP113" s="136">
        <f>COUNTIF($F113:$AJ113,$C$131)</f>
        <v>0</v>
      </c>
      <c r="AQ113" s="136">
        <f>COUNTIF($F113:$AJ113,$C$132)</f>
        <v>0</v>
      </c>
      <c r="AR113" s="136">
        <f>COUNTIF($F113:$AJ113,$C$133)</f>
        <v>0</v>
      </c>
      <c r="AS113" s="136">
        <f>COUNTIF($F113:$AJ113,$C$134)</f>
        <v>0</v>
      </c>
      <c r="AT113" s="136">
        <f>COUNTIF($F113:$AJ113,$C$135)</f>
        <v>2</v>
      </c>
      <c r="AU113" s="136">
        <f>COUNTIF($F113:$AJ113,$C$136)</f>
        <v>0</v>
      </c>
      <c r="AV113" s="136">
        <f>COUNTIF($F113:$AJ113,$C$137)</f>
        <v>0</v>
      </c>
      <c r="AW113" s="136">
        <f>COUNTIF($F113:$AJ113,$C$138)</f>
        <v>0</v>
      </c>
      <c r="AX113" s="136">
        <f>COUNTIF($F113:$AJ113,$C$139)</f>
        <v>0</v>
      </c>
      <c r="AY113" s="137">
        <f>COUNTA(F113:AJ113)</f>
        <v>13</v>
      </c>
      <c r="AZ113" s="54">
        <f>AK113+AU113</f>
        <v>11</v>
      </c>
    </row>
    <row r="114" spans="1:52" ht="21" customHeight="1">
      <c r="A114" s="468"/>
      <c r="B114" s="64"/>
      <c r="C114" s="519"/>
      <c r="D114" s="65"/>
      <c r="E114" s="302" t="s">
        <v>34</v>
      </c>
      <c r="F114" s="407"/>
      <c r="G114" s="398"/>
      <c r="H114" s="130"/>
      <c r="I114" s="126"/>
      <c r="J114" s="126"/>
      <c r="K114" s="126"/>
      <c r="L114" s="126"/>
      <c r="M114" s="126"/>
      <c r="N114" s="126"/>
      <c r="O114" s="126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03"/>
      <c r="AJ114" s="304"/>
      <c r="AK114" s="461">
        <f>SUM(F114:AJ114)</f>
        <v>0</v>
      </c>
      <c r="AL114" s="461"/>
      <c r="AM114" s="461"/>
      <c r="AN114" s="461"/>
      <c r="AO114" s="461"/>
      <c r="AP114" s="461"/>
      <c r="AQ114" s="461"/>
      <c r="AR114" s="461"/>
      <c r="AS114" s="461"/>
      <c r="AT114" s="461"/>
      <c r="AU114" s="461"/>
      <c r="AV114" s="461"/>
      <c r="AW114" s="461"/>
      <c r="AX114" s="461"/>
      <c r="AY114" s="478"/>
      <c r="AZ114" s="54"/>
    </row>
    <row r="115" spans="1:52">
      <c r="A115" s="428">
        <v>56</v>
      </c>
      <c r="B115" s="506">
        <v>128</v>
      </c>
      <c r="C115" s="506" t="s">
        <v>97</v>
      </c>
      <c r="D115" s="299" t="s">
        <v>98</v>
      </c>
      <c r="E115" s="231" t="s">
        <v>32</v>
      </c>
      <c r="F115" s="399"/>
      <c r="G115" s="391"/>
      <c r="H115" s="47"/>
      <c r="I115" s="47"/>
      <c r="J115" s="235"/>
      <c r="K115" s="235"/>
      <c r="L115" s="235"/>
      <c r="M115" s="294"/>
      <c r="N115" s="235"/>
      <c r="O115" s="236"/>
      <c r="P115" s="236"/>
      <c r="Q115" s="235"/>
      <c r="R115" s="235"/>
      <c r="S115" s="235"/>
      <c r="T115" s="235"/>
      <c r="U115" s="235"/>
      <c r="V115" s="235"/>
      <c r="W115" s="294"/>
      <c r="X115" s="235"/>
      <c r="Y115" s="236"/>
      <c r="Z115" s="236"/>
      <c r="AA115" s="235"/>
      <c r="AB115" s="235"/>
      <c r="AC115" s="236"/>
      <c r="AD115" s="236"/>
      <c r="AE115" s="235"/>
      <c r="AF115" s="235"/>
      <c r="AG115" s="47"/>
      <c r="AH115" s="47"/>
      <c r="AI115" s="300"/>
      <c r="AJ115" s="236"/>
      <c r="AK115" s="301">
        <f>COUNTIF($F115:$AJ115,$C$126)</f>
        <v>0</v>
      </c>
      <c r="AL115" s="80">
        <f>COUNTIF($F115:$AJ115,$C$127)</f>
        <v>0</v>
      </c>
      <c r="AM115" s="80">
        <f>COUNTIF($F115:$AJ115,$C$128)</f>
        <v>0</v>
      </c>
      <c r="AN115" s="80">
        <f>COUNTIF($F115:$AJ115,$C$129)</f>
        <v>0</v>
      </c>
      <c r="AO115" s="80">
        <f>COUNTIF($F115:$AJ115,$C$130)</f>
        <v>0</v>
      </c>
      <c r="AP115" s="80">
        <f>COUNTIF($F115:$AJ115,$C$131)</f>
        <v>0</v>
      </c>
      <c r="AQ115" s="80">
        <f>COUNTIF($F115:$AJ115,$C$132)</f>
        <v>0</v>
      </c>
      <c r="AR115" s="80">
        <f>COUNTIF($F115:$AJ115,$C$133)</f>
        <v>0</v>
      </c>
      <c r="AS115" s="80">
        <f>COUNTIF($F115:$AJ115,$C$134)</f>
        <v>0</v>
      </c>
      <c r="AT115" s="80">
        <f>COUNTIF($F115:$AJ115,$C$135)</f>
        <v>0</v>
      </c>
      <c r="AU115" s="80">
        <f>COUNTIF($F115:$AJ115,$C$136)</f>
        <v>0</v>
      </c>
      <c r="AV115" s="80">
        <f>COUNTIF($F115:$AJ115,$C$137)</f>
        <v>0</v>
      </c>
      <c r="AW115" s="80">
        <f>COUNTIF($F115:$AJ115,$C$138)</f>
        <v>0</v>
      </c>
      <c r="AX115" s="80">
        <f>COUNTIF($F115:$AJ115,$C$139)</f>
        <v>0</v>
      </c>
      <c r="AY115" s="81">
        <f>COUNTA(F115:AJ115)</f>
        <v>0</v>
      </c>
      <c r="AZ115" s="54">
        <f>AK115+AU115</f>
        <v>0</v>
      </c>
    </row>
    <row r="116" spans="1:52">
      <c r="A116" s="429"/>
      <c r="B116" s="507"/>
      <c r="C116" s="488"/>
      <c r="D116" s="88"/>
      <c r="E116" s="73" t="s">
        <v>34</v>
      </c>
      <c r="F116" s="400"/>
      <c r="G116" s="44"/>
      <c r="H116" s="23"/>
      <c r="I116" s="23"/>
      <c r="J116" s="23"/>
      <c r="K116" s="25"/>
      <c r="L116" s="25"/>
      <c r="M116" s="25"/>
      <c r="N116" s="24"/>
      <c r="O116" s="23"/>
      <c r="P116" s="26"/>
      <c r="Q116" s="26"/>
      <c r="R116" s="25"/>
      <c r="S116" s="25"/>
      <c r="T116" s="25"/>
      <c r="U116" s="25"/>
      <c r="V116" s="25"/>
      <c r="W116" s="25"/>
      <c r="X116" s="24"/>
      <c r="Y116" s="23"/>
      <c r="Z116" s="26"/>
      <c r="AA116" s="26"/>
      <c r="AB116" s="24"/>
      <c r="AC116" s="23"/>
      <c r="AD116" s="26"/>
      <c r="AE116" s="26"/>
      <c r="AF116" s="24"/>
      <c r="AG116" s="26"/>
      <c r="AH116" s="26"/>
      <c r="AI116" s="26"/>
      <c r="AJ116" s="26"/>
      <c r="AK116" s="445">
        <f ca="1">SUM(F116:AK116)</f>
        <v>0</v>
      </c>
      <c r="AL116" s="445"/>
      <c r="AM116" s="445"/>
      <c r="AN116" s="445"/>
      <c r="AO116" s="445"/>
      <c r="AP116" s="445"/>
      <c r="AQ116" s="445"/>
      <c r="AR116" s="445"/>
      <c r="AS116" s="445"/>
      <c r="AT116" s="445"/>
      <c r="AU116" s="445"/>
      <c r="AV116" s="445"/>
      <c r="AW116" s="445"/>
      <c r="AX116" s="445"/>
      <c r="AY116" s="446"/>
      <c r="AZ116" s="54"/>
    </row>
    <row r="117" spans="1:52">
      <c r="A117" s="430">
        <v>57</v>
      </c>
      <c r="B117" s="89">
        <v>129</v>
      </c>
      <c r="C117" s="508" t="s">
        <v>99</v>
      </c>
      <c r="D117" s="56" t="s">
        <v>98</v>
      </c>
      <c r="E117" s="71" t="s">
        <v>32</v>
      </c>
      <c r="F117" s="347"/>
      <c r="G117" s="45"/>
      <c r="H117" s="24"/>
      <c r="I117" s="24"/>
      <c r="J117" s="45"/>
      <c r="K117" s="24"/>
      <c r="L117" s="281"/>
      <c r="M117" s="281"/>
      <c r="N117" s="281"/>
      <c r="O117" s="282"/>
      <c r="P117" s="282"/>
      <c r="Q117" s="281"/>
      <c r="R117" s="281"/>
      <c r="S117" s="281"/>
      <c r="T117" s="281"/>
      <c r="U117" s="281"/>
      <c r="V117" s="281"/>
      <c r="W117" s="281"/>
      <c r="X117" s="45"/>
      <c r="Y117" s="24"/>
      <c r="Z117" s="24"/>
      <c r="AA117" s="45"/>
      <c r="AB117" s="24"/>
      <c r="AC117" s="281"/>
      <c r="AD117" s="281"/>
      <c r="AE117" s="281"/>
      <c r="AF117" s="281"/>
      <c r="AG117" s="247"/>
      <c r="AH117" s="44"/>
      <c r="AI117" s="127"/>
      <c r="AJ117" s="129"/>
      <c r="AK117" s="158">
        <f>COUNTIF($F117:$AJ117,$C$126)</f>
        <v>0</v>
      </c>
      <c r="AL117" s="91">
        <f>COUNTIF($F117:$AJ117,$C$127)</f>
        <v>0</v>
      </c>
      <c r="AM117" s="91">
        <f>COUNTIF($F117:$AJ117,$C$128)</f>
        <v>0</v>
      </c>
      <c r="AN117" s="91">
        <f>COUNTIF($F117:$AJ117,$C$129)</f>
        <v>0</v>
      </c>
      <c r="AO117" s="91">
        <f>COUNTIF($F117:$AJ117,$C$130)</f>
        <v>0</v>
      </c>
      <c r="AP117" s="91">
        <f>COUNTIF($F117:$AJ117,$C$131)</f>
        <v>0</v>
      </c>
      <c r="AQ117" s="91">
        <f>COUNTIF($F117:$AJ117,$C$132)</f>
        <v>0</v>
      </c>
      <c r="AR117" s="91">
        <f>COUNTIF($F117:$AJ117,$C$133)</f>
        <v>0</v>
      </c>
      <c r="AS117" s="91">
        <f>COUNTIF($F117:$AJ117,$C$134)</f>
        <v>0</v>
      </c>
      <c r="AT117" s="91">
        <f>COUNTIF($F117:$AJ117,$C$135)</f>
        <v>0</v>
      </c>
      <c r="AU117" s="91">
        <f>COUNTIF($F117:$AJ117,$C$136)</f>
        <v>0</v>
      </c>
      <c r="AV117" s="91">
        <f>COUNTIF($F117:$AJ117,$C$137)</f>
        <v>0</v>
      </c>
      <c r="AW117" s="91">
        <f>COUNTIF($F117:$AJ117,$C$138)</f>
        <v>0</v>
      </c>
      <c r="AX117" s="91">
        <f>COUNTIF($F117:$AJ117,$C$139)</f>
        <v>0</v>
      </c>
      <c r="AY117" s="92">
        <f>COUNTA(F117:AJ117)</f>
        <v>0</v>
      </c>
      <c r="AZ117" s="54">
        <f>AK117+AU117</f>
        <v>0</v>
      </c>
    </row>
    <row r="118" spans="1:52">
      <c r="A118" s="429"/>
      <c r="B118" s="93"/>
      <c r="C118" s="509"/>
      <c r="D118" s="64"/>
      <c r="E118" s="77" t="s">
        <v>34</v>
      </c>
      <c r="F118" s="271"/>
      <c r="G118" s="291"/>
      <c r="H118" s="292"/>
      <c r="I118" s="289"/>
      <c r="J118" s="286"/>
      <c r="K118" s="287"/>
      <c r="L118" s="287"/>
      <c r="M118" s="287"/>
      <c r="N118" s="288"/>
      <c r="O118" s="276"/>
      <c r="P118" s="283"/>
      <c r="Q118" s="278"/>
      <c r="R118" s="278"/>
      <c r="S118" s="278"/>
      <c r="T118" s="278"/>
      <c r="U118" s="278"/>
      <c r="V118" s="278"/>
      <c r="W118" s="278"/>
      <c r="X118" s="279"/>
      <c r="Y118" s="277"/>
      <c r="Z118" s="278"/>
      <c r="AA118" s="279"/>
      <c r="AB118" s="279"/>
      <c r="AC118" s="277"/>
      <c r="AD118" s="279"/>
      <c r="AE118" s="279"/>
      <c r="AF118" s="279"/>
      <c r="AG118" s="280"/>
      <c r="AH118" s="39"/>
      <c r="AI118" s="12"/>
      <c r="AJ118" s="37"/>
      <c r="AK118" s="447">
        <f ca="1">SUM(F118:AK118)</f>
        <v>0</v>
      </c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  <c r="AW118" s="447"/>
      <c r="AX118" s="447"/>
      <c r="AY118" s="448"/>
      <c r="AZ118" s="54"/>
    </row>
    <row r="119" spans="1:52">
      <c r="A119" s="430">
        <v>58</v>
      </c>
      <c r="B119" s="451">
        <v>130</v>
      </c>
      <c r="C119" s="504" t="s">
        <v>100</v>
      </c>
      <c r="D119" s="455" t="s">
        <v>98</v>
      </c>
      <c r="E119" s="95" t="s">
        <v>32</v>
      </c>
      <c r="F119" s="347"/>
      <c r="G119" s="176"/>
      <c r="H119" s="284"/>
      <c r="I119" s="392"/>
      <c r="J119" s="123"/>
      <c r="K119" s="24"/>
      <c r="L119" s="281"/>
      <c r="M119" s="281"/>
      <c r="N119" s="281"/>
      <c r="O119" s="282"/>
      <c r="P119" s="397"/>
      <c r="Q119" s="284"/>
      <c r="R119" s="395"/>
      <c r="S119" s="395"/>
      <c r="T119" s="395"/>
      <c r="U119" s="395"/>
      <c r="V119" s="395"/>
      <c r="W119" s="395"/>
      <c r="X119" s="129"/>
      <c r="Y119" s="396"/>
      <c r="Z119" s="396"/>
      <c r="AA119" s="129"/>
      <c r="AB119" s="395"/>
      <c r="AC119" s="395"/>
      <c r="AD119" s="285"/>
      <c r="AE119" s="395"/>
      <c r="AF119" s="285"/>
      <c r="AG119" s="272"/>
      <c r="AH119" s="265"/>
      <c r="AI119" s="128"/>
      <c r="AJ119" s="129"/>
      <c r="AK119" s="156">
        <f>COUNTIF($F119:$AJ119,$C$128)</f>
        <v>0</v>
      </c>
      <c r="AL119" s="96">
        <f>COUNTIF($F119:$AJ119,$C$129)</f>
        <v>0</v>
      </c>
      <c r="AM119" s="97">
        <f>COUNTIF($F119:$AJ119,$C$130)</f>
        <v>0</v>
      </c>
      <c r="AN119" s="97">
        <f>COUNTIF($F119:$AJ119,$C$131)</f>
        <v>0</v>
      </c>
      <c r="AO119" s="97">
        <f>COUNTIF($F119:$AJ119,$C$132)</f>
        <v>0</v>
      </c>
      <c r="AP119" s="97">
        <f>COUNTIF($F119:$AJ119,$C$133)</f>
        <v>0</v>
      </c>
      <c r="AQ119" s="97">
        <f>COUNTIF($F119:$AJ119,$C$134)</f>
        <v>0</v>
      </c>
      <c r="AR119" s="97">
        <f>COUNTIF($F119:$AJ119,$C$135)</f>
        <v>0</v>
      </c>
      <c r="AS119" s="97">
        <f>COUNTIF($F119:$AJ119,$C$136)</f>
        <v>0</v>
      </c>
      <c r="AT119" s="97">
        <f>COUNTIF($F119:$AJ119,$C$137)</f>
        <v>0</v>
      </c>
      <c r="AU119" s="97">
        <f>COUNTIF($F119:$AJ119,$C$138)</f>
        <v>0</v>
      </c>
      <c r="AV119" s="97">
        <f>COUNTIF($F119:$AJ119,$C$139)</f>
        <v>0</v>
      </c>
      <c r="AW119" s="97">
        <f>COUNTIF($F119:$AJ119,$C$140)</f>
        <v>0</v>
      </c>
      <c r="AX119" s="97">
        <f>COUNTIF($F119:$AJ119,$C$141)</f>
        <v>0</v>
      </c>
      <c r="AY119" s="98">
        <f>COUNTA(F119:AJ119)</f>
        <v>0</v>
      </c>
      <c r="AZ119" s="54">
        <f t="shared" ref="AZ119:AZ120" si="3">AK119+AU119</f>
        <v>0</v>
      </c>
    </row>
    <row r="120" spans="1:52">
      <c r="A120" s="469"/>
      <c r="B120" s="452"/>
      <c r="C120" s="505"/>
      <c r="D120" s="456"/>
      <c r="E120" s="99" t="s">
        <v>34</v>
      </c>
      <c r="F120" s="408"/>
      <c r="G120" s="348"/>
      <c r="H120" s="393"/>
      <c r="I120" s="394"/>
      <c r="J120" s="350"/>
      <c r="K120" s="351"/>
      <c r="L120" s="351"/>
      <c r="M120" s="351"/>
      <c r="N120" s="352"/>
      <c r="O120" s="353"/>
      <c r="P120" s="354"/>
      <c r="Q120" s="36"/>
      <c r="R120" s="36"/>
      <c r="S120" s="36"/>
      <c r="T120" s="36"/>
      <c r="U120" s="36"/>
      <c r="V120" s="36"/>
      <c r="W120" s="36"/>
      <c r="X120" s="35"/>
      <c r="Y120" s="101"/>
      <c r="Z120" s="36"/>
      <c r="AA120" s="35"/>
      <c r="AB120" s="41"/>
      <c r="AC120" s="41"/>
      <c r="AD120" s="41"/>
      <c r="AE120" s="101"/>
      <c r="AF120" s="35"/>
      <c r="AG120" s="35"/>
      <c r="AH120" s="41"/>
      <c r="AI120" s="135"/>
      <c r="AJ120" s="154"/>
      <c r="AK120" s="457">
        <f ca="1">SUM(F120:AK120)</f>
        <v>0</v>
      </c>
      <c r="AL120" s="457"/>
      <c r="AM120" s="457"/>
      <c r="AN120" s="457"/>
      <c r="AO120" s="457"/>
      <c r="AP120" s="457"/>
      <c r="AQ120" s="457"/>
      <c r="AR120" s="457"/>
      <c r="AS120" s="457"/>
      <c r="AT120" s="457"/>
      <c r="AU120" s="457"/>
      <c r="AV120" s="457"/>
      <c r="AW120" s="457"/>
      <c r="AX120" s="457"/>
      <c r="AY120" s="458"/>
      <c r="AZ120" s="54"/>
    </row>
    <row r="121" spans="1:52">
      <c r="A121" s="8"/>
      <c r="B121" s="9"/>
      <c r="C121" s="10"/>
      <c r="D121" s="8"/>
      <c r="E121" s="11" t="s">
        <v>101</v>
      </c>
      <c r="F121" s="102">
        <f t="shared" ref="F121:N121" si="4">COUNTIF(F5:F88,"P")</f>
        <v>26</v>
      </c>
      <c r="G121" s="12">
        <f t="shared" si="4"/>
        <v>29</v>
      </c>
      <c r="H121" s="12">
        <f t="shared" si="4"/>
        <v>31</v>
      </c>
      <c r="I121" s="12">
        <f t="shared" si="4"/>
        <v>29</v>
      </c>
      <c r="J121" s="12">
        <f t="shared" si="4"/>
        <v>28</v>
      </c>
      <c r="K121" s="12">
        <f t="shared" si="4"/>
        <v>26</v>
      </c>
      <c r="L121" s="12">
        <f t="shared" si="4"/>
        <v>27</v>
      </c>
      <c r="M121" s="12">
        <f t="shared" si="4"/>
        <v>28</v>
      </c>
      <c r="N121" s="12">
        <f t="shared" si="4"/>
        <v>25</v>
      </c>
      <c r="O121" s="12">
        <f>COUNTIF(O5:O88,"P")</f>
        <v>22</v>
      </c>
      <c r="P121" s="12">
        <f t="shared" ref="P121:AJ121" si="5">COUNTIF(P5:P88,"P")</f>
        <v>22</v>
      </c>
      <c r="Q121" s="12">
        <f t="shared" si="5"/>
        <v>21</v>
      </c>
      <c r="R121" s="12">
        <f t="shared" si="5"/>
        <v>20</v>
      </c>
      <c r="S121" s="12">
        <f t="shared" si="5"/>
        <v>0</v>
      </c>
      <c r="T121" s="12"/>
      <c r="U121" s="12"/>
      <c r="V121" s="12"/>
      <c r="W121" s="12">
        <f t="shared" si="5"/>
        <v>0</v>
      </c>
      <c r="X121" s="12">
        <f t="shared" si="5"/>
        <v>0</v>
      </c>
      <c r="Y121" s="12">
        <f t="shared" si="5"/>
        <v>0</v>
      </c>
      <c r="Z121" s="12">
        <f t="shared" si="5"/>
        <v>0</v>
      </c>
      <c r="AA121" s="12">
        <f t="shared" si="5"/>
        <v>0</v>
      </c>
      <c r="AB121" s="12">
        <f t="shared" si="5"/>
        <v>0</v>
      </c>
      <c r="AC121" s="12">
        <f t="shared" si="5"/>
        <v>0</v>
      </c>
      <c r="AD121" s="12">
        <f t="shared" si="5"/>
        <v>0</v>
      </c>
      <c r="AE121" s="12">
        <f t="shared" si="5"/>
        <v>0</v>
      </c>
      <c r="AF121" s="12">
        <f t="shared" si="5"/>
        <v>0</v>
      </c>
      <c r="AG121" s="12">
        <f t="shared" si="5"/>
        <v>0</v>
      </c>
      <c r="AH121" s="12">
        <f t="shared" si="5"/>
        <v>0</v>
      </c>
      <c r="AI121" s="12">
        <f t="shared" si="5"/>
        <v>0</v>
      </c>
      <c r="AJ121" s="12">
        <f t="shared" si="5"/>
        <v>0</v>
      </c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54"/>
    </row>
    <row r="122" spans="1:52">
      <c r="A122" s="8"/>
      <c r="B122" s="9"/>
      <c r="C122" s="10"/>
      <c r="D122" s="8"/>
      <c r="E122" s="11" t="s">
        <v>102</v>
      </c>
      <c r="F122" s="102">
        <f>COUNTIF(F89:F112,"P")</f>
        <v>9</v>
      </c>
      <c r="G122" s="12">
        <f>COUNTIF(G89:G112,"P")</f>
        <v>11</v>
      </c>
      <c r="H122" s="12">
        <f t="shared" ref="H122:AJ122" si="6">COUNTIF(H89:H112,"P")</f>
        <v>10</v>
      </c>
      <c r="I122" s="12">
        <f t="shared" si="6"/>
        <v>11</v>
      </c>
      <c r="J122" s="12">
        <f t="shared" si="6"/>
        <v>11</v>
      </c>
      <c r="K122" s="12">
        <f t="shared" si="6"/>
        <v>10</v>
      </c>
      <c r="L122" s="12">
        <f t="shared" si="6"/>
        <v>9</v>
      </c>
      <c r="M122" s="12">
        <f t="shared" si="6"/>
        <v>9</v>
      </c>
      <c r="N122" s="12">
        <f t="shared" si="6"/>
        <v>11</v>
      </c>
      <c r="O122" s="12">
        <f t="shared" si="6"/>
        <v>8</v>
      </c>
      <c r="P122" s="12">
        <f t="shared" si="6"/>
        <v>10</v>
      </c>
      <c r="Q122" s="12">
        <f t="shared" si="6"/>
        <v>9</v>
      </c>
      <c r="R122" s="12">
        <f t="shared" si="6"/>
        <v>8</v>
      </c>
      <c r="S122" s="12">
        <f t="shared" si="6"/>
        <v>0</v>
      </c>
      <c r="T122" s="12"/>
      <c r="U122" s="12"/>
      <c r="V122" s="12"/>
      <c r="W122" s="12">
        <f t="shared" si="6"/>
        <v>0</v>
      </c>
      <c r="X122" s="12">
        <f t="shared" si="6"/>
        <v>0</v>
      </c>
      <c r="Y122" s="12">
        <f t="shared" si="6"/>
        <v>0</v>
      </c>
      <c r="Z122" s="12">
        <f t="shared" si="6"/>
        <v>0</v>
      </c>
      <c r="AA122" s="12">
        <f t="shared" si="6"/>
        <v>0</v>
      </c>
      <c r="AB122" s="12">
        <f t="shared" si="6"/>
        <v>0</v>
      </c>
      <c r="AC122" s="12">
        <f t="shared" si="6"/>
        <v>0</v>
      </c>
      <c r="AD122" s="12">
        <f t="shared" si="6"/>
        <v>0</v>
      </c>
      <c r="AE122" s="12">
        <f t="shared" si="6"/>
        <v>0</v>
      </c>
      <c r="AF122" s="12">
        <f t="shared" si="6"/>
        <v>0</v>
      </c>
      <c r="AG122" s="12">
        <f t="shared" si="6"/>
        <v>0</v>
      </c>
      <c r="AH122" s="12">
        <f t="shared" si="6"/>
        <v>0</v>
      </c>
      <c r="AI122" s="12">
        <f t="shared" si="6"/>
        <v>0</v>
      </c>
      <c r="AJ122" s="12">
        <f t="shared" si="6"/>
        <v>0</v>
      </c>
      <c r="AK122" s="33"/>
      <c r="AL122" s="33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</row>
    <row r="123" spans="1:52">
      <c r="A123" s="8"/>
      <c r="B123" s="9"/>
      <c r="C123" s="10"/>
      <c r="D123" s="8"/>
      <c r="E123" s="11"/>
      <c r="F123" s="102"/>
      <c r="G123" s="12"/>
      <c r="H123" s="5"/>
      <c r="I123" s="12"/>
      <c r="J123" s="102"/>
      <c r="K123" s="12"/>
      <c r="L123" s="103"/>
      <c r="M123" s="103"/>
      <c r="N123" s="102"/>
      <c r="O123" s="103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33"/>
      <c r="AL123" s="33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</row>
    <row r="124" spans="1:52">
      <c r="A124" s="2"/>
      <c r="B124" s="13" t="s">
        <v>103</v>
      </c>
      <c r="C124" s="14" t="s">
        <v>104</v>
      </c>
      <c r="D124" s="14"/>
      <c r="E124" s="14"/>
      <c r="F124" s="409"/>
      <c r="G124" s="15"/>
      <c r="H124" s="15"/>
      <c r="I124" s="15"/>
      <c r="J124" s="104"/>
      <c r="K124" s="5"/>
      <c r="L124" s="5"/>
      <c r="M124" s="5"/>
      <c r="N124" s="104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440" t="s">
        <v>105</v>
      </c>
      <c r="AL124" s="441"/>
      <c r="AM124" s="441"/>
      <c r="AN124" s="441"/>
      <c r="AO124" s="441"/>
      <c r="AP124" s="441"/>
      <c r="AQ124" s="441"/>
      <c r="AR124" s="441"/>
      <c r="AS124" s="441"/>
      <c r="AT124" s="441"/>
      <c r="AU124" s="441"/>
      <c r="AV124" s="441"/>
      <c r="AW124" s="441"/>
      <c r="AX124" s="441"/>
      <c r="AY124" s="442"/>
    </row>
    <row r="125" spans="1:52">
      <c r="A125" s="2"/>
      <c r="B125" s="105" t="s">
        <v>106</v>
      </c>
      <c r="C125" s="106" t="s">
        <v>107</v>
      </c>
      <c r="D125" s="107" t="s">
        <v>108</v>
      </c>
      <c r="E125" s="16"/>
      <c r="F125" s="410"/>
      <c r="G125" s="5"/>
      <c r="H125" s="5"/>
      <c r="I125" s="5"/>
      <c r="J125" s="104"/>
      <c r="K125" s="5"/>
      <c r="L125" s="5"/>
      <c r="M125" s="5"/>
      <c r="N125" s="104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437">
        <f>AU5+AU7+AU9+AU11+AU13+AU15+AU17+AU19+AU21+AU23+AU25+AU27+AU29+AU31+AU33+AU35+AU37+AU39+AU41+AU43+AU45+AU47+AU49+AU51+AU53+AU55+AU57+AU59+AU61+AU63+AU65+AU67+AU69+AU71+AU73+AU75+AU77+AU79+AU81+AU83+AU85+AU87</f>
        <v>0</v>
      </c>
      <c r="AL125" s="438"/>
      <c r="AM125" s="438"/>
      <c r="AN125" s="438"/>
      <c r="AO125" s="438"/>
      <c r="AP125" s="438"/>
      <c r="AQ125" s="438"/>
      <c r="AR125" s="438"/>
      <c r="AS125" s="438"/>
      <c r="AT125" s="438"/>
      <c r="AU125" s="438"/>
      <c r="AV125" s="438"/>
      <c r="AW125" s="438"/>
      <c r="AX125" s="438"/>
      <c r="AY125" s="439"/>
    </row>
    <row r="126" spans="1:52">
      <c r="A126" s="2"/>
      <c r="B126" s="108" t="s">
        <v>109</v>
      </c>
      <c r="C126" s="109" t="s">
        <v>14</v>
      </c>
      <c r="D126" s="105" t="s">
        <v>110</v>
      </c>
      <c r="E126" s="18"/>
      <c r="F126" s="104"/>
      <c r="G126" s="5"/>
      <c r="H126" s="5"/>
      <c r="I126" s="5"/>
      <c r="J126" s="104"/>
      <c r="K126" s="5"/>
      <c r="L126" s="5"/>
      <c r="M126" s="5"/>
      <c r="N126" s="104"/>
      <c r="O126" s="5"/>
      <c r="P126" s="5"/>
      <c r="Q126" s="110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</row>
    <row r="127" spans="1:52">
      <c r="A127" s="2"/>
      <c r="B127" s="108" t="s">
        <v>111</v>
      </c>
      <c r="C127" s="111" t="s">
        <v>15</v>
      </c>
      <c r="D127" s="112" t="s">
        <v>112</v>
      </c>
      <c r="E127" s="18"/>
      <c r="F127" s="104"/>
      <c r="G127" s="5"/>
      <c r="H127" s="5"/>
      <c r="I127" s="5"/>
      <c r="J127" s="104"/>
      <c r="K127" s="5"/>
      <c r="L127" s="5"/>
      <c r="M127" s="5"/>
      <c r="N127" s="10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440" t="s">
        <v>113</v>
      </c>
      <c r="AL127" s="441"/>
      <c r="AM127" s="441"/>
      <c r="AN127" s="441"/>
      <c r="AO127" s="441"/>
      <c r="AP127" s="441"/>
      <c r="AQ127" s="441"/>
      <c r="AR127" s="441"/>
      <c r="AS127" s="441"/>
      <c r="AT127" s="441"/>
      <c r="AU127" s="441"/>
      <c r="AV127" s="441"/>
      <c r="AW127" s="441"/>
      <c r="AX127" s="441"/>
      <c r="AY127" s="442"/>
    </row>
    <row r="128" spans="1:52">
      <c r="A128" s="2"/>
      <c r="B128" s="108" t="s">
        <v>114</v>
      </c>
      <c r="C128" s="113" t="s">
        <v>16</v>
      </c>
      <c r="D128" s="112" t="s">
        <v>115</v>
      </c>
      <c r="E128" s="18"/>
      <c r="F128" s="104"/>
      <c r="G128" s="5"/>
      <c r="H128" s="5"/>
      <c r="I128" s="5"/>
      <c r="J128" s="104"/>
      <c r="K128" s="5"/>
      <c r="L128" s="5"/>
      <c r="M128" s="5"/>
      <c r="N128" s="104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434" t="e">
        <f>AU89+#REF!+AU91+AU93+AU95+AU97+AU99+AU101+AU103+AU105+AU107+AU109+AU113+AU115+AU117+AU119</f>
        <v>#REF!</v>
      </c>
      <c r="AL128" s="435"/>
      <c r="AM128" s="435"/>
      <c r="AN128" s="435"/>
      <c r="AO128" s="435"/>
      <c r="AP128" s="435"/>
      <c r="AQ128" s="435"/>
      <c r="AR128" s="435"/>
      <c r="AS128" s="435"/>
      <c r="AT128" s="435"/>
      <c r="AU128" s="435"/>
      <c r="AV128" s="435"/>
      <c r="AW128" s="435"/>
      <c r="AX128" s="435"/>
      <c r="AY128" s="436"/>
    </row>
    <row r="129" spans="1:51">
      <c r="A129" s="2"/>
      <c r="B129" s="108" t="s">
        <v>116</v>
      </c>
      <c r="C129" s="75" t="s">
        <v>17</v>
      </c>
      <c r="D129" s="112" t="s">
        <v>117</v>
      </c>
      <c r="E129" s="18"/>
      <c r="F129" s="104"/>
      <c r="G129" s="5"/>
      <c r="H129" s="5"/>
      <c r="I129" s="5"/>
      <c r="J129" s="104"/>
      <c r="K129" s="19"/>
      <c r="L129" s="19"/>
      <c r="M129" s="19"/>
      <c r="N129" s="114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20"/>
      <c r="AE129" s="5"/>
      <c r="AF129" s="5"/>
      <c r="AG129" s="5"/>
      <c r="AH129" s="5"/>
      <c r="AI129" s="5"/>
      <c r="AJ129" s="5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</row>
    <row r="130" spans="1:51">
      <c r="A130" s="2"/>
      <c r="B130" s="108" t="s">
        <v>118</v>
      </c>
      <c r="C130" s="115" t="s">
        <v>18</v>
      </c>
      <c r="D130" s="112" t="s">
        <v>119</v>
      </c>
      <c r="E130" s="18"/>
      <c r="F130" s="104"/>
      <c r="G130" s="5"/>
      <c r="H130" s="5"/>
      <c r="I130" s="5"/>
      <c r="J130" s="104"/>
      <c r="K130" s="19"/>
      <c r="L130" s="19"/>
      <c r="M130" s="19"/>
      <c r="N130" s="114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20"/>
      <c r="AE130" s="5"/>
      <c r="AF130" s="5"/>
      <c r="AG130" s="5"/>
      <c r="AH130" s="5"/>
      <c r="AI130" s="5"/>
      <c r="AJ130" s="5"/>
      <c r="AK130" s="440" t="s">
        <v>120</v>
      </c>
      <c r="AL130" s="441"/>
      <c r="AM130" s="441"/>
      <c r="AN130" s="441"/>
      <c r="AO130" s="441"/>
      <c r="AP130" s="441"/>
      <c r="AQ130" s="441"/>
      <c r="AR130" s="441"/>
      <c r="AS130" s="441"/>
      <c r="AT130" s="441"/>
      <c r="AU130" s="441"/>
      <c r="AV130" s="441"/>
      <c r="AW130" s="441"/>
      <c r="AX130" s="441"/>
      <c r="AY130" s="442"/>
    </row>
    <row r="131" spans="1:51">
      <c r="A131" s="2"/>
      <c r="B131" s="108" t="s">
        <v>121</v>
      </c>
      <c r="C131" s="76" t="s">
        <v>19</v>
      </c>
      <c r="D131" s="112" t="s">
        <v>122</v>
      </c>
      <c r="E131" s="18"/>
      <c r="F131" s="104"/>
      <c r="G131" s="5"/>
      <c r="H131" s="5"/>
      <c r="I131" s="5"/>
      <c r="J131" s="104"/>
      <c r="K131" s="21"/>
      <c r="L131" s="21"/>
      <c r="M131" s="21"/>
      <c r="N131" s="11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5"/>
      <c r="AE131" s="5"/>
      <c r="AF131" s="5"/>
      <c r="AG131" s="5"/>
      <c r="AH131" s="5"/>
      <c r="AI131" s="5"/>
      <c r="AJ131" s="5"/>
      <c r="AK131" s="437">
        <f>AU111</f>
        <v>0</v>
      </c>
      <c r="AL131" s="438"/>
      <c r="AM131" s="438"/>
      <c r="AN131" s="438"/>
      <c r="AO131" s="438"/>
      <c r="AP131" s="438"/>
      <c r="AQ131" s="438"/>
      <c r="AR131" s="438"/>
      <c r="AS131" s="438"/>
      <c r="AT131" s="438"/>
      <c r="AU131" s="438"/>
      <c r="AV131" s="438"/>
      <c r="AW131" s="438"/>
      <c r="AX131" s="438"/>
      <c r="AY131" s="439"/>
    </row>
    <row r="132" spans="1:51">
      <c r="A132" s="2"/>
      <c r="B132" s="108" t="s">
        <v>123</v>
      </c>
      <c r="C132" s="117" t="s">
        <v>20</v>
      </c>
      <c r="D132" s="112" t="s">
        <v>124</v>
      </c>
      <c r="E132" s="18"/>
      <c r="F132" s="104"/>
      <c r="G132" s="5"/>
      <c r="H132" s="5"/>
      <c r="I132" s="5"/>
      <c r="J132" s="104"/>
      <c r="K132" s="5"/>
      <c r="L132" s="5"/>
      <c r="M132" s="5"/>
      <c r="N132" s="104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38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</row>
    <row r="133" spans="1:51">
      <c r="A133" s="2"/>
      <c r="B133" s="108" t="s">
        <v>125</v>
      </c>
      <c r="C133" s="118" t="s">
        <v>21</v>
      </c>
      <c r="D133" s="112" t="s">
        <v>126</v>
      </c>
      <c r="E133" s="18"/>
      <c r="F133" s="104"/>
      <c r="G133" s="5"/>
      <c r="H133" s="5"/>
      <c r="I133" s="5"/>
      <c r="J133" s="104"/>
      <c r="K133" s="5"/>
      <c r="L133" s="5"/>
      <c r="M133" s="5"/>
      <c r="N133" s="10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38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</row>
    <row r="134" spans="1:51">
      <c r="A134" s="2"/>
      <c r="B134" s="108" t="s">
        <v>127</v>
      </c>
      <c r="C134" s="119" t="s">
        <v>22</v>
      </c>
      <c r="D134" s="112" t="s">
        <v>128</v>
      </c>
      <c r="E134" s="18"/>
      <c r="F134" s="104"/>
      <c r="G134" s="5"/>
      <c r="H134" s="5"/>
      <c r="I134" s="5"/>
      <c r="J134" s="104"/>
      <c r="K134" s="5"/>
      <c r="L134" s="5"/>
      <c r="M134" s="5"/>
      <c r="N134" s="10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431" t="s">
        <v>129</v>
      </c>
      <c r="AL134" s="432"/>
      <c r="AM134" s="432"/>
      <c r="AN134" s="432"/>
      <c r="AO134" s="432"/>
      <c r="AP134" s="432"/>
      <c r="AQ134" s="432"/>
      <c r="AR134" s="432"/>
      <c r="AS134" s="432"/>
      <c r="AT134" s="432"/>
      <c r="AU134" s="432"/>
      <c r="AV134" s="432"/>
      <c r="AW134" s="432"/>
      <c r="AX134" s="432"/>
      <c r="AY134" s="433"/>
    </row>
    <row r="135" spans="1:51">
      <c r="A135" s="2"/>
      <c r="B135" s="108" t="s">
        <v>130</v>
      </c>
      <c r="C135" s="120" t="s">
        <v>23</v>
      </c>
      <c r="D135" s="112" t="s">
        <v>131</v>
      </c>
      <c r="E135" s="18"/>
      <c r="F135" s="104"/>
      <c r="G135" s="5"/>
      <c r="H135" s="5"/>
      <c r="I135" s="5"/>
      <c r="J135" s="104"/>
      <c r="K135" s="5"/>
      <c r="L135" s="5"/>
      <c r="M135" s="5"/>
      <c r="N135" s="10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434">
        <f>AK6+AK8+AK10+AK12+AK14+AK16+AK18+AK20+AK22+AK24+AK26+AK28+AK30+AK32+AK34+AK36+AK38+AK40+AK42+AK44+AK46+AK48+AK50+AK52+AK54+AK56+AK58+AK60+AK62+AK64+AK66+AK68+AK70+AK72+AK74+AK76++AK78+AK80+AK82+AK84+AK86+AK88</f>
        <v>395</v>
      </c>
      <c r="AL135" s="435"/>
      <c r="AM135" s="435"/>
      <c r="AN135" s="435"/>
      <c r="AO135" s="435"/>
      <c r="AP135" s="435"/>
      <c r="AQ135" s="435"/>
      <c r="AR135" s="435"/>
      <c r="AS135" s="435"/>
      <c r="AT135" s="435"/>
      <c r="AU135" s="435"/>
      <c r="AV135" s="435"/>
      <c r="AW135" s="435"/>
      <c r="AX135" s="435"/>
      <c r="AY135" s="436"/>
    </row>
    <row r="136" spans="1:51">
      <c r="A136" s="2"/>
      <c r="B136" s="108" t="s">
        <v>132</v>
      </c>
      <c r="C136" s="121" t="s">
        <v>24</v>
      </c>
      <c r="D136" s="112" t="s">
        <v>133</v>
      </c>
      <c r="E136" s="18"/>
      <c r="F136" s="104"/>
      <c r="G136" s="5"/>
      <c r="H136" s="5"/>
      <c r="I136" s="5"/>
      <c r="J136" s="104"/>
      <c r="K136" s="5"/>
      <c r="L136" s="5"/>
      <c r="M136" s="5"/>
      <c r="N136" s="10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</row>
    <row r="137" spans="1:51">
      <c r="A137" s="2"/>
      <c r="B137" s="108" t="s">
        <v>134</v>
      </c>
      <c r="C137" s="113" t="s">
        <v>25</v>
      </c>
      <c r="D137" s="112" t="s">
        <v>135</v>
      </c>
      <c r="E137" s="18"/>
      <c r="F137" s="104"/>
      <c r="G137" s="5"/>
      <c r="H137" s="5"/>
      <c r="I137" s="5"/>
      <c r="J137" s="104"/>
      <c r="K137" s="5"/>
      <c r="L137" s="5"/>
      <c r="M137" s="5"/>
      <c r="N137" s="10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431" t="s">
        <v>136</v>
      </c>
      <c r="AL137" s="432"/>
      <c r="AM137" s="432"/>
      <c r="AN137" s="432"/>
      <c r="AO137" s="432"/>
      <c r="AP137" s="432"/>
      <c r="AQ137" s="432"/>
      <c r="AR137" s="432"/>
      <c r="AS137" s="432"/>
      <c r="AT137" s="432"/>
      <c r="AU137" s="432"/>
      <c r="AV137" s="432"/>
      <c r="AW137" s="432"/>
      <c r="AX137" s="432"/>
      <c r="AY137" s="433"/>
    </row>
    <row r="138" spans="1:51">
      <c r="A138" s="2"/>
      <c r="B138" s="108" t="s">
        <v>137</v>
      </c>
      <c r="C138" s="113" t="s">
        <v>26</v>
      </c>
      <c r="D138" s="112" t="s">
        <v>138</v>
      </c>
      <c r="E138" s="18"/>
      <c r="F138" s="104"/>
      <c r="G138" s="5"/>
      <c r="H138" s="5"/>
      <c r="I138" s="5"/>
      <c r="J138" s="104"/>
      <c r="K138" s="5"/>
      <c r="L138" s="5"/>
      <c r="M138" s="5"/>
      <c r="N138" s="10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434">
        <f ca="1">AK90+#REF!+AK92+AK94+AK96+AK98+AK100+AK102+AK104+AK106+AK108+AK110+AK116+AK118+AK120</f>
        <v>0</v>
      </c>
      <c r="AL138" s="435"/>
      <c r="AM138" s="435"/>
      <c r="AN138" s="435"/>
      <c r="AO138" s="435"/>
      <c r="AP138" s="435"/>
      <c r="AQ138" s="435"/>
      <c r="AR138" s="435"/>
      <c r="AS138" s="435"/>
      <c r="AT138" s="435"/>
      <c r="AU138" s="435"/>
      <c r="AV138" s="435"/>
      <c r="AW138" s="435"/>
      <c r="AX138" s="435"/>
      <c r="AY138" s="436"/>
    </row>
    <row r="139" spans="1:51">
      <c r="B139" s="108" t="s">
        <v>139</v>
      </c>
      <c r="C139" s="122" t="s">
        <v>27</v>
      </c>
      <c r="D139" s="54" t="s">
        <v>140</v>
      </c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</row>
    <row r="140" spans="1:51">
      <c r="B140" s="108" t="s">
        <v>141</v>
      </c>
      <c r="C140" s="113" t="s">
        <v>28</v>
      </c>
      <c r="D140" s="112" t="s">
        <v>142</v>
      </c>
      <c r="AK140" s="431" t="s">
        <v>143</v>
      </c>
      <c r="AL140" s="432"/>
      <c r="AM140" s="432"/>
      <c r="AN140" s="432"/>
      <c r="AO140" s="432"/>
      <c r="AP140" s="432"/>
      <c r="AQ140" s="432"/>
      <c r="AR140" s="432"/>
      <c r="AS140" s="432"/>
      <c r="AT140" s="432"/>
      <c r="AU140" s="432"/>
      <c r="AV140" s="432"/>
      <c r="AW140" s="432"/>
      <c r="AX140" s="432"/>
      <c r="AY140" s="433"/>
    </row>
    <row r="141" spans="1:51">
      <c r="D141" s="22"/>
      <c r="AK141" s="437">
        <f>AK112</f>
        <v>0</v>
      </c>
      <c r="AL141" s="438"/>
      <c r="AM141" s="438"/>
      <c r="AN141" s="438"/>
      <c r="AO141" s="438"/>
      <c r="AP141" s="438"/>
      <c r="AQ141" s="438"/>
      <c r="AR141" s="438"/>
      <c r="AS141" s="438"/>
      <c r="AT141" s="438"/>
      <c r="AU141" s="438"/>
      <c r="AV141" s="438"/>
      <c r="AW141" s="438"/>
      <c r="AX141" s="438"/>
      <c r="AY141" s="439"/>
    </row>
  </sheetData>
  <mergeCells count="162">
    <mergeCell ref="A1:AY1"/>
    <mergeCell ref="E2:AJ2"/>
    <mergeCell ref="A5:A6"/>
    <mergeCell ref="AK6:AY6"/>
    <mergeCell ref="A7:A8"/>
    <mergeCell ref="AK8:AY8"/>
    <mergeCell ref="D89:D90"/>
    <mergeCell ref="D91:D92"/>
    <mergeCell ref="D93:D94"/>
    <mergeCell ref="C91:C92"/>
    <mergeCell ref="C93:C94"/>
    <mergeCell ref="C89:C90"/>
    <mergeCell ref="D87:D88"/>
    <mergeCell ref="C87:C88"/>
    <mergeCell ref="A15:A16"/>
    <mergeCell ref="AK16:AY16"/>
    <mergeCell ref="A17:A18"/>
    <mergeCell ref="AK18:AY18"/>
    <mergeCell ref="A19:A20"/>
    <mergeCell ref="AK20:AY20"/>
    <mergeCell ref="A9:A10"/>
    <mergeCell ref="AK10:AY10"/>
    <mergeCell ref="A11:A12"/>
    <mergeCell ref="AK12:AY12"/>
    <mergeCell ref="A13:A14"/>
    <mergeCell ref="AK14:AY14"/>
    <mergeCell ref="A27:A28"/>
    <mergeCell ref="AK28:AY28"/>
    <mergeCell ref="A29:A30"/>
    <mergeCell ref="AK30:AY30"/>
    <mergeCell ref="A31:A32"/>
    <mergeCell ref="AK32:AY32"/>
    <mergeCell ref="A21:A22"/>
    <mergeCell ref="AK22:AY22"/>
    <mergeCell ref="A23:A24"/>
    <mergeCell ref="AK24:AY24"/>
    <mergeCell ref="A25:A26"/>
    <mergeCell ref="AK26:AY26"/>
    <mergeCell ref="A39:A40"/>
    <mergeCell ref="AK40:AY40"/>
    <mergeCell ref="A41:A42"/>
    <mergeCell ref="AK42:AY42"/>
    <mergeCell ref="A43:A44"/>
    <mergeCell ref="AK44:AY44"/>
    <mergeCell ref="A33:A34"/>
    <mergeCell ref="AK34:AY34"/>
    <mergeCell ref="A35:A36"/>
    <mergeCell ref="AK36:AY36"/>
    <mergeCell ref="A37:A38"/>
    <mergeCell ref="AK38:AY38"/>
    <mergeCell ref="A51:A52"/>
    <mergeCell ref="AK52:AY52"/>
    <mergeCell ref="A53:A54"/>
    <mergeCell ref="AK54:AY54"/>
    <mergeCell ref="A55:A56"/>
    <mergeCell ref="AK56:AY56"/>
    <mergeCell ref="A45:A46"/>
    <mergeCell ref="AK46:AY46"/>
    <mergeCell ref="A47:A48"/>
    <mergeCell ref="AK48:AY48"/>
    <mergeCell ref="A49:A50"/>
    <mergeCell ref="AK50:AY50"/>
    <mergeCell ref="A63:A64"/>
    <mergeCell ref="AK64:AY64"/>
    <mergeCell ref="A65:A66"/>
    <mergeCell ref="AK66:AY66"/>
    <mergeCell ref="A67:A68"/>
    <mergeCell ref="AK68:AY68"/>
    <mergeCell ref="A57:A58"/>
    <mergeCell ref="AK58:AY58"/>
    <mergeCell ref="A59:A60"/>
    <mergeCell ref="AK60:AY60"/>
    <mergeCell ref="A61:A62"/>
    <mergeCell ref="AK62:AY62"/>
    <mergeCell ref="A75:A76"/>
    <mergeCell ref="AK76:AY76"/>
    <mergeCell ref="A77:A78"/>
    <mergeCell ref="AK78:AY78"/>
    <mergeCell ref="A79:A80"/>
    <mergeCell ref="AK80:AY80"/>
    <mergeCell ref="A69:A70"/>
    <mergeCell ref="AK70:AY70"/>
    <mergeCell ref="A71:A72"/>
    <mergeCell ref="AK72:AY72"/>
    <mergeCell ref="A73:A74"/>
    <mergeCell ref="AK74:AY74"/>
    <mergeCell ref="A87:A88"/>
    <mergeCell ref="AK88:AY88"/>
    <mergeCell ref="A89:A90"/>
    <mergeCell ref="AK90:AY90"/>
    <mergeCell ref="A81:A82"/>
    <mergeCell ref="AK82:AY82"/>
    <mergeCell ref="A83:A84"/>
    <mergeCell ref="AK84:AY84"/>
    <mergeCell ref="A85:A86"/>
    <mergeCell ref="AK86:AY86"/>
    <mergeCell ref="A97:A98"/>
    <mergeCell ref="AK98:AY98"/>
    <mergeCell ref="A99:A100"/>
    <mergeCell ref="AK100:AY100"/>
    <mergeCell ref="A101:A102"/>
    <mergeCell ref="AK102:AY102"/>
    <mergeCell ref="A91:A92"/>
    <mergeCell ref="AK92:AY92"/>
    <mergeCell ref="A93:A94"/>
    <mergeCell ref="AK94:AY94"/>
    <mergeCell ref="A95:A96"/>
    <mergeCell ref="AK96:AY96"/>
    <mergeCell ref="D95:D96"/>
    <mergeCell ref="D97:D98"/>
    <mergeCell ref="D99:D100"/>
    <mergeCell ref="D101:D102"/>
    <mergeCell ref="C95:C96"/>
    <mergeCell ref="C97:C98"/>
    <mergeCell ref="C99:C100"/>
    <mergeCell ref="C101:C102"/>
    <mergeCell ref="A109:A110"/>
    <mergeCell ref="AK110:AY110"/>
    <mergeCell ref="A111:A112"/>
    <mergeCell ref="AK112:AY112"/>
    <mergeCell ref="A113:A114"/>
    <mergeCell ref="AK114:AY114"/>
    <mergeCell ref="A103:A104"/>
    <mergeCell ref="AK104:AY104"/>
    <mergeCell ref="A105:A106"/>
    <mergeCell ref="AK106:AY106"/>
    <mergeCell ref="A107:A108"/>
    <mergeCell ref="B107:B108"/>
    <mergeCell ref="C107:C108"/>
    <mergeCell ref="D107:D108"/>
    <mergeCell ref="AK108:AY108"/>
    <mergeCell ref="D103:D104"/>
    <mergeCell ref="D105:D106"/>
    <mergeCell ref="C103:C104"/>
    <mergeCell ref="C105:C106"/>
    <mergeCell ref="C109:C110"/>
    <mergeCell ref="C111:C112"/>
    <mergeCell ref="C113:C114"/>
    <mergeCell ref="A115:A116"/>
    <mergeCell ref="AK116:AY116"/>
    <mergeCell ref="A117:A118"/>
    <mergeCell ref="AK118:AY118"/>
    <mergeCell ref="A119:A120"/>
    <mergeCell ref="B119:B120"/>
    <mergeCell ref="C119:C120"/>
    <mergeCell ref="D119:D120"/>
    <mergeCell ref="AK120:AY120"/>
    <mergeCell ref="B115:B116"/>
    <mergeCell ref="C115:C116"/>
    <mergeCell ref="C117:C118"/>
    <mergeCell ref="AK134:AY134"/>
    <mergeCell ref="AK135:AY135"/>
    <mergeCell ref="AK137:AY137"/>
    <mergeCell ref="AK138:AY138"/>
    <mergeCell ref="AK140:AY140"/>
    <mergeCell ref="AK141:AY141"/>
    <mergeCell ref="AK124:AY124"/>
    <mergeCell ref="AK125:AY125"/>
    <mergeCell ref="AK127:AY127"/>
    <mergeCell ref="AK128:AY128"/>
    <mergeCell ref="AK130:AY130"/>
    <mergeCell ref="AK131:AY131"/>
  </mergeCells>
  <conditionalFormatting sqref="F121:AJ121">
    <cfRule type="cellIs" dxfId="3" priority="4" operator="greaterThan">
      <formula>36</formula>
    </cfRule>
  </conditionalFormatting>
  <conditionalFormatting sqref="BA5:BA87">
    <cfRule type="cellIs" dxfId="2" priority="3" operator="greaterThanOrEqual">
      <formula>7</formula>
    </cfRule>
  </conditionalFormatting>
  <conditionalFormatting sqref="BA5:BA87">
    <cfRule type="cellIs" dxfId="1" priority="2" operator="lessThanOrEqual">
      <formula>5</formula>
    </cfRule>
  </conditionalFormatting>
  <conditionalFormatting sqref="BA5:BA87">
    <cfRule type="cellIs" dxfId="0" priority="1" operator="equal">
      <formula>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30A5-8E3F-448F-A82B-BF7C6A6B49A5}">
  <dimension ref="A1:C92"/>
  <sheetViews>
    <sheetView topLeftCell="A45" workbookViewId="0"/>
  </sheetViews>
  <sheetFormatPr defaultRowHeight="15"/>
  <sheetData>
    <row r="1" spans="1:3">
      <c r="A1" s="326">
        <v>28</v>
      </c>
      <c r="B1" s="327">
        <v>3</v>
      </c>
      <c r="C1" s="305">
        <v>2</v>
      </c>
    </row>
    <row r="2" spans="1:3">
      <c r="A2" s="326">
        <v>29</v>
      </c>
      <c r="B2" s="327">
        <v>2</v>
      </c>
      <c r="C2" s="305">
        <v>3</v>
      </c>
    </row>
    <row r="3" spans="1:3">
      <c r="A3" s="326">
        <v>28</v>
      </c>
      <c r="B3" s="327">
        <v>3</v>
      </c>
      <c r="C3" s="305">
        <v>2</v>
      </c>
    </row>
    <row r="4" spans="1:3">
      <c r="A4" s="326">
        <v>27</v>
      </c>
      <c r="B4" s="327">
        <v>4</v>
      </c>
      <c r="C4" s="305">
        <v>1</v>
      </c>
    </row>
    <row r="5" spans="1:3">
      <c r="A5" s="326">
        <v>28</v>
      </c>
      <c r="B5" s="327">
        <v>3</v>
      </c>
      <c r="C5" s="305">
        <v>2</v>
      </c>
    </row>
    <row r="6" spans="1:3">
      <c r="A6" s="326">
        <v>27</v>
      </c>
      <c r="B6" s="327">
        <v>4</v>
      </c>
      <c r="C6" s="305">
        <v>0</v>
      </c>
    </row>
    <row r="7" spans="1:3">
      <c r="A7" s="326">
        <v>28</v>
      </c>
      <c r="B7" s="327">
        <v>3</v>
      </c>
      <c r="C7" s="305">
        <v>2</v>
      </c>
    </row>
    <row r="8" spans="1:3">
      <c r="A8" s="326">
        <v>29</v>
      </c>
      <c r="B8" s="327">
        <v>2</v>
      </c>
      <c r="C8" s="305">
        <v>3</v>
      </c>
    </row>
    <row r="9" spans="1:3">
      <c r="A9" s="326">
        <v>28</v>
      </c>
      <c r="B9" s="327">
        <v>3</v>
      </c>
      <c r="C9" s="305">
        <v>1</v>
      </c>
    </row>
    <row r="10" spans="1:3">
      <c r="A10" s="326">
        <v>25</v>
      </c>
      <c r="B10" s="327">
        <v>4</v>
      </c>
      <c r="C10" s="305">
        <v>1</v>
      </c>
    </row>
    <row r="11" spans="1:3">
      <c r="A11" s="326">
        <v>28</v>
      </c>
      <c r="B11" s="327">
        <v>3</v>
      </c>
      <c r="C11" s="305">
        <v>2</v>
      </c>
    </row>
    <row r="12" spans="1:3">
      <c r="A12" s="326">
        <v>27</v>
      </c>
      <c r="B12" s="327">
        <v>4</v>
      </c>
      <c r="C12" s="305">
        <v>0</v>
      </c>
    </row>
    <row r="13" spans="1:3">
      <c r="A13" s="326">
        <v>28</v>
      </c>
      <c r="B13" s="327">
        <v>3</v>
      </c>
      <c r="C13" s="305">
        <v>1</v>
      </c>
    </row>
    <row r="14" spans="1:3">
      <c r="A14" s="326">
        <v>21</v>
      </c>
      <c r="B14" s="327">
        <v>3</v>
      </c>
      <c r="C14" s="305">
        <v>0</v>
      </c>
    </row>
    <row r="15" spans="1:3">
      <c r="A15" s="326">
        <v>14</v>
      </c>
      <c r="B15" s="327">
        <v>2</v>
      </c>
      <c r="C15" s="305">
        <v>1</v>
      </c>
    </row>
    <row r="16" spans="1:3">
      <c r="A16" s="326">
        <v>28</v>
      </c>
      <c r="B16" s="327">
        <v>3</v>
      </c>
      <c r="C16" s="305">
        <v>2</v>
      </c>
    </row>
    <row r="17" spans="1:3">
      <c r="A17" s="326">
        <v>28</v>
      </c>
      <c r="B17" s="327">
        <v>3</v>
      </c>
      <c r="C17" s="305">
        <v>2</v>
      </c>
    </row>
    <row r="18" spans="1:3">
      <c r="A18" s="326">
        <v>28</v>
      </c>
      <c r="B18" s="327">
        <v>3</v>
      </c>
      <c r="C18" s="305">
        <v>2</v>
      </c>
    </row>
    <row r="19" spans="1:3">
      <c r="A19" s="326">
        <v>20</v>
      </c>
      <c r="B19" s="327">
        <v>2</v>
      </c>
      <c r="C19" s="305">
        <v>2</v>
      </c>
    </row>
    <row r="20" spans="1:3">
      <c r="A20" s="326">
        <v>16</v>
      </c>
      <c r="B20" s="327">
        <v>1</v>
      </c>
      <c r="C20" s="305">
        <v>2</v>
      </c>
    </row>
    <row r="21" spans="1:3">
      <c r="A21" s="326">
        <v>27</v>
      </c>
      <c r="B21" s="327">
        <v>4</v>
      </c>
      <c r="C21" s="305">
        <v>1</v>
      </c>
    </row>
    <row r="22" spans="1:3">
      <c r="A22" s="326">
        <v>27</v>
      </c>
      <c r="B22" s="327">
        <v>4</v>
      </c>
      <c r="C22" s="305">
        <v>1</v>
      </c>
    </row>
    <row r="23" spans="1:3">
      <c r="A23" s="326">
        <v>28</v>
      </c>
      <c r="B23" s="327">
        <v>3</v>
      </c>
      <c r="C23" s="305">
        <v>2</v>
      </c>
    </row>
    <row r="24" spans="1:3">
      <c r="A24" s="326">
        <v>28</v>
      </c>
      <c r="B24" s="327">
        <v>3</v>
      </c>
      <c r="C24" s="305">
        <v>2</v>
      </c>
    </row>
    <row r="25" spans="1:3">
      <c r="A25" s="326">
        <v>28</v>
      </c>
      <c r="B25" s="327">
        <v>3</v>
      </c>
      <c r="C25" s="305">
        <v>2</v>
      </c>
    </row>
    <row r="26" spans="1:3">
      <c r="A26" s="326">
        <v>28</v>
      </c>
      <c r="B26" s="328">
        <v>3</v>
      </c>
      <c r="C26" s="305">
        <v>2</v>
      </c>
    </row>
    <row r="27" spans="1:3">
      <c r="A27" s="326">
        <v>28</v>
      </c>
      <c r="B27" s="327">
        <v>3</v>
      </c>
      <c r="C27" s="305">
        <v>2</v>
      </c>
    </row>
    <row r="28" spans="1:3">
      <c r="A28" s="326">
        <v>27</v>
      </c>
      <c r="B28" s="327">
        <v>4</v>
      </c>
      <c r="C28" s="305">
        <v>1</v>
      </c>
    </row>
    <row r="29" spans="1:3">
      <c r="A29" s="326">
        <v>28</v>
      </c>
      <c r="B29" s="327">
        <v>3</v>
      </c>
      <c r="C29" s="305">
        <v>2</v>
      </c>
    </row>
    <row r="30" spans="1:3" ht="15.75" customHeight="1">
      <c r="A30" s="326">
        <v>25</v>
      </c>
      <c r="B30" s="327">
        <v>4</v>
      </c>
      <c r="C30" s="305">
        <v>1</v>
      </c>
    </row>
    <row r="31" spans="1:3">
      <c r="A31" s="326">
        <v>27</v>
      </c>
      <c r="B31" s="327">
        <v>4</v>
      </c>
      <c r="C31" s="305">
        <v>1</v>
      </c>
    </row>
    <row r="32" spans="1:3">
      <c r="A32" s="326">
        <v>28</v>
      </c>
      <c r="B32" s="327">
        <v>3</v>
      </c>
      <c r="C32" s="305">
        <v>2</v>
      </c>
    </row>
    <row r="33" spans="1:3">
      <c r="A33" s="326">
        <v>25</v>
      </c>
      <c r="B33" s="327">
        <v>3</v>
      </c>
      <c r="C33" s="305">
        <v>2</v>
      </c>
    </row>
    <row r="34" spans="1:3">
      <c r="A34" s="326">
        <v>26</v>
      </c>
      <c r="B34" s="328">
        <v>3</v>
      </c>
      <c r="C34" s="305">
        <v>2</v>
      </c>
    </row>
    <row r="35" spans="1:3">
      <c r="A35" s="326">
        <v>28</v>
      </c>
      <c r="B35" s="327">
        <v>3</v>
      </c>
      <c r="C35" s="305">
        <v>2</v>
      </c>
    </row>
    <row r="36" spans="1:3">
      <c r="A36" s="326">
        <v>27</v>
      </c>
      <c r="B36" s="327">
        <v>4</v>
      </c>
      <c r="C36" s="305">
        <v>0</v>
      </c>
    </row>
    <row r="37" spans="1:3">
      <c r="A37" s="326">
        <v>28</v>
      </c>
      <c r="B37" s="327">
        <v>3</v>
      </c>
      <c r="C37" s="305">
        <v>2</v>
      </c>
    </row>
    <row r="38" spans="1:3">
      <c r="A38" s="326">
        <v>27</v>
      </c>
      <c r="B38" s="327">
        <v>4</v>
      </c>
      <c r="C38" s="305">
        <v>0</v>
      </c>
    </row>
    <row r="39" spans="1:3">
      <c r="A39" s="326">
        <v>28</v>
      </c>
      <c r="B39" s="327">
        <v>3</v>
      </c>
      <c r="C39" s="305">
        <v>2</v>
      </c>
    </row>
    <row r="40" spans="1:3">
      <c r="A40" s="326">
        <v>26</v>
      </c>
      <c r="B40" s="327">
        <v>3</v>
      </c>
      <c r="C40" s="305">
        <v>2</v>
      </c>
    </row>
    <row r="41" spans="1:3">
      <c r="A41" s="326">
        <v>28</v>
      </c>
      <c r="B41" s="327">
        <v>3</v>
      </c>
      <c r="C41" s="305">
        <v>2</v>
      </c>
    </row>
    <row r="42" spans="1:3">
      <c r="A42" s="326">
        <v>23</v>
      </c>
      <c r="B42" s="327">
        <v>3</v>
      </c>
      <c r="C42" s="305">
        <v>0</v>
      </c>
    </row>
    <row r="43" spans="1:3">
      <c r="B43" s="306">
        <v>7</v>
      </c>
    </row>
    <row r="44" spans="1:3">
      <c r="B44" s="308">
        <v>3</v>
      </c>
      <c r="C44">
        <v>0</v>
      </c>
    </row>
    <row r="45" spans="1:3">
      <c r="B45" s="307"/>
    </row>
    <row r="46" spans="1:3">
      <c r="B46" s="308">
        <v>5</v>
      </c>
      <c r="C46">
        <v>0</v>
      </c>
    </row>
    <row r="47" spans="1:3">
      <c r="B47" s="307"/>
    </row>
    <row r="48" spans="1:3">
      <c r="B48" s="308">
        <v>4</v>
      </c>
      <c r="C48">
        <v>1</v>
      </c>
    </row>
    <row r="49" spans="2:3">
      <c r="B49" s="307"/>
    </row>
    <row r="50" spans="2:3">
      <c r="B50" s="308">
        <v>5</v>
      </c>
      <c r="C50">
        <v>1</v>
      </c>
    </row>
    <row r="51" spans="2:3">
      <c r="B51" s="307"/>
    </row>
    <row r="52" spans="2:3">
      <c r="B52" s="308">
        <v>5</v>
      </c>
      <c r="C52">
        <v>1</v>
      </c>
    </row>
    <row r="53" spans="2:3">
      <c r="B53" s="307"/>
    </row>
    <row r="54" spans="2:3">
      <c r="B54" s="308">
        <v>4</v>
      </c>
      <c r="C54">
        <v>0</v>
      </c>
    </row>
    <row r="55" spans="2:3">
      <c r="B55" s="307"/>
    </row>
    <row r="56" spans="2:3">
      <c r="B56" s="308">
        <v>4</v>
      </c>
      <c r="C56">
        <v>1</v>
      </c>
    </row>
    <row r="57" spans="2:3">
      <c r="B57" s="307"/>
    </row>
    <row r="58" spans="2:3">
      <c r="B58" s="308">
        <v>4</v>
      </c>
      <c r="C58">
        <v>1</v>
      </c>
    </row>
    <row r="59" spans="2:3">
      <c r="B59" s="309"/>
    </row>
    <row r="60" spans="2:3">
      <c r="B60" s="312">
        <v>4</v>
      </c>
      <c r="C60">
        <v>1</v>
      </c>
    </row>
    <row r="61" spans="2:3">
      <c r="B61" s="313"/>
    </row>
    <row r="62" spans="2:3">
      <c r="B62" s="314">
        <v>4</v>
      </c>
      <c r="C62">
        <v>0</v>
      </c>
    </row>
    <row r="63" spans="2:3">
      <c r="B63" s="315"/>
    </row>
    <row r="64" spans="2:3">
      <c r="B64" s="306">
        <v>5</v>
      </c>
      <c r="C64">
        <v>1</v>
      </c>
    </row>
    <row r="65" spans="2:3">
      <c r="B65" s="316"/>
    </row>
    <row r="66" spans="2:3">
      <c r="B66" s="306">
        <v>5</v>
      </c>
      <c r="C66">
        <v>1</v>
      </c>
    </row>
    <row r="67" spans="2:3">
      <c r="B67" s="307"/>
    </row>
    <row r="68" spans="2:3">
      <c r="B68" s="317">
        <v>4</v>
      </c>
      <c r="C68">
        <v>1</v>
      </c>
    </row>
    <row r="69" spans="2:3">
      <c r="B69" s="318"/>
    </row>
    <row r="70" spans="2:3">
      <c r="B70" s="310">
        <v>9</v>
      </c>
      <c r="C70">
        <v>1</v>
      </c>
    </row>
    <row r="71" spans="2:3">
      <c r="B71" s="319"/>
    </row>
    <row r="72" spans="2:3">
      <c r="B72" s="311">
        <v>9</v>
      </c>
      <c r="C72">
        <v>0</v>
      </c>
    </row>
    <row r="73" spans="2:3">
      <c r="B73" s="311"/>
    </row>
    <row r="74" spans="2:3">
      <c r="B74" s="311">
        <v>0</v>
      </c>
      <c r="C74">
        <v>0</v>
      </c>
    </row>
    <row r="75" spans="2:3">
      <c r="B75" s="320"/>
    </row>
    <row r="76" spans="2:3">
      <c r="B76" s="321"/>
      <c r="C76">
        <v>0</v>
      </c>
    </row>
    <row r="77" spans="2:3">
      <c r="B77" s="322"/>
    </row>
    <row r="78" spans="2:3">
      <c r="B78" s="320"/>
    </row>
    <row r="79" spans="2:3">
      <c r="B79" s="323"/>
    </row>
    <row r="80" spans="2:3">
      <c r="B80" s="322"/>
    </row>
    <row r="81" spans="2:2">
      <c r="B81" s="320"/>
    </row>
    <row r="82" spans="2:2">
      <c r="B82" s="321"/>
    </row>
    <row r="83" spans="2:2">
      <c r="B83" s="324"/>
    </row>
    <row r="84" spans="2:2">
      <c r="B84" s="324"/>
    </row>
    <row r="85" spans="2:2">
      <c r="B85" s="325"/>
    </row>
    <row r="86" spans="2:2">
      <c r="B86" s="323"/>
    </row>
    <row r="87" spans="2:2">
      <c r="B87" s="322"/>
    </row>
    <row r="88" spans="2:2">
      <c r="B88" s="325"/>
    </row>
    <row r="89" spans="2:2">
      <c r="B89" s="323"/>
    </row>
    <row r="90" spans="2:2">
      <c r="B90" s="322"/>
    </row>
    <row r="91" spans="2:2">
      <c r="B91" s="325"/>
    </row>
    <row r="92" spans="2:2">
      <c r="B92" s="3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e80e0-bf88-4588-964c-a9d8aad752a5">
      <Terms xmlns="http://schemas.microsoft.com/office/infopath/2007/PartnerControls"/>
    </lcf76f155ced4ddcb4097134ff3c332f>
    <TaxCatchAll xmlns="c09edf35-f2aa-47cf-9f27-59f301e606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CA896CC69FA459B755E8AC5A578C4" ma:contentTypeVersion="15" ma:contentTypeDescription="Crée un document." ma:contentTypeScope="" ma:versionID="5b2655e5738d6037b616115c3003e641">
  <xsd:schema xmlns:xsd="http://www.w3.org/2001/XMLSchema" xmlns:xs="http://www.w3.org/2001/XMLSchema" xmlns:p="http://schemas.microsoft.com/office/2006/metadata/properties" xmlns:ns2="d0de80e0-bf88-4588-964c-a9d8aad752a5" xmlns:ns3="c09edf35-f2aa-47cf-9f27-59f301e606af" targetNamespace="http://schemas.microsoft.com/office/2006/metadata/properties" ma:root="true" ma:fieldsID="96791dffa9e4a2fe1ee88f0d16d5aa67" ns2:_="" ns3:_="">
    <xsd:import namespace="d0de80e0-bf88-4588-964c-a9d8aad752a5"/>
    <xsd:import namespace="c09edf35-f2aa-47cf-9f27-59f301e60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e80e0-bf88-4588-964c-a9d8aad75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6e375fb1-6e51-48e2-8e67-9b3fce358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edf35-f2aa-47cf-9f27-59f301e606a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5b0b5a0-ed02-4a2f-958b-1d37a834e247}" ma:internalName="TaxCatchAll" ma:showField="CatchAllData" ma:web="c09edf35-f2aa-47cf-9f27-59f301e60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B7E973-4FBF-4817-8BA6-777A2E40BC91}"/>
</file>

<file path=customXml/itemProps2.xml><?xml version="1.0" encoding="utf-8"?>
<ds:datastoreItem xmlns:ds="http://schemas.openxmlformats.org/officeDocument/2006/customXml" ds:itemID="{1D257D0F-F9D5-41A6-AEC2-76D9B8B57AE3}"/>
</file>

<file path=customXml/itemProps3.xml><?xml version="1.0" encoding="utf-8"?>
<ds:datastoreItem xmlns:ds="http://schemas.openxmlformats.org/officeDocument/2006/customXml" ds:itemID="{E258BBB5-A4E1-412B-BC44-4EAD40CB06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OPERATIONS</dc:creator>
  <cp:keywords/>
  <dc:description/>
  <cp:lastModifiedBy>Joseph BINU</cp:lastModifiedBy>
  <cp:revision/>
  <dcterms:created xsi:type="dcterms:W3CDTF">2022-12-30T04:41:52Z</dcterms:created>
  <dcterms:modified xsi:type="dcterms:W3CDTF">2026-03-13T08:54:58Z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0x01010057ACA896CC69FA459B755E8AC5A578C4</vt:lpwstr>
  </property>
  <property fmtid="{D5CDD505-2E9C-101B-9397-08002B2CF9AE}" pid="3" name="MediaServiceImageTags">
    <vt:lpwstr/>
  </property>
</Properties>
</file>