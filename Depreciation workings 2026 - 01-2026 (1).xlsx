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\Downloads\"/>
    </mc:Choice>
  </mc:AlternateContent>
  <xr:revisionPtr revIDLastSave="583" documentId="13_ncr:1_{EBB24CAB-CA85-4337-A926-DD93CB6922DB}" xr6:coauthVersionLast="47" xr6:coauthVersionMax="47" xr10:uidLastSave="{86622885-130D-4A5D-8E04-8DD4E04B3162}"/>
  <bookViews>
    <workbookView xWindow="-120" yWindow="-120" windowWidth="29040" windowHeight="15840" xr2:uid="{C420BAE2-D0AA-4315-BB25-F9A067C16036}"/>
  </bookViews>
  <sheets>
    <sheet name="Depreciation (Non vehicle) Dec" sheetId="16" r:id="rId1"/>
    <sheet name="Dep-Vehicle monthly Dec 2026" sheetId="13" r:id="rId2"/>
    <sheet name="Feuil2" sheetId="20" r:id="rId3"/>
    <sheet name="Feuil1" sheetId="19" r:id="rId4"/>
    <sheet name="Car List" sheetId="17" r:id="rId5"/>
    <sheet name="Simulation 2025_26_27_28" sheetId="18" r:id="rId6"/>
  </sheets>
  <externalReferences>
    <externalReference r:id="rId7"/>
  </externalReferences>
  <definedNames>
    <definedName name="_xlnm._FilterDatabase" localSheetId="1" hidden="1">'Dep-Vehicle monthly Dec 2026'!$A$2:$AE$45</definedName>
    <definedName name="_xlnm.Print_Area" localSheetId="1">'Dep-Vehicle monthly Dec 2026'!$A$1:$AE$45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4" i="16" l="1"/>
  <c r="H74" i="16"/>
  <c r="I100" i="16"/>
  <c r="I76" i="16"/>
  <c r="I77" i="16"/>
  <c r="I78" i="16"/>
  <c r="I79" i="16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6" i="13"/>
  <c r="J45" i="13"/>
  <c r="K45" i="13"/>
  <c r="L45" i="13"/>
  <c r="I45" i="13"/>
  <c r="I31" i="13"/>
  <c r="I29" i="13"/>
  <c r="I28" i="13"/>
  <c r="P11" i="13"/>
  <c r="M124" i="16"/>
  <c r="L124" i="16"/>
  <c r="I114" i="16"/>
  <c r="I113" i="16"/>
  <c r="I110" i="16"/>
  <c r="I108" i="16"/>
  <c r="I107" i="16"/>
  <c r="I106" i="16"/>
  <c r="I104" i="16"/>
  <c r="I101" i="16"/>
  <c r="I99" i="16"/>
  <c r="I98" i="16"/>
  <c r="I95" i="16"/>
  <c r="L95" i="16" s="1"/>
  <c r="J95" i="16"/>
  <c r="I94" i="16"/>
  <c r="I93" i="16"/>
  <c r="I92" i="16"/>
  <c r="I91" i="16"/>
  <c r="I87" i="16"/>
  <c r="I86" i="16"/>
  <c r="I85" i="16"/>
  <c r="I81" i="16"/>
  <c r="I80" i="16"/>
  <c r="I73" i="16"/>
  <c r="I72" i="16"/>
  <c r="I71" i="16"/>
  <c r="J70" i="16"/>
  <c r="I70" i="16"/>
  <c r="I69" i="16"/>
  <c r="I68" i="16"/>
  <c r="I67" i="16"/>
  <c r="I66" i="16"/>
  <c r="I65" i="16"/>
  <c r="I64" i="16"/>
  <c r="I61" i="16"/>
  <c r="J114" i="16"/>
  <c r="J113" i="16"/>
  <c r="J110" i="16"/>
  <c r="J108" i="16"/>
  <c r="J107" i="16"/>
  <c r="J106" i="16"/>
  <c r="J104" i="16"/>
  <c r="J102" i="16"/>
  <c r="J101" i="16"/>
  <c r="J100" i="16"/>
  <c r="J99" i="16"/>
  <c r="J98" i="16"/>
  <c r="J94" i="16"/>
  <c r="J93" i="16"/>
  <c r="J92" i="16"/>
  <c r="J91" i="16"/>
  <c r="J87" i="16"/>
  <c r="J86" i="16"/>
  <c r="J85" i="16"/>
  <c r="J81" i="16"/>
  <c r="J80" i="16"/>
  <c r="J79" i="16"/>
  <c r="J78" i="16"/>
  <c r="J77" i="16"/>
  <c r="J76" i="16"/>
  <c r="J73" i="16"/>
  <c r="J72" i="16"/>
  <c r="J71" i="16"/>
  <c r="J69" i="16"/>
  <c r="J68" i="16"/>
  <c r="J67" i="16"/>
  <c r="J66" i="16"/>
  <c r="J65" i="16"/>
  <c r="J64" i="16"/>
  <c r="J61" i="16"/>
  <c r="J57" i="16"/>
  <c r="J56" i="16"/>
  <c r="J55" i="16"/>
  <c r="J54" i="16"/>
  <c r="I57" i="16"/>
  <c r="I56" i="16"/>
  <c r="I55" i="16"/>
  <c r="I54" i="16"/>
  <c r="J51" i="16"/>
  <c r="J49" i="16"/>
  <c r="J48" i="16"/>
  <c r="J47" i="16"/>
  <c r="J46" i="16"/>
  <c r="I51" i="16"/>
  <c r="I49" i="16"/>
  <c r="I48" i="16"/>
  <c r="I47" i="16"/>
  <c r="I46" i="16"/>
  <c r="J42" i="16"/>
  <c r="J41" i="16"/>
  <c r="I42" i="16"/>
  <c r="I41" i="16"/>
  <c r="J23" i="16"/>
  <c r="J27" i="16"/>
  <c r="J28" i="16"/>
  <c r="J29" i="16"/>
  <c r="J30" i="16"/>
  <c r="J31" i="16"/>
  <c r="J32" i="16"/>
  <c r="J33" i="16"/>
  <c r="J26" i="16"/>
  <c r="I33" i="16"/>
  <c r="I32" i="16"/>
  <c r="I31" i="16"/>
  <c r="I30" i="16"/>
  <c r="I29" i="16"/>
  <c r="I28" i="16"/>
  <c r="I27" i="16"/>
  <c r="I26" i="16"/>
  <c r="I23" i="16"/>
  <c r="I18" i="16"/>
  <c r="I14" i="16"/>
  <c r="I9" i="16"/>
  <c r="H14" i="16"/>
  <c r="J14" i="16" s="1"/>
  <c r="H13" i="16"/>
  <c r="J13" i="16" s="1"/>
  <c r="I13" i="16"/>
  <c r="L13" i="16" s="1"/>
  <c r="I12" i="16"/>
  <c r="I11" i="16"/>
  <c r="I10" i="16"/>
  <c r="H70" i="16"/>
  <c r="H73" i="16"/>
  <c r="L73" i="16"/>
  <c r="M73" i="16"/>
  <c r="M34" i="13"/>
  <c r="M35" i="13"/>
  <c r="M20" i="13"/>
  <c r="G35" i="13"/>
  <c r="H35" i="13"/>
  <c r="N35" i="13" s="1"/>
  <c r="P35" i="13" s="1"/>
  <c r="AB35" i="13" s="1"/>
  <c r="G34" i="13"/>
  <c r="H34" i="13"/>
  <c r="N34" i="13" s="1"/>
  <c r="P34" i="13" s="1"/>
  <c r="AB34" i="13" s="1"/>
  <c r="AD34" i="13" s="1"/>
  <c r="AE34" i="13" s="1"/>
  <c r="AF34" i="13" s="1"/>
  <c r="AE52" i="13"/>
  <c r="J96" i="16"/>
  <c r="J62" i="16"/>
  <c r="M6" i="13"/>
  <c r="M24" i="13"/>
  <c r="M33" i="13"/>
  <c r="H33" i="13"/>
  <c r="G33" i="13"/>
  <c r="B1" i="19"/>
  <c r="C1" i="19"/>
  <c r="B2" i="19"/>
  <c r="C2" i="19"/>
  <c r="B3" i="19"/>
  <c r="C3" i="19"/>
  <c r="B4" i="19"/>
  <c r="C4" i="19"/>
  <c r="B5" i="19"/>
  <c r="C5" i="19"/>
  <c r="B6" i="19"/>
  <c r="C6" i="19"/>
  <c r="B7" i="19"/>
  <c r="C7" i="19"/>
  <c r="B8" i="19"/>
  <c r="C8" i="19"/>
  <c r="B9" i="19"/>
  <c r="C9" i="19"/>
  <c r="B10" i="19"/>
  <c r="C10" i="19"/>
  <c r="B11" i="19"/>
  <c r="C11" i="19"/>
  <c r="B12" i="19"/>
  <c r="C12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4" i="19"/>
  <c r="C24" i="19"/>
  <c r="B26" i="19"/>
  <c r="C26" i="19"/>
  <c r="A25" i="19"/>
  <c r="B25" i="19" s="1"/>
  <c r="C25" i="19" s="1"/>
  <c r="A23" i="19"/>
  <c r="B23" i="19" s="1"/>
  <c r="C23" i="19" s="1"/>
  <c r="A22" i="19"/>
  <c r="B22" i="19" s="1"/>
  <c r="C22" i="19" s="1"/>
  <c r="M32" i="13"/>
  <c r="G32" i="13"/>
  <c r="H32" i="13"/>
  <c r="N32" i="13" s="1"/>
  <c r="P32" i="13" s="1"/>
  <c r="F31" i="13"/>
  <c r="M31" i="13" s="1"/>
  <c r="M30" i="13"/>
  <c r="G30" i="13"/>
  <c r="H30" i="13"/>
  <c r="N30" i="13" s="1"/>
  <c r="P30" i="13" s="1"/>
  <c r="F29" i="13"/>
  <c r="M29" i="13" s="1"/>
  <c r="L100" i="16"/>
  <c r="L101" i="16"/>
  <c r="H100" i="16"/>
  <c r="H101" i="16"/>
  <c r="F102" i="16"/>
  <c r="G102" i="16"/>
  <c r="K102" i="16"/>
  <c r="E102" i="16"/>
  <c r="F74" i="16"/>
  <c r="G74" i="16"/>
  <c r="K74" i="16"/>
  <c r="E74" i="16"/>
  <c r="L72" i="16"/>
  <c r="H72" i="16"/>
  <c r="L49" i="16"/>
  <c r="H49" i="16"/>
  <c r="M49" i="16" s="1"/>
  <c r="F28" i="13"/>
  <c r="G28" i="13" s="1"/>
  <c r="H38" i="13"/>
  <c r="N38" i="13" s="1"/>
  <c r="H39" i="13"/>
  <c r="N39" i="13" s="1"/>
  <c r="G38" i="13"/>
  <c r="M38" i="13" s="1"/>
  <c r="G39" i="13"/>
  <c r="M39" i="13" s="1"/>
  <c r="L87" i="16"/>
  <c r="L71" i="16"/>
  <c r="L70" i="16"/>
  <c r="H86" i="16"/>
  <c r="H87" i="16"/>
  <c r="F89" i="16"/>
  <c r="F119" i="16" s="1"/>
  <c r="F122" i="16" s="1"/>
  <c r="G89" i="16"/>
  <c r="G119" i="16" s="1"/>
  <c r="G122" i="16" s="1"/>
  <c r="K89" i="16"/>
  <c r="K119" i="16" s="1"/>
  <c r="K122" i="16" s="1"/>
  <c r="E89" i="16"/>
  <c r="E119" i="16" s="1"/>
  <c r="E122" i="16" s="1"/>
  <c r="K43" i="16"/>
  <c r="M50" i="16"/>
  <c r="H71" i="16"/>
  <c r="K96" i="16"/>
  <c r="H95" i="16"/>
  <c r="M95" i="16" s="1"/>
  <c r="H42" i="16"/>
  <c r="G116" i="16"/>
  <c r="E15" i="16"/>
  <c r="F15" i="16"/>
  <c r="G15" i="16"/>
  <c r="K15" i="16"/>
  <c r="G43" i="16"/>
  <c r="F43" i="16"/>
  <c r="E43" i="16"/>
  <c r="H41" i="16"/>
  <c r="M27" i="13"/>
  <c r="G38" i="18"/>
  <c r="I38" i="18" s="1"/>
  <c r="G39" i="18"/>
  <c r="I39" i="18" s="1"/>
  <c r="G41" i="18"/>
  <c r="I41" i="18" s="1"/>
  <c r="G43" i="18"/>
  <c r="H43" i="18" s="1"/>
  <c r="G37" i="18"/>
  <c r="H37" i="18" s="1"/>
  <c r="AQ77" i="18"/>
  <c r="AO70" i="18"/>
  <c r="AM70" i="18"/>
  <c r="AK70" i="18"/>
  <c r="AJ70" i="18"/>
  <c r="AI70" i="18"/>
  <c r="AI74" i="18" s="1"/>
  <c r="AH70" i="18"/>
  <c r="AG70" i="18"/>
  <c r="Y70" i="18"/>
  <c r="X70" i="18"/>
  <c r="P70" i="18"/>
  <c r="L70" i="18"/>
  <c r="K70" i="18"/>
  <c r="J70" i="18"/>
  <c r="AP69" i="18"/>
  <c r="AQ50" i="18"/>
  <c r="AP44" i="18"/>
  <c r="AQ44" i="18" s="1"/>
  <c r="AD36" i="18"/>
  <c r="AB36" i="18"/>
  <c r="Z36" i="18"/>
  <c r="AN36" i="18" s="1"/>
  <c r="AP36" i="18" s="1"/>
  <c r="N36" i="18"/>
  <c r="O36" i="18" s="1"/>
  <c r="M36" i="18"/>
  <c r="AQ36" i="18" s="1"/>
  <c r="I36" i="18"/>
  <c r="H36" i="18"/>
  <c r="AA35" i="18"/>
  <c r="AC35" i="18" s="1"/>
  <c r="AE35" i="18" s="1"/>
  <c r="Z35" i="18"/>
  <c r="AB35" i="18" s="1"/>
  <c r="AD35" i="18" s="1"/>
  <c r="AF35" i="18" s="1"/>
  <c r="N35" i="18"/>
  <c r="O35" i="18" s="1"/>
  <c r="M35" i="18"/>
  <c r="I35" i="18"/>
  <c r="H35" i="18"/>
  <c r="AA34" i="18"/>
  <c r="AC34" i="18" s="1"/>
  <c r="AE34" i="18" s="1"/>
  <c r="Z34" i="18"/>
  <c r="AB34" i="18" s="1"/>
  <c r="AD34" i="18" s="1"/>
  <c r="AF34" i="18" s="1"/>
  <c r="N34" i="18"/>
  <c r="O34" i="18" s="1"/>
  <c r="M34" i="18"/>
  <c r="I34" i="18"/>
  <c r="H34" i="18"/>
  <c r="AA33" i="18"/>
  <c r="AC33" i="18" s="1"/>
  <c r="AE33" i="18" s="1"/>
  <c r="Z33" i="18"/>
  <c r="AB33" i="18" s="1"/>
  <c r="AD33" i="18" s="1"/>
  <c r="AF33" i="18" s="1"/>
  <c r="N33" i="18"/>
  <c r="O33" i="18" s="1"/>
  <c r="M33" i="18"/>
  <c r="I33" i="18"/>
  <c r="H33" i="18"/>
  <c r="AA32" i="18"/>
  <c r="AC32" i="18" s="1"/>
  <c r="AE32" i="18" s="1"/>
  <c r="Z32" i="18"/>
  <c r="AB32" i="18" s="1"/>
  <c r="AD32" i="18" s="1"/>
  <c r="AF32" i="18" s="1"/>
  <c r="N32" i="18"/>
  <c r="O32" i="18" s="1"/>
  <c r="M32" i="18"/>
  <c r="I32" i="18"/>
  <c r="H32" i="18"/>
  <c r="AA31" i="18"/>
  <c r="AC31" i="18" s="1"/>
  <c r="AE31" i="18" s="1"/>
  <c r="Z31" i="18"/>
  <c r="AB31" i="18" s="1"/>
  <c r="AD31" i="18" s="1"/>
  <c r="AF31" i="18" s="1"/>
  <c r="N31" i="18"/>
  <c r="O31" i="18" s="1"/>
  <c r="M31" i="18"/>
  <c r="I31" i="18"/>
  <c r="H31" i="18"/>
  <c r="AA30" i="18"/>
  <c r="AC30" i="18" s="1"/>
  <c r="AE30" i="18" s="1"/>
  <c r="Z30" i="18"/>
  <c r="AB30" i="18" s="1"/>
  <c r="AD30" i="18" s="1"/>
  <c r="AF30" i="18" s="1"/>
  <c r="N30" i="18"/>
  <c r="O30" i="18" s="1"/>
  <c r="M30" i="18"/>
  <c r="I30" i="18"/>
  <c r="H30" i="18"/>
  <c r="AA29" i="18"/>
  <c r="AC29" i="18" s="1"/>
  <c r="AE29" i="18" s="1"/>
  <c r="Z29" i="18"/>
  <c r="AB29" i="18" s="1"/>
  <c r="AD29" i="18" s="1"/>
  <c r="AF29" i="18" s="1"/>
  <c r="N29" i="18"/>
  <c r="O29" i="18" s="1"/>
  <c r="M29" i="18"/>
  <c r="I29" i="18"/>
  <c r="H29" i="18"/>
  <c r="AA28" i="18"/>
  <c r="AC28" i="18" s="1"/>
  <c r="AE28" i="18" s="1"/>
  <c r="Z28" i="18"/>
  <c r="AB28" i="18" s="1"/>
  <c r="AD28" i="18" s="1"/>
  <c r="AF28" i="18" s="1"/>
  <c r="N28" i="18"/>
  <c r="O28" i="18" s="1"/>
  <c r="M28" i="18"/>
  <c r="I28" i="18"/>
  <c r="H28" i="18"/>
  <c r="AA27" i="18"/>
  <c r="AC27" i="18" s="1"/>
  <c r="AE27" i="18" s="1"/>
  <c r="Z27" i="18"/>
  <c r="AB27" i="18" s="1"/>
  <c r="AD27" i="18" s="1"/>
  <c r="AF27" i="18" s="1"/>
  <c r="N27" i="18"/>
  <c r="O27" i="18" s="1"/>
  <c r="M27" i="18"/>
  <c r="I27" i="18"/>
  <c r="H27" i="18"/>
  <c r="AA26" i="18"/>
  <c r="AC26" i="18" s="1"/>
  <c r="AE26" i="18" s="1"/>
  <c r="Z26" i="18"/>
  <c r="AB26" i="18" s="1"/>
  <c r="AD26" i="18" s="1"/>
  <c r="AF26" i="18" s="1"/>
  <c r="N26" i="18"/>
  <c r="O26" i="18" s="1"/>
  <c r="M26" i="18"/>
  <c r="I26" i="18"/>
  <c r="H26" i="18"/>
  <c r="AA25" i="18"/>
  <c r="AC25" i="18" s="1"/>
  <c r="AE25" i="18" s="1"/>
  <c r="Z25" i="18"/>
  <c r="AB25" i="18" s="1"/>
  <c r="AD25" i="18" s="1"/>
  <c r="AF25" i="18" s="1"/>
  <c r="N25" i="18"/>
  <c r="O25" i="18" s="1"/>
  <c r="M25" i="18"/>
  <c r="I25" i="18"/>
  <c r="H25" i="18"/>
  <c r="AA24" i="18"/>
  <c r="AC24" i="18" s="1"/>
  <c r="AE24" i="18" s="1"/>
  <c r="Z24" i="18"/>
  <c r="AB24" i="18" s="1"/>
  <c r="AD24" i="18" s="1"/>
  <c r="AF24" i="18" s="1"/>
  <c r="N24" i="18"/>
  <c r="O24" i="18" s="1"/>
  <c r="M24" i="18"/>
  <c r="I24" i="18"/>
  <c r="H24" i="18"/>
  <c r="AA23" i="18"/>
  <c r="AC23" i="18" s="1"/>
  <c r="AE23" i="18" s="1"/>
  <c r="Z23" i="18"/>
  <c r="AB23" i="18" s="1"/>
  <c r="AD23" i="18" s="1"/>
  <c r="AF23" i="18" s="1"/>
  <c r="N23" i="18"/>
  <c r="O23" i="18" s="1"/>
  <c r="M23" i="18"/>
  <c r="I23" i="18"/>
  <c r="H23" i="18"/>
  <c r="AA22" i="18"/>
  <c r="AC22" i="18" s="1"/>
  <c r="AE22" i="18" s="1"/>
  <c r="Z22" i="18"/>
  <c r="AB22" i="18" s="1"/>
  <c r="AD22" i="18" s="1"/>
  <c r="AF22" i="18" s="1"/>
  <c r="N22" i="18"/>
  <c r="O22" i="18" s="1"/>
  <c r="M22" i="18"/>
  <c r="I22" i="18"/>
  <c r="H22" i="18"/>
  <c r="AA21" i="18"/>
  <c r="AC21" i="18" s="1"/>
  <c r="AE21" i="18" s="1"/>
  <c r="Z21" i="18"/>
  <c r="AB21" i="18" s="1"/>
  <c r="AD21" i="18" s="1"/>
  <c r="AF21" i="18" s="1"/>
  <c r="N21" i="18"/>
  <c r="O21" i="18" s="1"/>
  <c r="M21" i="18"/>
  <c r="I21" i="18"/>
  <c r="H21" i="18"/>
  <c r="AA20" i="18"/>
  <c r="AC20" i="18" s="1"/>
  <c r="AE20" i="18" s="1"/>
  <c r="Z20" i="18"/>
  <c r="AB20" i="18" s="1"/>
  <c r="AD20" i="18" s="1"/>
  <c r="AF20" i="18" s="1"/>
  <c r="N20" i="18"/>
  <c r="O20" i="18" s="1"/>
  <c r="M20" i="18"/>
  <c r="I20" i="18"/>
  <c r="H20" i="18"/>
  <c r="AA19" i="18"/>
  <c r="AC19" i="18" s="1"/>
  <c r="AE19" i="18" s="1"/>
  <c r="Z19" i="18"/>
  <c r="AB19" i="18" s="1"/>
  <c r="AD19" i="18" s="1"/>
  <c r="AF19" i="18" s="1"/>
  <c r="N19" i="18"/>
  <c r="O19" i="18" s="1"/>
  <c r="M19" i="18"/>
  <c r="I19" i="18"/>
  <c r="H19" i="18"/>
  <c r="AA18" i="18"/>
  <c r="AC18" i="18" s="1"/>
  <c r="AE18" i="18" s="1"/>
  <c r="Z18" i="18"/>
  <c r="AB18" i="18" s="1"/>
  <c r="AD18" i="18" s="1"/>
  <c r="AF18" i="18" s="1"/>
  <c r="N18" i="18"/>
  <c r="O18" i="18" s="1"/>
  <c r="M18" i="18"/>
  <c r="I18" i="18"/>
  <c r="H18" i="18"/>
  <c r="AA17" i="18"/>
  <c r="AC17" i="18" s="1"/>
  <c r="AE17" i="18" s="1"/>
  <c r="Z17" i="18"/>
  <c r="AB17" i="18" s="1"/>
  <c r="AD17" i="18" s="1"/>
  <c r="AF17" i="18" s="1"/>
  <c r="N17" i="18"/>
  <c r="O17" i="18" s="1"/>
  <c r="M17" i="18"/>
  <c r="I17" i="18"/>
  <c r="H17" i="18"/>
  <c r="AA16" i="18"/>
  <c r="AC16" i="18" s="1"/>
  <c r="AE16" i="18" s="1"/>
  <c r="Z16" i="18"/>
  <c r="AB16" i="18" s="1"/>
  <c r="AD16" i="18" s="1"/>
  <c r="AF16" i="18" s="1"/>
  <c r="N16" i="18"/>
  <c r="O16" i="18" s="1"/>
  <c r="M16" i="18"/>
  <c r="I16" i="18"/>
  <c r="H16" i="18"/>
  <c r="AA15" i="18"/>
  <c r="AC15" i="18" s="1"/>
  <c r="AE15" i="18" s="1"/>
  <c r="Z15" i="18"/>
  <c r="AB15" i="18" s="1"/>
  <c r="AD15" i="18" s="1"/>
  <c r="AF15" i="18" s="1"/>
  <c r="N15" i="18"/>
  <c r="O15" i="18" s="1"/>
  <c r="M15" i="18"/>
  <c r="I15" i="18"/>
  <c r="H15" i="18"/>
  <c r="AA14" i="18"/>
  <c r="AC14" i="18" s="1"/>
  <c r="AE14" i="18" s="1"/>
  <c r="Z14" i="18"/>
  <c r="AB14" i="18" s="1"/>
  <c r="AD14" i="18" s="1"/>
  <c r="AF14" i="18" s="1"/>
  <c r="N14" i="18"/>
  <c r="O14" i="18" s="1"/>
  <c r="M14" i="18"/>
  <c r="I14" i="18"/>
  <c r="H14" i="18"/>
  <c r="AA13" i="18"/>
  <c r="AC13" i="18" s="1"/>
  <c r="AE13" i="18" s="1"/>
  <c r="Z13" i="18"/>
  <c r="AB13" i="18" s="1"/>
  <c r="AD13" i="18" s="1"/>
  <c r="AF13" i="18" s="1"/>
  <c r="N13" i="18"/>
  <c r="O13" i="18" s="1"/>
  <c r="M13" i="18"/>
  <c r="I13" i="18"/>
  <c r="H13" i="18"/>
  <c r="AA12" i="18"/>
  <c r="AC12" i="18" s="1"/>
  <c r="AE12" i="18" s="1"/>
  <c r="Z12" i="18"/>
  <c r="AB12" i="18" s="1"/>
  <c r="AD12" i="18" s="1"/>
  <c r="AF12" i="18" s="1"/>
  <c r="N12" i="18"/>
  <c r="O12" i="18" s="1"/>
  <c r="M12" i="18"/>
  <c r="I12" i="18"/>
  <c r="H12" i="18"/>
  <c r="AA11" i="18"/>
  <c r="AC11" i="18" s="1"/>
  <c r="AE11" i="18" s="1"/>
  <c r="Z11" i="18"/>
  <c r="AB11" i="18" s="1"/>
  <c r="AD11" i="18" s="1"/>
  <c r="AF11" i="18" s="1"/>
  <c r="N11" i="18"/>
  <c r="O11" i="18" s="1"/>
  <c r="M11" i="18"/>
  <c r="I11" i="18"/>
  <c r="H11" i="18"/>
  <c r="AA10" i="18"/>
  <c r="AC10" i="18" s="1"/>
  <c r="AE10" i="18" s="1"/>
  <c r="Z10" i="18"/>
  <c r="AB10" i="18" s="1"/>
  <c r="AD10" i="18" s="1"/>
  <c r="AF10" i="18" s="1"/>
  <c r="N10" i="18"/>
  <c r="O10" i="18" s="1"/>
  <c r="M10" i="18"/>
  <c r="I10" i="18"/>
  <c r="H10" i="18"/>
  <c r="AA9" i="18"/>
  <c r="AC9" i="18" s="1"/>
  <c r="AE9" i="18" s="1"/>
  <c r="Z9" i="18"/>
  <c r="AB9" i="18" s="1"/>
  <c r="AD9" i="18" s="1"/>
  <c r="AF9" i="18" s="1"/>
  <c r="N9" i="18"/>
  <c r="O9" i="18" s="1"/>
  <c r="M9" i="18"/>
  <c r="I9" i="18"/>
  <c r="H9" i="18"/>
  <c r="AA8" i="18"/>
  <c r="AC8" i="18" s="1"/>
  <c r="AE8" i="18" s="1"/>
  <c r="Z8" i="18"/>
  <c r="AB8" i="18" s="1"/>
  <c r="AD8" i="18" s="1"/>
  <c r="AF8" i="18" s="1"/>
  <c r="N8" i="18"/>
  <c r="O8" i="18" s="1"/>
  <c r="M8" i="18"/>
  <c r="I8" i="18"/>
  <c r="H8" i="18"/>
  <c r="AA7" i="18"/>
  <c r="AC7" i="18" s="1"/>
  <c r="AE7" i="18" s="1"/>
  <c r="Z7" i="18"/>
  <c r="AB7" i="18" s="1"/>
  <c r="AD7" i="18" s="1"/>
  <c r="AF7" i="18" s="1"/>
  <c r="N7" i="18"/>
  <c r="O7" i="18" s="1"/>
  <c r="M7" i="18"/>
  <c r="I7" i="18"/>
  <c r="H7" i="18"/>
  <c r="AA6" i="18"/>
  <c r="Z6" i="18"/>
  <c r="N6" i="18"/>
  <c r="M6" i="18"/>
  <c r="I6" i="18"/>
  <c r="H6" i="18"/>
  <c r="AQ5" i="18"/>
  <c r="AQ4" i="18"/>
  <c r="AQ3" i="18"/>
  <c r="AT2" i="18"/>
  <c r="AU2" i="18" s="1"/>
  <c r="AV2" i="18" s="1"/>
  <c r="AW2" i="18" s="1"/>
  <c r="AX2" i="18" s="1"/>
  <c r="AY2" i="18" s="1"/>
  <c r="AZ2" i="18" s="1"/>
  <c r="BA2" i="18" s="1"/>
  <c r="BB2" i="18" s="1"/>
  <c r="BC2" i="18" s="1"/>
  <c r="BD2" i="18" s="1"/>
  <c r="BE2" i="18" s="1"/>
  <c r="BF2" i="18" s="1"/>
  <c r="BG2" i="18" s="1"/>
  <c r="BH2" i="18" s="1"/>
  <c r="BI2" i="18" s="1"/>
  <c r="BJ2" i="18" s="1"/>
  <c r="BK2" i="18" s="1"/>
  <c r="BL2" i="18" s="1"/>
  <c r="BM2" i="18" s="1"/>
  <c r="BN2" i="18" s="1"/>
  <c r="BO2" i="18" s="1"/>
  <c r="BP2" i="18" s="1"/>
  <c r="BQ2" i="18" s="1"/>
  <c r="BR2" i="18" s="1"/>
  <c r="BS2" i="18" s="1"/>
  <c r="BT2" i="18" s="1"/>
  <c r="BU2" i="18" s="1"/>
  <c r="BV2" i="18" s="1"/>
  <c r="BW2" i="18" s="1"/>
  <c r="BX2" i="18" s="1"/>
  <c r="BY2" i="18" s="1"/>
  <c r="BZ2" i="18" s="1"/>
  <c r="CA2" i="18" s="1"/>
  <c r="CB2" i="18" s="1"/>
  <c r="CC2" i="18" s="1"/>
  <c r="CD2" i="18" s="1"/>
  <c r="CE2" i="18" s="1"/>
  <c r="CF2" i="18" s="1"/>
  <c r="CG2" i="18" s="1"/>
  <c r="CH2" i="18" s="1"/>
  <c r="CI2" i="18" s="1"/>
  <c r="CJ2" i="18" s="1"/>
  <c r="CK2" i="18" s="1"/>
  <c r="CL2" i="18" s="1"/>
  <c r="CM2" i="18" s="1"/>
  <c r="CN2" i="18" s="1"/>
  <c r="AD35" i="13"/>
  <c r="M19" i="13"/>
  <c r="M21" i="13"/>
  <c r="M22" i="13"/>
  <c r="M23" i="13"/>
  <c r="M25" i="13"/>
  <c r="M26" i="13"/>
  <c r="M12" i="13"/>
  <c r="M13" i="13"/>
  <c r="M14" i="13"/>
  <c r="M15" i="13"/>
  <c r="M16" i="13"/>
  <c r="M17" i="13"/>
  <c r="M18" i="13"/>
  <c r="M7" i="13"/>
  <c r="M8" i="13"/>
  <c r="M9" i="13"/>
  <c r="M10" i="13"/>
  <c r="M11" i="13"/>
  <c r="L113" i="16"/>
  <c r="L110" i="16"/>
  <c r="I116" i="16"/>
  <c r="I102" i="16"/>
  <c r="I89" i="16"/>
  <c r="H114" i="16"/>
  <c r="H113" i="16"/>
  <c r="H51" i="16"/>
  <c r="L29" i="16"/>
  <c r="L28" i="16"/>
  <c r="L26" i="16"/>
  <c r="H11" i="16"/>
  <c r="J11" i="16" s="1"/>
  <c r="H12" i="16"/>
  <c r="J12" i="16" s="1"/>
  <c r="H10" i="16"/>
  <c r="J10" i="16" s="1"/>
  <c r="G25" i="13"/>
  <c r="H25" i="13"/>
  <c r="N25" i="13" s="1"/>
  <c r="P25" i="13" s="1"/>
  <c r="G26" i="13"/>
  <c r="H26" i="13"/>
  <c r="N26" i="13" s="1"/>
  <c r="P26" i="13" s="1"/>
  <c r="G27" i="13"/>
  <c r="H27" i="13"/>
  <c r="N27" i="13" s="1"/>
  <c r="P27" i="13" s="1"/>
  <c r="R39" i="13"/>
  <c r="AA45" i="13"/>
  <c r="U45" i="13"/>
  <c r="X45" i="13"/>
  <c r="O45" i="13"/>
  <c r="G6" i="13"/>
  <c r="H6" i="13"/>
  <c r="G7" i="13"/>
  <c r="H7" i="13"/>
  <c r="N7" i="13" s="1"/>
  <c r="P7" i="13" s="1"/>
  <c r="AB7" i="13" s="1"/>
  <c r="G8" i="13"/>
  <c r="H8" i="13"/>
  <c r="N8" i="13" s="1"/>
  <c r="P8" i="13" s="1"/>
  <c r="G9" i="13"/>
  <c r="H9" i="13"/>
  <c r="N9" i="13" s="1"/>
  <c r="P9" i="13" s="1"/>
  <c r="G10" i="13"/>
  <c r="H10" i="13"/>
  <c r="N10" i="13" s="1"/>
  <c r="P10" i="13" s="1"/>
  <c r="G11" i="13"/>
  <c r="H11" i="13"/>
  <c r="G12" i="13"/>
  <c r="H12" i="13"/>
  <c r="N12" i="13" s="1"/>
  <c r="P12" i="13" s="1"/>
  <c r="G13" i="13"/>
  <c r="H13" i="13"/>
  <c r="N13" i="13" s="1"/>
  <c r="P13" i="13" s="1"/>
  <c r="G14" i="13"/>
  <c r="H14" i="13"/>
  <c r="N14" i="13" s="1"/>
  <c r="P14" i="13" s="1"/>
  <c r="G15" i="13"/>
  <c r="H15" i="13"/>
  <c r="N15" i="13" s="1"/>
  <c r="P15" i="13" s="1"/>
  <c r="G16" i="13"/>
  <c r="H16" i="13"/>
  <c r="N16" i="13" s="1"/>
  <c r="P16" i="13" s="1"/>
  <c r="G17" i="13"/>
  <c r="H17" i="13"/>
  <c r="N17" i="13" s="1"/>
  <c r="P17" i="13" s="1"/>
  <c r="G18" i="13"/>
  <c r="H18" i="13"/>
  <c r="N18" i="13" s="1"/>
  <c r="P18" i="13" s="1"/>
  <c r="G19" i="13"/>
  <c r="H19" i="13"/>
  <c r="N19" i="13" s="1"/>
  <c r="P19" i="13" s="1"/>
  <c r="G20" i="13"/>
  <c r="H20" i="13"/>
  <c r="N20" i="13" s="1"/>
  <c r="P20" i="13" s="1"/>
  <c r="G21" i="13"/>
  <c r="H21" i="13"/>
  <c r="N21" i="13" s="1"/>
  <c r="P21" i="13" s="1"/>
  <c r="G22" i="13"/>
  <c r="H22" i="13"/>
  <c r="N22" i="13" s="1"/>
  <c r="P22" i="13" s="1"/>
  <c r="G23" i="13"/>
  <c r="H23" i="13"/>
  <c r="N23" i="13" s="1"/>
  <c r="P23" i="13" s="1"/>
  <c r="G24" i="13"/>
  <c r="H24" i="13"/>
  <c r="N24" i="13" s="1"/>
  <c r="P24" i="13" s="1"/>
  <c r="L32" i="16"/>
  <c r="L114" i="16"/>
  <c r="M114" i="16" s="1"/>
  <c r="L107" i="16"/>
  <c r="F116" i="16"/>
  <c r="K116" i="16"/>
  <c r="H110" i="16"/>
  <c r="H93" i="16"/>
  <c r="N33" i="13" l="1"/>
  <c r="P33" i="13" s="1"/>
  <c r="AB33" i="13" s="1"/>
  <c r="AD33" i="13" s="1"/>
  <c r="AE33" i="13" s="1"/>
  <c r="AF33" i="13" s="1"/>
  <c r="L10" i="16"/>
  <c r="L11" i="16"/>
  <c r="L12" i="16"/>
  <c r="L14" i="16"/>
  <c r="M101" i="16"/>
  <c r="M100" i="16"/>
  <c r="I74" i="16"/>
  <c r="L31" i="16"/>
  <c r="M31" i="16" s="1"/>
  <c r="M72" i="16"/>
  <c r="J74" i="16"/>
  <c r="L42" i="16"/>
  <c r="J34" i="16"/>
  <c r="L27" i="16"/>
  <c r="N6" i="13"/>
  <c r="G42" i="18"/>
  <c r="I42" i="18" s="1"/>
  <c r="AQ42" i="18" s="1"/>
  <c r="H29" i="13"/>
  <c r="N29" i="13" s="1"/>
  <c r="P29" i="13" s="1"/>
  <c r="AB29" i="13" s="1"/>
  <c r="M28" i="13"/>
  <c r="M45" i="13" s="1"/>
  <c r="G29" i="13"/>
  <c r="H28" i="13"/>
  <c r="I43" i="18"/>
  <c r="AQ43" i="18" s="1"/>
  <c r="H41" i="18"/>
  <c r="H31" i="13"/>
  <c r="G31" i="13"/>
  <c r="G40" i="18"/>
  <c r="I40" i="18" s="1"/>
  <c r="AQ40" i="18" s="1"/>
  <c r="C27" i="19"/>
  <c r="W45" i="13"/>
  <c r="M113" i="16"/>
  <c r="AE35" i="13"/>
  <c r="AF35" i="13" s="1"/>
  <c r="T39" i="13"/>
  <c r="S39" i="13"/>
  <c r="T38" i="13"/>
  <c r="T45" i="13"/>
  <c r="I37" i="18"/>
  <c r="AQ37" i="18" s="1"/>
  <c r="H38" i="18"/>
  <c r="H39" i="18"/>
  <c r="L33" i="16"/>
  <c r="M14" i="16"/>
  <c r="J89" i="16"/>
  <c r="L30" i="16"/>
  <c r="I96" i="16"/>
  <c r="J43" i="16"/>
  <c r="M87" i="16"/>
  <c r="L86" i="16"/>
  <c r="M86" i="16" s="1"/>
  <c r="M71" i="16"/>
  <c r="M70" i="16"/>
  <c r="M12" i="16"/>
  <c r="M13" i="16"/>
  <c r="I15" i="16"/>
  <c r="H43" i="16"/>
  <c r="M42" i="16"/>
  <c r="M110" i="16"/>
  <c r="I43" i="16"/>
  <c r="L41" i="16"/>
  <c r="M70" i="18"/>
  <c r="M76" i="18" s="1"/>
  <c r="N70" i="18"/>
  <c r="O6" i="18"/>
  <c r="Z70" i="18"/>
  <c r="AB6" i="18"/>
  <c r="AA70" i="18"/>
  <c r="AC6" i="18"/>
  <c r="W7" i="18"/>
  <c r="V7" i="18"/>
  <c r="U7" i="18"/>
  <c r="T7" i="18"/>
  <c r="AN7" i="18" s="1"/>
  <c r="AP7" i="18" s="1"/>
  <c r="AQ7" i="18" s="1"/>
  <c r="AS7" i="18" s="1"/>
  <c r="W8" i="18"/>
  <c r="V8" i="18"/>
  <c r="U8" i="18"/>
  <c r="T8" i="18"/>
  <c r="AN8" i="18" s="1"/>
  <c r="AP8" i="18" s="1"/>
  <c r="AQ8" i="18" s="1"/>
  <c r="AS8" i="18" s="1"/>
  <c r="W9" i="18"/>
  <c r="V9" i="18"/>
  <c r="U9" i="18"/>
  <c r="T9" i="18"/>
  <c r="AN9" i="18" s="1"/>
  <c r="AP9" i="18" s="1"/>
  <c r="AQ9" i="18" s="1"/>
  <c r="AS9" i="18" s="1"/>
  <c r="W10" i="18"/>
  <c r="V10" i="18"/>
  <c r="U10" i="18"/>
  <c r="T10" i="18"/>
  <c r="AN10" i="18" s="1"/>
  <c r="AP10" i="18" s="1"/>
  <c r="AQ10" i="18" s="1"/>
  <c r="AS10" i="18" s="1"/>
  <c r="W11" i="18"/>
  <c r="V11" i="18"/>
  <c r="U11" i="18"/>
  <c r="T11" i="18"/>
  <c r="AN11" i="18" s="1"/>
  <c r="AP11" i="18" s="1"/>
  <c r="AQ11" i="18" s="1"/>
  <c r="AS11" i="18" s="1"/>
  <c r="W12" i="18"/>
  <c r="V12" i="18"/>
  <c r="U12" i="18"/>
  <c r="T12" i="18"/>
  <c r="AN12" i="18" s="1"/>
  <c r="AP12" i="18" s="1"/>
  <c r="AQ12" i="18" s="1"/>
  <c r="AS12" i="18" s="1"/>
  <c r="W13" i="18"/>
  <c r="V13" i="18"/>
  <c r="U13" i="18"/>
  <c r="T13" i="18"/>
  <c r="AN13" i="18" s="1"/>
  <c r="AP13" i="18" s="1"/>
  <c r="AQ13" i="18" s="1"/>
  <c r="AS13" i="18" s="1"/>
  <c r="W14" i="18"/>
  <c r="V14" i="18"/>
  <c r="U14" i="18"/>
  <c r="T14" i="18"/>
  <c r="AN14" i="18" s="1"/>
  <c r="AP14" i="18" s="1"/>
  <c r="AQ14" i="18" s="1"/>
  <c r="AS14" i="18" s="1"/>
  <c r="W15" i="18"/>
  <c r="V15" i="18"/>
  <c r="U15" i="18"/>
  <c r="T15" i="18"/>
  <c r="AN15" i="18" s="1"/>
  <c r="AP15" i="18" s="1"/>
  <c r="AQ15" i="18" s="1"/>
  <c r="AS15" i="18" s="1"/>
  <c r="W16" i="18"/>
  <c r="V16" i="18"/>
  <c r="U16" i="18"/>
  <c r="T16" i="18"/>
  <c r="AN16" i="18" s="1"/>
  <c r="AP16" i="18" s="1"/>
  <c r="AQ16" i="18" s="1"/>
  <c r="AS16" i="18" s="1"/>
  <c r="W17" i="18"/>
  <c r="V17" i="18"/>
  <c r="U17" i="18"/>
  <c r="T17" i="18"/>
  <c r="AN17" i="18" s="1"/>
  <c r="AP17" i="18" s="1"/>
  <c r="AQ17" i="18" s="1"/>
  <c r="AS17" i="18" s="1"/>
  <c r="W18" i="18"/>
  <c r="V18" i="18"/>
  <c r="U18" i="18"/>
  <c r="T18" i="18"/>
  <c r="AN18" i="18" s="1"/>
  <c r="AP18" i="18" s="1"/>
  <c r="AQ18" i="18" s="1"/>
  <c r="AS18" i="18" s="1"/>
  <c r="W19" i="18"/>
  <c r="V19" i="18"/>
  <c r="U19" i="18"/>
  <c r="T19" i="18"/>
  <c r="AN19" i="18" s="1"/>
  <c r="AP19" i="18" s="1"/>
  <c r="AQ19" i="18" s="1"/>
  <c r="AS19" i="18" s="1"/>
  <c r="W20" i="18"/>
  <c r="V20" i="18"/>
  <c r="U20" i="18"/>
  <c r="T20" i="18"/>
  <c r="AN20" i="18" s="1"/>
  <c r="AP20" i="18" s="1"/>
  <c r="AQ20" i="18" s="1"/>
  <c r="AS20" i="18" s="1"/>
  <c r="W21" i="18"/>
  <c r="V21" i="18"/>
  <c r="U21" i="18"/>
  <c r="T21" i="18"/>
  <c r="AN21" i="18" s="1"/>
  <c r="AP21" i="18" s="1"/>
  <c r="AQ21" i="18" s="1"/>
  <c r="AS21" i="18" s="1"/>
  <c r="W22" i="18"/>
  <c r="V22" i="18"/>
  <c r="U22" i="18"/>
  <c r="T22" i="18"/>
  <c r="AN22" i="18" s="1"/>
  <c r="AP22" i="18" s="1"/>
  <c r="AQ22" i="18" s="1"/>
  <c r="AS22" i="18" s="1"/>
  <c r="W23" i="18"/>
  <c r="V23" i="18"/>
  <c r="U23" i="18"/>
  <c r="T23" i="18"/>
  <c r="AN23" i="18" s="1"/>
  <c r="AP23" i="18" s="1"/>
  <c r="AQ23" i="18" s="1"/>
  <c r="AS23" i="18" s="1"/>
  <c r="W24" i="18"/>
  <c r="V24" i="18"/>
  <c r="U24" i="18"/>
  <c r="T24" i="18"/>
  <c r="AN24" i="18" s="1"/>
  <c r="AP24" i="18" s="1"/>
  <c r="AQ24" i="18" s="1"/>
  <c r="AS24" i="18" s="1"/>
  <c r="W25" i="18"/>
  <c r="V25" i="18"/>
  <c r="U25" i="18"/>
  <c r="T25" i="18"/>
  <c r="AN25" i="18" s="1"/>
  <c r="AP25" i="18" s="1"/>
  <c r="AQ25" i="18" s="1"/>
  <c r="AS25" i="18" s="1"/>
  <c r="W26" i="18"/>
  <c r="V26" i="18"/>
  <c r="U26" i="18"/>
  <c r="T26" i="18"/>
  <c r="AN26" i="18" s="1"/>
  <c r="AP26" i="18" s="1"/>
  <c r="AQ26" i="18" s="1"/>
  <c r="AS26" i="18" s="1"/>
  <c r="W27" i="18"/>
  <c r="V27" i="18"/>
  <c r="U27" i="18"/>
  <c r="T27" i="18"/>
  <c r="AN27" i="18" s="1"/>
  <c r="AP27" i="18" s="1"/>
  <c r="AQ27" i="18" s="1"/>
  <c r="AS27" i="18" s="1"/>
  <c r="W28" i="18"/>
  <c r="V28" i="18"/>
  <c r="U28" i="18"/>
  <c r="T28" i="18"/>
  <c r="AN28" i="18" s="1"/>
  <c r="AP28" i="18" s="1"/>
  <c r="AQ28" i="18" s="1"/>
  <c r="AS28" i="18" s="1"/>
  <c r="W29" i="18"/>
  <c r="V29" i="18"/>
  <c r="U29" i="18"/>
  <c r="T29" i="18"/>
  <c r="AN29" i="18" s="1"/>
  <c r="AP29" i="18" s="1"/>
  <c r="AQ29" i="18" s="1"/>
  <c r="AS29" i="18" s="1"/>
  <c r="W30" i="18"/>
  <c r="V30" i="18"/>
  <c r="U30" i="18"/>
  <c r="T30" i="18"/>
  <c r="AN30" i="18" s="1"/>
  <c r="AP30" i="18" s="1"/>
  <c r="AQ30" i="18" s="1"/>
  <c r="AS30" i="18" s="1"/>
  <c r="W31" i="18"/>
  <c r="V31" i="18"/>
  <c r="U31" i="18"/>
  <c r="T31" i="18"/>
  <c r="AN31" i="18" s="1"/>
  <c r="AP31" i="18" s="1"/>
  <c r="AQ31" i="18" s="1"/>
  <c r="AS31" i="18" s="1"/>
  <c r="W32" i="18"/>
  <c r="V32" i="18"/>
  <c r="AN32" i="18" s="1"/>
  <c r="AP32" i="18" s="1"/>
  <c r="AQ32" i="18" s="1"/>
  <c r="AS32" i="18" s="1"/>
  <c r="W33" i="18"/>
  <c r="V33" i="18"/>
  <c r="AN33" i="18" s="1"/>
  <c r="AP33" i="18" s="1"/>
  <c r="AQ33" i="18" s="1"/>
  <c r="AS33" i="18" s="1"/>
  <c r="W34" i="18"/>
  <c r="V34" i="18"/>
  <c r="AN34" i="18" s="1"/>
  <c r="AP34" i="18" s="1"/>
  <c r="AQ34" i="18" s="1"/>
  <c r="AS34" i="18" s="1"/>
  <c r="W35" i="18"/>
  <c r="V35" i="18"/>
  <c r="AN35" i="18" s="1"/>
  <c r="AP35" i="18" s="1"/>
  <c r="AQ35" i="18" s="1"/>
  <c r="AS35" i="18" s="1"/>
  <c r="AS36" i="18"/>
  <c r="AQ38" i="18"/>
  <c r="AL38" i="18"/>
  <c r="AQ39" i="18"/>
  <c r="AL39" i="18"/>
  <c r="AQ41" i="18"/>
  <c r="AL41" i="18"/>
  <c r="J119" i="16" l="1"/>
  <c r="J122" i="16" s="1"/>
  <c r="AL42" i="18"/>
  <c r="R38" i="13"/>
  <c r="N28" i="13"/>
  <c r="P28" i="13" s="1"/>
  <c r="R45" i="13"/>
  <c r="H42" i="18"/>
  <c r="AB32" i="13"/>
  <c r="AD32" i="13" s="1"/>
  <c r="AE32" i="13" s="1"/>
  <c r="AF32" i="13" s="1"/>
  <c r="N31" i="13"/>
  <c r="P31" i="13" s="1"/>
  <c r="AL40" i="18"/>
  <c r="H40" i="18"/>
  <c r="AL43" i="18"/>
  <c r="AW43" i="18" s="1"/>
  <c r="AB30" i="13"/>
  <c r="AD30" i="13" s="1"/>
  <c r="AE30" i="13" s="1"/>
  <c r="AF30" i="13" s="1"/>
  <c r="AB28" i="13"/>
  <c r="AD28" i="13" s="1"/>
  <c r="AE28" i="13" s="1"/>
  <c r="AF28" i="13" s="1"/>
  <c r="Q38" i="13"/>
  <c r="AD29" i="13"/>
  <c r="AE29" i="13" s="1"/>
  <c r="AF29" i="13" s="1"/>
  <c r="Q39" i="13"/>
  <c r="AL37" i="18"/>
  <c r="M41" i="16"/>
  <c r="M43" i="16" s="1"/>
  <c r="L43" i="16"/>
  <c r="AB25" i="13"/>
  <c r="AD25" i="13" s="1"/>
  <c r="AE25" i="13" s="1"/>
  <c r="AF25" i="13" s="1"/>
  <c r="AB26" i="13"/>
  <c r="AD26" i="13" s="1"/>
  <c r="AE26" i="13" s="1"/>
  <c r="AF26" i="13" s="1"/>
  <c r="AB27" i="13"/>
  <c r="AD27" i="13" s="1"/>
  <c r="AE27" i="13" s="1"/>
  <c r="AF27" i="13" s="1"/>
  <c r="AU41" i="18"/>
  <c r="AT39" i="18"/>
  <c r="AT38" i="18"/>
  <c r="AT36" i="18"/>
  <c r="AT35" i="18"/>
  <c r="AT34" i="18"/>
  <c r="AT33" i="18"/>
  <c r="AT32" i="18"/>
  <c r="AT31" i="18"/>
  <c r="AT30" i="18"/>
  <c r="AT29" i="18"/>
  <c r="AT28" i="18"/>
  <c r="AT27" i="18"/>
  <c r="AT26" i="18"/>
  <c r="AT25" i="18"/>
  <c r="AT24" i="18"/>
  <c r="AT23" i="18"/>
  <c r="AT22" i="18"/>
  <c r="AT21" i="18"/>
  <c r="AT20" i="18"/>
  <c r="AT19" i="18"/>
  <c r="AT18" i="18"/>
  <c r="AT17" i="18"/>
  <c r="AT16" i="18"/>
  <c r="AT15" i="18"/>
  <c r="AT14" i="18"/>
  <c r="AT13" i="18"/>
  <c r="AT12" i="18"/>
  <c r="AT11" i="18"/>
  <c r="AT10" i="18"/>
  <c r="AT9" i="18"/>
  <c r="AT8" i="18"/>
  <c r="AT7" i="18"/>
  <c r="AC70" i="18"/>
  <c r="AE6" i="18"/>
  <c r="AE70" i="18" s="1"/>
  <c r="AB70" i="18"/>
  <c r="AD6" i="18"/>
  <c r="O70" i="18"/>
  <c r="W6" i="18"/>
  <c r="W70" i="18" s="1"/>
  <c r="V6" i="18"/>
  <c r="V70" i="18" s="1"/>
  <c r="U6" i="18"/>
  <c r="U70" i="18" s="1"/>
  <c r="T6" i="18"/>
  <c r="J58" i="16"/>
  <c r="P45" i="13" l="1"/>
  <c r="AV42" i="18"/>
  <c r="AW42" i="18" s="1"/>
  <c r="AC45" i="13"/>
  <c r="S38" i="13"/>
  <c r="S45" i="13" s="1"/>
  <c r="N45" i="13"/>
  <c r="Z45" i="13"/>
  <c r="AL70" i="18"/>
  <c r="AU40" i="18"/>
  <c r="AV40" i="18" s="1"/>
  <c r="Q45" i="13"/>
  <c r="V45" i="13"/>
  <c r="AT37" i="18"/>
  <c r="AU37" i="18" s="1"/>
  <c r="T70" i="18"/>
  <c r="AD70" i="18"/>
  <c r="AF6" i="18"/>
  <c r="AU7" i="18"/>
  <c r="AU8" i="18"/>
  <c r="AU9" i="18"/>
  <c r="AU10" i="18"/>
  <c r="AU11" i="18"/>
  <c r="AU12" i="18"/>
  <c r="AU13" i="18"/>
  <c r="AU14" i="18"/>
  <c r="AU15" i="18"/>
  <c r="AU16" i="18"/>
  <c r="AU17" i="18"/>
  <c r="AU18" i="18"/>
  <c r="AU19" i="18"/>
  <c r="AU20" i="18"/>
  <c r="AU21" i="18"/>
  <c r="AU22" i="18"/>
  <c r="AU23" i="18"/>
  <c r="AU24" i="18"/>
  <c r="AU25" i="18"/>
  <c r="AU26" i="18"/>
  <c r="AU27" i="18"/>
  <c r="AU28" i="18"/>
  <c r="AU29" i="18"/>
  <c r="AU30" i="18"/>
  <c r="AU31" i="18"/>
  <c r="AU32" i="18"/>
  <c r="AU33" i="18"/>
  <c r="AU34" i="18"/>
  <c r="AU35" i="18"/>
  <c r="AU36" i="18"/>
  <c r="AU38" i="18"/>
  <c r="AU39" i="18"/>
  <c r="AV41" i="18"/>
  <c r="AX43" i="18"/>
  <c r="AD40" i="13"/>
  <c r="AB31" i="13" l="1"/>
  <c r="AD31" i="13" s="1"/>
  <c r="AE31" i="13" s="1"/>
  <c r="AF31" i="13" s="1"/>
  <c r="Y45" i="13"/>
  <c r="AY43" i="18"/>
  <c r="AX42" i="18"/>
  <c r="AW41" i="18"/>
  <c r="AW40" i="18"/>
  <c r="AV39" i="18"/>
  <c r="AV38" i="18"/>
  <c r="AV37" i="18"/>
  <c r="AV36" i="18"/>
  <c r="AV35" i="18"/>
  <c r="AV34" i="18"/>
  <c r="AV33" i="18"/>
  <c r="AV32" i="18"/>
  <c r="AV31" i="18"/>
  <c r="AV30" i="18"/>
  <c r="AV29" i="18"/>
  <c r="AV28" i="18"/>
  <c r="AV27" i="18"/>
  <c r="AV26" i="18"/>
  <c r="AV25" i="18"/>
  <c r="AV24" i="18"/>
  <c r="AV23" i="18"/>
  <c r="AV22" i="18"/>
  <c r="AV21" i="18"/>
  <c r="AV20" i="18"/>
  <c r="AV19" i="18"/>
  <c r="AV18" i="18"/>
  <c r="AV17" i="18"/>
  <c r="AV16" i="18"/>
  <c r="AV15" i="18"/>
  <c r="AV14" i="18"/>
  <c r="AV13" i="18"/>
  <c r="AV12" i="18"/>
  <c r="AV11" i="18"/>
  <c r="AV10" i="18"/>
  <c r="AV9" i="18"/>
  <c r="AV8" i="18"/>
  <c r="AV7" i="18"/>
  <c r="AF70" i="18"/>
  <c r="AN6" i="18"/>
  <c r="AB24" i="13"/>
  <c r="AD24" i="13" s="1"/>
  <c r="AN70" i="18" l="1"/>
  <c r="AP6" i="18"/>
  <c r="AW7" i="18"/>
  <c r="AW8" i="18"/>
  <c r="AW9" i="18"/>
  <c r="AW10" i="18"/>
  <c r="AW11" i="18"/>
  <c r="AW12" i="18"/>
  <c r="AW13" i="18"/>
  <c r="AW14" i="18"/>
  <c r="AW15" i="18"/>
  <c r="AW16" i="18"/>
  <c r="AW17" i="18"/>
  <c r="AW18" i="18"/>
  <c r="AW19" i="18"/>
  <c r="AW20" i="18"/>
  <c r="AW21" i="18"/>
  <c r="AW22" i="18"/>
  <c r="AW23" i="18"/>
  <c r="AW24" i="18"/>
  <c r="AW25" i="18"/>
  <c r="AW26" i="18"/>
  <c r="AW27" i="18"/>
  <c r="AW28" i="18"/>
  <c r="AW29" i="18"/>
  <c r="AW30" i="18"/>
  <c r="AW31" i="18"/>
  <c r="AW32" i="18"/>
  <c r="AW33" i="18"/>
  <c r="AW34" i="18"/>
  <c r="AW35" i="18"/>
  <c r="AW36" i="18"/>
  <c r="AW37" i="18"/>
  <c r="AW38" i="18"/>
  <c r="AW39" i="18"/>
  <c r="AX40" i="18"/>
  <c r="AX41" i="18"/>
  <c r="AY42" i="18"/>
  <c r="AZ43" i="18"/>
  <c r="AE24" i="13"/>
  <c r="AF24" i="13" s="1"/>
  <c r="H9" i="16"/>
  <c r="J9" i="16" s="1"/>
  <c r="L9" i="16" s="1"/>
  <c r="M9" i="16" s="1"/>
  <c r="M10" i="16"/>
  <c r="L23" i="16"/>
  <c r="AE3" i="13"/>
  <c r="AE4" i="13"/>
  <c r="AE5" i="13"/>
  <c r="AE40" i="13"/>
  <c r="AE41" i="13"/>
  <c r="J15" i="16" l="1"/>
  <c r="H15" i="16"/>
  <c r="BA43" i="18"/>
  <c r="AZ42" i="18"/>
  <c r="AY41" i="18"/>
  <c r="AY40" i="18"/>
  <c r="AX39" i="18"/>
  <c r="AX38" i="18"/>
  <c r="AX37" i="18"/>
  <c r="AX36" i="18"/>
  <c r="AX35" i="18"/>
  <c r="AX34" i="18"/>
  <c r="AX33" i="18"/>
  <c r="AX32" i="18"/>
  <c r="AX31" i="18"/>
  <c r="AX30" i="18"/>
  <c r="AX29" i="18"/>
  <c r="AX28" i="18"/>
  <c r="AX27" i="18"/>
  <c r="AX26" i="18"/>
  <c r="AX25" i="18"/>
  <c r="AX24" i="18"/>
  <c r="AX23" i="18"/>
  <c r="AX22" i="18"/>
  <c r="AX21" i="18"/>
  <c r="AX20" i="18"/>
  <c r="AX19" i="18"/>
  <c r="AX18" i="18"/>
  <c r="AX17" i="18"/>
  <c r="AX16" i="18"/>
  <c r="AX15" i="18"/>
  <c r="AX14" i="18"/>
  <c r="AX13" i="18"/>
  <c r="AX12" i="18"/>
  <c r="AX11" i="18"/>
  <c r="AX10" i="18"/>
  <c r="AX9" i="18"/>
  <c r="AX8" i="18"/>
  <c r="AX7" i="18"/>
  <c r="AP70" i="18"/>
  <c r="AP78" i="18" s="1"/>
  <c r="AQ6" i="18"/>
  <c r="M11" i="16"/>
  <c r="M15" i="16" l="1"/>
  <c r="AS6" i="18"/>
  <c r="AQ70" i="18"/>
  <c r="AQ78" i="18" s="1"/>
  <c r="AY7" i="18"/>
  <c r="AY8" i="18"/>
  <c r="AY9" i="18"/>
  <c r="AY10" i="18"/>
  <c r="AY11" i="18"/>
  <c r="AY12" i="18"/>
  <c r="AY13" i="18"/>
  <c r="AY14" i="18"/>
  <c r="AY15" i="18"/>
  <c r="AY16" i="18"/>
  <c r="AY17" i="18"/>
  <c r="AY18" i="18"/>
  <c r="AY19" i="18"/>
  <c r="AY20" i="18"/>
  <c r="AY21" i="18"/>
  <c r="AY22" i="18"/>
  <c r="AY23" i="18"/>
  <c r="AY24" i="18"/>
  <c r="AY25" i="18"/>
  <c r="AY26" i="18"/>
  <c r="AY27" i="18"/>
  <c r="AY28" i="18"/>
  <c r="AY29" i="18"/>
  <c r="AY30" i="18"/>
  <c r="AY31" i="18"/>
  <c r="AY32" i="18"/>
  <c r="AY33" i="18"/>
  <c r="AY34" i="18"/>
  <c r="AY35" i="18"/>
  <c r="AY36" i="18"/>
  <c r="AY37" i="18"/>
  <c r="AY38" i="18"/>
  <c r="AY39" i="18"/>
  <c r="AZ40" i="18"/>
  <c r="AZ41" i="18"/>
  <c r="BA42" i="18"/>
  <c r="BB43" i="18"/>
  <c r="L108" i="16"/>
  <c r="H108" i="16"/>
  <c r="H107" i="16"/>
  <c r="M107" i="16" s="1"/>
  <c r="L106" i="16"/>
  <c r="H106" i="16"/>
  <c r="E104" i="16"/>
  <c r="L99" i="16"/>
  <c r="H99" i="16"/>
  <c r="L98" i="16"/>
  <c r="H98" i="16"/>
  <c r="H102" i="16" s="1"/>
  <c r="G96" i="16"/>
  <c r="F96" i="16"/>
  <c r="E96" i="16"/>
  <c r="L94" i="16"/>
  <c r="H94" i="16"/>
  <c r="L93" i="16"/>
  <c r="M93" i="16" s="1"/>
  <c r="L92" i="16"/>
  <c r="H92" i="16"/>
  <c r="H91" i="16"/>
  <c r="H85" i="16"/>
  <c r="H89" i="16" s="1"/>
  <c r="H119" i="16" s="1"/>
  <c r="H122" i="16" s="1"/>
  <c r="K83" i="16"/>
  <c r="I83" i="16"/>
  <c r="G83" i="16"/>
  <c r="F83" i="16"/>
  <c r="E83" i="16"/>
  <c r="H82" i="16"/>
  <c r="L81" i="16"/>
  <c r="H81" i="16"/>
  <c r="L80" i="16"/>
  <c r="H80" i="16"/>
  <c r="L79" i="16"/>
  <c r="H79" i="16"/>
  <c r="H78" i="16"/>
  <c r="L77" i="16"/>
  <c r="H77" i="16"/>
  <c r="L76" i="16"/>
  <c r="H76" i="16"/>
  <c r="L69" i="16"/>
  <c r="H69" i="16"/>
  <c r="L68" i="16"/>
  <c r="H68" i="16"/>
  <c r="L67" i="16"/>
  <c r="H67" i="16"/>
  <c r="L66" i="16"/>
  <c r="H66" i="16"/>
  <c r="L65" i="16"/>
  <c r="H65" i="16"/>
  <c r="H64" i="16"/>
  <c r="K62" i="16"/>
  <c r="I62" i="16"/>
  <c r="G62" i="16"/>
  <c r="F62" i="16"/>
  <c r="E62" i="16"/>
  <c r="L61" i="16"/>
  <c r="H61" i="16"/>
  <c r="K58" i="16"/>
  <c r="I58" i="16"/>
  <c r="G58" i="16"/>
  <c r="F58" i="16"/>
  <c r="E58" i="16"/>
  <c r="L57" i="16"/>
  <c r="H57" i="16"/>
  <c r="L56" i="16"/>
  <c r="H56" i="16"/>
  <c r="L55" i="16"/>
  <c r="H55" i="16"/>
  <c r="L54" i="16"/>
  <c r="H54" i="16"/>
  <c r="K52" i="16"/>
  <c r="I52" i="16"/>
  <c r="G52" i="16"/>
  <c r="F52" i="16"/>
  <c r="E52" i="16"/>
  <c r="L51" i="16"/>
  <c r="M51" i="16" s="1"/>
  <c r="H48" i="16"/>
  <c r="L47" i="16"/>
  <c r="H47" i="16"/>
  <c r="M47" i="16" s="1"/>
  <c r="L46" i="16"/>
  <c r="H46" i="16"/>
  <c r="K34" i="16"/>
  <c r="I34" i="16"/>
  <c r="G34" i="16"/>
  <c r="F34" i="16"/>
  <c r="E34" i="16"/>
  <c r="H33" i="16"/>
  <c r="M33" i="16" s="1"/>
  <c r="H32" i="16"/>
  <c r="M32" i="16" s="1"/>
  <c r="H30" i="16"/>
  <c r="M30" i="16" s="1"/>
  <c r="H29" i="16"/>
  <c r="M29" i="16" s="1"/>
  <c r="H28" i="16"/>
  <c r="M28" i="16" s="1"/>
  <c r="H27" i="16"/>
  <c r="M27" i="16" s="1"/>
  <c r="L34" i="16"/>
  <c r="H26" i="16"/>
  <c r="M26" i="16" s="1"/>
  <c r="K24" i="16"/>
  <c r="J24" i="16"/>
  <c r="J36" i="16" s="1"/>
  <c r="I24" i="16"/>
  <c r="G24" i="16"/>
  <c r="F24" i="16"/>
  <c r="E24" i="16"/>
  <c r="H23" i="16"/>
  <c r="M23" i="16" s="1"/>
  <c r="K20" i="16"/>
  <c r="I20" i="16"/>
  <c r="G20" i="16"/>
  <c r="F20" i="16"/>
  <c r="E20" i="16"/>
  <c r="H18" i="16"/>
  <c r="J18" i="16" s="1"/>
  <c r="I119" i="16" l="1"/>
  <c r="I122" i="16" s="1"/>
  <c r="H52" i="16"/>
  <c r="H96" i="16"/>
  <c r="L102" i="16"/>
  <c r="M66" i="16"/>
  <c r="M68" i="16"/>
  <c r="M56" i="16"/>
  <c r="M46" i="16"/>
  <c r="M54" i="16"/>
  <c r="M69" i="16"/>
  <c r="M65" i="16"/>
  <c r="M67" i="16"/>
  <c r="M57" i="16"/>
  <c r="M55" i="16"/>
  <c r="M34" i="16"/>
  <c r="H62" i="16"/>
  <c r="M61" i="16"/>
  <c r="M62" i="16" s="1"/>
  <c r="L15" i="16"/>
  <c r="M76" i="16"/>
  <c r="M77" i="16"/>
  <c r="M79" i="16"/>
  <c r="M80" i="16"/>
  <c r="M81" i="16"/>
  <c r="M92" i="16"/>
  <c r="M94" i="16"/>
  <c r="M98" i="16"/>
  <c r="M99" i="16"/>
  <c r="M106" i="16"/>
  <c r="M108" i="16"/>
  <c r="BC43" i="18"/>
  <c r="BB42" i="18"/>
  <c r="BA41" i="18"/>
  <c r="BA40" i="18"/>
  <c r="AZ39" i="18"/>
  <c r="AZ38" i="18"/>
  <c r="AZ37" i="18"/>
  <c r="AZ36" i="18"/>
  <c r="AZ35" i="18"/>
  <c r="AZ34" i="18"/>
  <c r="AZ33" i="18"/>
  <c r="AZ32" i="18"/>
  <c r="AZ31" i="18"/>
  <c r="AZ30" i="18"/>
  <c r="AZ29" i="18"/>
  <c r="AZ28" i="18"/>
  <c r="AZ27" i="18"/>
  <c r="AZ26" i="18"/>
  <c r="AZ25" i="18"/>
  <c r="AZ24" i="18"/>
  <c r="AZ23" i="18"/>
  <c r="AZ22" i="18"/>
  <c r="AZ21" i="18"/>
  <c r="AZ20" i="18"/>
  <c r="AZ19" i="18"/>
  <c r="AZ18" i="18"/>
  <c r="AZ17" i="18"/>
  <c r="AZ16" i="18"/>
  <c r="AZ15" i="18"/>
  <c r="AZ14" i="18"/>
  <c r="AZ13" i="18"/>
  <c r="AZ12" i="18"/>
  <c r="AZ11" i="18"/>
  <c r="AZ10" i="18"/>
  <c r="AZ9" i="18"/>
  <c r="AZ8" i="18"/>
  <c r="AZ7" i="18"/>
  <c r="AS71" i="18"/>
  <c r="AS72" i="18" s="1"/>
  <c r="AT6" i="18"/>
  <c r="L62" i="16"/>
  <c r="J116" i="16"/>
  <c r="E116" i="16"/>
  <c r="H24" i="16"/>
  <c r="M24" i="16"/>
  <c r="H104" i="16"/>
  <c r="H116" i="16" s="1"/>
  <c r="L104" i="16"/>
  <c r="E36" i="16"/>
  <c r="H20" i="16"/>
  <c r="I36" i="16"/>
  <c r="K36" i="16"/>
  <c r="L85" i="16"/>
  <c r="L89" i="16" s="1"/>
  <c r="F36" i="16"/>
  <c r="H34" i="16"/>
  <c r="J83" i="16"/>
  <c r="J52" i="16"/>
  <c r="H58" i="16"/>
  <c r="G36" i="16"/>
  <c r="H83" i="16"/>
  <c r="L24" i="16"/>
  <c r="L36" i="16" s="1"/>
  <c r="L58" i="16"/>
  <c r="L48" i="16"/>
  <c r="M48" i="16" s="1"/>
  <c r="L78" i="16"/>
  <c r="M78" i="16" s="1"/>
  <c r="L91" i="16"/>
  <c r="L96" i="16" s="1"/>
  <c r="L64" i="16"/>
  <c r="L74" i="16" s="1"/>
  <c r="H36" i="16" l="1"/>
  <c r="M102" i="16"/>
  <c r="M52" i="16"/>
  <c r="M58" i="16"/>
  <c r="M36" i="16"/>
  <c r="M64" i="16"/>
  <c r="M74" i="16" s="1"/>
  <c r="M91" i="16"/>
  <c r="M96" i="16" s="1"/>
  <c r="AT71" i="18"/>
  <c r="AT72" i="18" s="1"/>
  <c r="AU6" i="18"/>
  <c r="BA7" i="18"/>
  <c r="BA8" i="18"/>
  <c r="BA9" i="18"/>
  <c r="BA10" i="18"/>
  <c r="BA11" i="18"/>
  <c r="BA12" i="18"/>
  <c r="BA13" i="18"/>
  <c r="BA14" i="18"/>
  <c r="BA15" i="18"/>
  <c r="BA16" i="18"/>
  <c r="BA17" i="18"/>
  <c r="BA18" i="18"/>
  <c r="BA19" i="18"/>
  <c r="BA20" i="18"/>
  <c r="BA21" i="18"/>
  <c r="BA22" i="18"/>
  <c r="BA23" i="18"/>
  <c r="BA24" i="18"/>
  <c r="BA25" i="18"/>
  <c r="BA26" i="18"/>
  <c r="BA27" i="18"/>
  <c r="BA28" i="18"/>
  <c r="BA29" i="18"/>
  <c r="BA30" i="18"/>
  <c r="BA31" i="18"/>
  <c r="BA32" i="18"/>
  <c r="BA33" i="18"/>
  <c r="BA34" i="18"/>
  <c r="BA35" i="18"/>
  <c r="BA36" i="18"/>
  <c r="BA37" i="18"/>
  <c r="BA38" i="18"/>
  <c r="BA39" i="18"/>
  <c r="BB40" i="18"/>
  <c r="BB41" i="18"/>
  <c r="BC42" i="18"/>
  <c r="BD43" i="18"/>
  <c r="L83" i="16"/>
  <c r="M83" i="16"/>
  <c r="M85" i="16"/>
  <c r="M89" i="16" s="1"/>
  <c r="L116" i="16"/>
  <c r="M104" i="16"/>
  <c r="M116" i="16" s="1"/>
  <c r="L52" i="16"/>
  <c r="L119" i="16" s="1"/>
  <c r="P119" i="16" s="1"/>
  <c r="L18" i="16"/>
  <c r="M18" i="16" s="1"/>
  <c r="J20" i="16"/>
  <c r="M119" i="16" l="1"/>
  <c r="BE43" i="18"/>
  <c r="BD42" i="18"/>
  <c r="BC41" i="18"/>
  <c r="BC40" i="18"/>
  <c r="BB39" i="18"/>
  <c r="BB38" i="18"/>
  <c r="BB37" i="18"/>
  <c r="BB36" i="18"/>
  <c r="BB35" i="18"/>
  <c r="BB34" i="18"/>
  <c r="BB33" i="18"/>
  <c r="BB32" i="18"/>
  <c r="BB31" i="18"/>
  <c r="BB30" i="18"/>
  <c r="BB29" i="18"/>
  <c r="BB28" i="18"/>
  <c r="BB27" i="18"/>
  <c r="BB26" i="18"/>
  <c r="BB25" i="18"/>
  <c r="BB24" i="18"/>
  <c r="BB23" i="18"/>
  <c r="BB22" i="18"/>
  <c r="BB21" i="18"/>
  <c r="BB20" i="18"/>
  <c r="BB19" i="18"/>
  <c r="BB18" i="18"/>
  <c r="BB17" i="18"/>
  <c r="BB16" i="18"/>
  <c r="BB15" i="18"/>
  <c r="BB14" i="18"/>
  <c r="BB13" i="18"/>
  <c r="BB12" i="18"/>
  <c r="BB11" i="18"/>
  <c r="BB10" i="18"/>
  <c r="BB9" i="18"/>
  <c r="BB8" i="18"/>
  <c r="BB7" i="18"/>
  <c r="AU71" i="18"/>
  <c r="AU72" i="18" s="1"/>
  <c r="AV6" i="18"/>
  <c r="M20" i="16"/>
  <c r="L20" i="16"/>
  <c r="L122" i="16" s="1"/>
  <c r="L126" i="16" s="1"/>
  <c r="M122" i="16" l="1"/>
  <c r="M126" i="16"/>
  <c r="H126" i="16"/>
  <c r="AV71" i="18"/>
  <c r="AV72" i="18" s="1"/>
  <c r="AW6" i="18"/>
  <c r="BC7" i="18"/>
  <c r="BC8" i="18"/>
  <c r="BC9" i="18"/>
  <c r="BC10" i="18"/>
  <c r="BC11" i="18"/>
  <c r="BC12" i="18"/>
  <c r="BC13" i="18"/>
  <c r="BC14" i="18"/>
  <c r="BC15" i="18"/>
  <c r="BC16" i="18"/>
  <c r="BC17" i="18"/>
  <c r="BC18" i="18"/>
  <c r="BC19" i="18"/>
  <c r="BC20" i="18"/>
  <c r="BC21" i="18"/>
  <c r="BC22" i="18"/>
  <c r="BC23" i="18"/>
  <c r="BC24" i="18"/>
  <c r="BC25" i="18"/>
  <c r="BC26" i="18"/>
  <c r="BC27" i="18"/>
  <c r="BC28" i="18"/>
  <c r="BC29" i="18"/>
  <c r="BC30" i="18"/>
  <c r="BC31" i="18"/>
  <c r="BC32" i="18"/>
  <c r="BC33" i="18"/>
  <c r="BC34" i="18"/>
  <c r="BC35" i="18"/>
  <c r="BC36" i="18"/>
  <c r="BC37" i="18"/>
  <c r="BC38" i="18"/>
  <c r="BC39" i="18"/>
  <c r="BD40" i="18"/>
  <c r="BD41" i="18"/>
  <c r="BE42" i="18"/>
  <c r="BF43" i="18"/>
  <c r="AD44" i="13"/>
  <c r="L51" i="13" l="1"/>
  <c r="BG43" i="18"/>
  <c r="BF42" i="18"/>
  <c r="BE41" i="18"/>
  <c r="BE40" i="18"/>
  <c r="BD39" i="18"/>
  <c r="BD38" i="18"/>
  <c r="BD37" i="18"/>
  <c r="BD36" i="18"/>
  <c r="BD35" i="18"/>
  <c r="BD34" i="18"/>
  <c r="BD33" i="18"/>
  <c r="BD32" i="18"/>
  <c r="BD31" i="18"/>
  <c r="BD30" i="18"/>
  <c r="BD29" i="18"/>
  <c r="BD28" i="18"/>
  <c r="BD27" i="18"/>
  <c r="BD26" i="18"/>
  <c r="BD25" i="18"/>
  <c r="BD24" i="18"/>
  <c r="BD23" i="18"/>
  <c r="BD22" i="18"/>
  <c r="BD21" i="18"/>
  <c r="BD20" i="18"/>
  <c r="BD19" i="18"/>
  <c r="BD18" i="18"/>
  <c r="BD17" i="18"/>
  <c r="BD16" i="18"/>
  <c r="BD15" i="18"/>
  <c r="BD14" i="18"/>
  <c r="BD13" i="18"/>
  <c r="BD12" i="18"/>
  <c r="BD11" i="18"/>
  <c r="BD10" i="18"/>
  <c r="BD9" i="18"/>
  <c r="BD8" i="18"/>
  <c r="BD7" i="18"/>
  <c r="AW71" i="18"/>
  <c r="AW72" i="18" s="1"/>
  <c r="AX6" i="18"/>
  <c r="AB10" i="13"/>
  <c r="AB11" i="13"/>
  <c r="AD11" i="13" s="1"/>
  <c r="AB8" i="13"/>
  <c r="AB19" i="13"/>
  <c r="AB14" i="13"/>
  <c r="AX71" i="18" l="1"/>
  <c r="AX72" i="18" s="1"/>
  <c r="AY6" i="18"/>
  <c r="BE7" i="18"/>
  <c r="BE8" i="18"/>
  <c r="BE9" i="18"/>
  <c r="BE10" i="18"/>
  <c r="BE11" i="18"/>
  <c r="BE12" i="18"/>
  <c r="BE13" i="18"/>
  <c r="BE14" i="18"/>
  <c r="BE15" i="18"/>
  <c r="BE16" i="18"/>
  <c r="BE17" i="18"/>
  <c r="BE18" i="18"/>
  <c r="BE19" i="18"/>
  <c r="BE20" i="18"/>
  <c r="BE21" i="18"/>
  <c r="BE22" i="18"/>
  <c r="BE23" i="18"/>
  <c r="BE24" i="18"/>
  <c r="BE25" i="18"/>
  <c r="BE26" i="18"/>
  <c r="BE27" i="18"/>
  <c r="BE28" i="18"/>
  <c r="BE29" i="18"/>
  <c r="BE30" i="18"/>
  <c r="BE31" i="18"/>
  <c r="BE32" i="18"/>
  <c r="BE33" i="18"/>
  <c r="BE34" i="18"/>
  <c r="BE35" i="18"/>
  <c r="BE36" i="18"/>
  <c r="BE37" i="18"/>
  <c r="BE38" i="18"/>
  <c r="BE39" i="18"/>
  <c r="BF40" i="18"/>
  <c r="BF41" i="18"/>
  <c r="BG42" i="18"/>
  <c r="BH43" i="18"/>
  <c r="AB18" i="13"/>
  <c r="AD18" i="13" s="1"/>
  <c r="AB20" i="13"/>
  <c r="AD20" i="13" s="1"/>
  <c r="AB9" i="13"/>
  <c r="AD9" i="13" s="1"/>
  <c r="AB12" i="13"/>
  <c r="AD12" i="13" s="1"/>
  <c r="AB21" i="13"/>
  <c r="AD21" i="13" s="1"/>
  <c r="AB16" i="13"/>
  <c r="AD16" i="13" s="1"/>
  <c r="AB13" i="13"/>
  <c r="AD13" i="13" s="1"/>
  <c r="AB6" i="13"/>
  <c r="AD6" i="13" s="1"/>
  <c r="AB15" i="13"/>
  <c r="AD15" i="13" s="1"/>
  <c r="AB17" i="13"/>
  <c r="AD17" i="13" s="1"/>
  <c r="AD10" i="13"/>
  <c r="AD19" i="13"/>
  <c r="AD8" i="13"/>
  <c r="AD14" i="13"/>
  <c r="AD7" i="13"/>
  <c r="AB23" i="13"/>
  <c r="AE7" i="13" l="1"/>
  <c r="AF7" i="13" s="1"/>
  <c r="BI43" i="18"/>
  <c r="BH42" i="18"/>
  <c r="BG41" i="18"/>
  <c r="BG40" i="18"/>
  <c r="BF39" i="18"/>
  <c r="BF38" i="18"/>
  <c r="BF37" i="18"/>
  <c r="BF36" i="18"/>
  <c r="BF35" i="18"/>
  <c r="BF34" i="18"/>
  <c r="BF33" i="18"/>
  <c r="BF32" i="18"/>
  <c r="BF31" i="18"/>
  <c r="BF30" i="18"/>
  <c r="BF29" i="18"/>
  <c r="BF28" i="18"/>
  <c r="BF27" i="18"/>
  <c r="BF26" i="18"/>
  <c r="BF25" i="18"/>
  <c r="BF24" i="18"/>
  <c r="BF23" i="18"/>
  <c r="BF22" i="18"/>
  <c r="BF21" i="18"/>
  <c r="BF20" i="18"/>
  <c r="BF19" i="18"/>
  <c r="BF18" i="18"/>
  <c r="BF17" i="18"/>
  <c r="BF16" i="18"/>
  <c r="BF15" i="18"/>
  <c r="BF14" i="18"/>
  <c r="BF13" i="18"/>
  <c r="BF12" i="18"/>
  <c r="BF11" i="18"/>
  <c r="BF10" i="18"/>
  <c r="BF9" i="18"/>
  <c r="BF8" i="18"/>
  <c r="BF7" i="18"/>
  <c r="AY71" i="18"/>
  <c r="AY72" i="18" s="1"/>
  <c r="AZ6" i="18"/>
  <c r="AE11" i="13"/>
  <c r="AF11" i="13" s="1"/>
  <c r="AE6" i="13"/>
  <c r="AF6" i="13" s="1"/>
  <c r="AE18" i="13"/>
  <c r="AF18" i="13" s="1"/>
  <c r="AE16" i="13"/>
  <c r="AF16" i="13" s="1"/>
  <c r="AE9" i="13"/>
  <c r="AF9" i="13" s="1"/>
  <c r="AE14" i="13"/>
  <c r="AF14" i="13" s="1"/>
  <c r="AE17" i="13"/>
  <c r="AF17" i="13" s="1"/>
  <c r="AE13" i="13"/>
  <c r="AF13" i="13" s="1"/>
  <c r="AE12" i="13"/>
  <c r="AF12" i="13" s="1"/>
  <c r="AE8" i="13"/>
  <c r="AF8" i="13" s="1"/>
  <c r="AE19" i="13"/>
  <c r="AF19" i="13" s="1"/>
  <c r="AE10" i="13"/>
  <c r="AF10" i="13" s="1"/>
  <c r="AE15" i="13"/>
  <c r="AF15" i="13" s="1"/>
  <c r="AE21" i="13"/>
  <c r="AF21" i="13" s="1"/>
  <c r="AE20" i="13"/>
  <c r="AF20" i="13" s="1"/>
  <c r="AB22" i="13"/>
  <c r="AB45" i="13" s="1"/>
  <c r="AD23" i="13"/>
  <c r="AD22" i="13" l="1"/>
  <c r="AD45" i="13" s="1"/>
  <c r="AD53" i="13" s="1"/>
  <c r="AZ71" i="18"/>
  <c r="AZ72" i="18" s="1"/>
  <c r="BA6" i="18"/>
  <c r="BG7" i="18"/>
  <c r="BG8" i="18"/>
  <c r="BG9" i="18"/>
  <c r="BG10" i="18"/>
  <c r="BG11" i="18"/>
  <c r="BG12" i="18"/>
  <c r="BG13" i="18"/>
  <c r="BG14" i="18"/>
  <c r="BG15" i="18"/>
  <c r="BG16" i="18"/>
  <c r="BG17" i="18"/>
  <c r="BG18" i="18"/>
  <c r="BG19" i="18"/>
  <c r="BG20" i="18"/>
  <c r="BG21" i="18"/>
  <c r="BG22" i="18"/>
  <c r="BG23" i="18"/>
  <c r="BG24" i="18"/>
  <c r="BG25" i="18"/>
  <c r="BG26" i="18"/>
  <c r="BG27" i="18"/>
  <c r="BG28" i="18"/>
  <c r="BG29" i="18"/>
  <c r="BG30" i="18"/>
  <c r="BG31" i="18"/>
  <c r="BG32" i="18"/>
  <c r="BG33" i="18"/>
  <c r="BG34" i="18"/>
  <c r="BG35" i="18"/>
  <c r="BG36" i="18"/>
  <c r="BG37" i="18"/>
  <c r="BG38" i="18"/>
  <c r="BG39" i="18"/>
  <c r="BH40" i="18"/>
  <c r="BH41" i="18"/>
  <c r="BI42" i="18"/>
  <c r="BJ43" i="18"/>
  <c r="AE23" i="13"/>
  <c r="AF23" i="13" s="1"/>
  <c r="AE22" i="13" l="1"/>
  <c r="AF22" i="13" s="1"/>
  <c r="BK43" i="18"/>
  <c r="BJ42" i="18"/>
  <c r="BI41" i="18"/>
  <c r="BI40" i="18"/>
  <c r="BH39" i="18"/>
  <c r="BH38" i="18"/>
  <c r="BH37" i="18"/>
  <c r="BH36" i="18"/>
  <c r="BH35" i="18"/>
  <c r="BH34" i="18"/>
  <c r="BH33" i="18"/>
  <c r="BH32" i="18"/>
  <c r="BH31" i="18"/>
  <c r="BH30" i="18"/>
  <c r="BH29" i="18"/>
  <c r="BH28" i="18"/>
  <c r="BH27" i="18"/>
  <c r="BH26" i="18"/>
  <c r="BH25" i="18"/>
  <c r="BH24" i="18"/>
  <c r="BH23" i="18"/>
  <c r="BH22" i="18"/>
  <c r="BH21" i="18"/>
  <c r="BH20" i="18"/>
  <c r="BH19" i="18"/>
  <c r="BH18" i="18"/>
  <c r="BH17" i="18"/>
  <c r="BH16" i="18"/>
  <c r="BH15" i="18"/>
  <c r="BH14" i="18"/>
  <c r="BH13" i="18"/>
  <c r="BH12" i="18"/>
  <c r="BH11" i="18"/>
  <c r="BH10" i="18"/>
  <c r="BH9" i="18"/>
  <c r="BH8" i="18"/>
  <c r="BH7" i="18"/>
  <c r="BA71" i="18"/>
  <c r="BA72" i="18" s="1"/>
  <c r="BB6" i="18"/>
  <c r="AE45" i="13" l="1"/>
  <c r="AE53" i="13" s="1"/>
  <c r="BB71" i="18"/>
  <c r="BB72" i="18" s="1"/>
  <c r="BC6" i="18"/>
  <c r="BI7" i="18"/>
  <c r="BI8" i="18"/>
  <c r="BI9" i="18"/>
  <c r="BI10" i="18"/>
  <c r="BI11" i="18"/>
  <c r="BI12" i="18"/>
  <c r="BI13" i="18"/>
  <c r="BI14" i="18"/>
  <c r="BI15" i="18"/>
  <c r="BI16" i="18"/>
  <c r="BI17" i="18"/>
  <c r="BI18" i="18"/>
  <c r="BI19" i="18"/>
  <c r="BI20" i="18"/>
  <c r="BI21" i="18"/>
  <c r="BI22" i="18"/>
  <c r="BI23" i="18"/>
  <c r="BI24" i="18"/>
  <c r="BI25" i="18"/>
  <c r="BI26" i="18"/>
  <c r="BI27" i="18"/>
  <c r="BI28" i="18"/>
  <c r="BI29" i="18"/>
  <c r="BI30" i="18"/>
  <c r="BI31" i="18"/>
  <c r="BI32" i="18"/>
  <c r="BI33" i="18"/>
  <c r="BI34" i="18"/>
  <c r="BI35" i="18"/>
  <c r="BI36" i="18"/>
  <c r="BI37" i="18"/>
  <c r="BI38" i="18"/>
  <c r="BI39" i="18"/>
  <c r="BJ40" i="18"/>
  <c r="BJ41" i="18"/>
  <c r="BK42" i="18"/>
  <c r="BL43" i="18"/>
  <c r="BM43" i="18" l="1"/>
  <c r="BL42" i="18"/>
  <c r="BK41" i="18"/>
  <c r="BK40" i="18"/>
  <c r="BJ39" i="18"/>
  <c r="BJ38" i="18"/>
  <c r="BJ37" i="18"/>
  <c r="BJ36" i="18"/>
  <c r="BJ35" i="18"/>
  <c r="BJ34" i="18"/>
  <c r="BJ33" i="18"/>
  <c r="BJ32" i="18"/>
  <c r="BJ31" i="18"/>
  <c r="BJ30" i="18"/>
  <c r="BJ29" i="18"/>
  <c r="BJ28" i="18"/>
  <c r="BJ27" i="18"/>
  <c r="BJ26" i="18"/>
  <c r="BJ25" i="18"/>
  <c r="BJ24" i="18"/>
  <c r="BJ23" i="18"/>
  <c r="BJ22" i="18"/>
  <c r="BJ21" i="18"/>
  <c r="BJ20" i="18"/>
  <c r="BJ19" i="18"/>
  <c r="BJ18" i="18"/>
  <c r="BJ17" i="18"/>
  <c r="BJ16" i="18"/>
  <c r="BJ15" i="18"/>
  <c r="BJ14" i="18"/>
  <c r="BJ13" i="18"/>
  <c r="BJ12" i="18"/>
  <c r="BJ11" i="18"/>
  <c r="BJ10" i="18"/>
  <c r="BJ9" i="18"/>
  <c r="BJ8" i="18"/>
  <c r="BJ7" i="18"/>
  <c r="BC71" i="18"/>
  <c r="BC72" i="18" s="1"/>
  <c r="BD6" i="18"/>
  <c r="BD71" i="18" l="1"/>
  <c r="BD72" i="18" s="1"/>
  <c r="BE6" i="18"/>
  <c r="BK7" i="18"/>
  <c r="BK8" i="18"/>
  <c r="BK9" i="18"/>
  <c r="BK10" i="18"/>
  <c r="BK11" i="18"/>
  <c r="BK12" i="18"/>
  <c r="BK13" i="18"/>
  <c r="BK14" i="18"/>
  <c r="BK15" i="18"/>
  <c r="BK16" i="18"/>
  <c r="BK17" i="18"/>
  <c r="BK18" i="18"/>
  <c r="BK19" i="18"/>
  <c r="BK20" i="18"/>
  <c r="BK21" i="18"/>
  <c r="BK22" i="18"/>
  <c r="BK23" i="18"/>
  <c r="BK24" i="18"/>
  <c r="BK25" i="18"/>
  <c r="BK26" i="18"/>
  <c r="BK27" i="18"/>
  <c r="BK28" i="18"/>
  <c r="BK29" i="18"/>
  <c r="BK30" i="18"/>
  <c r="BK31" i="18"/>
  <c r="BK32" i="18"/>
  <c r="BK33" i="18"/>
  <c r="BK34" i="18"/>
  <c r="BK35" i="18"/>
  <c r="BK36" i="18"/>
  <c r="BK37" i="18"/>
  <c r="BK38" i="18"/>
  <c r="BK39" i="18"/>
  <c r="BL40" i="18"/>
  <c r="BL41" i="18"/>
  <c r="BM42" i="18"/>
  <c r="BN43" i="18"/>
  <c r="BO43" i="18" l="1"/>
  <c r="BN42" i="18"/>
  <c r="BM41" i="18"/>
  <c r="BM40" i="18"/>
  <c r="BL39" i="18"/>
  <c r="BL38" i="18"/>
  <c r="BL37" i="18"/>
  <c r="BL36" i="18"/>
  <c r="BL35" i="18"/>
  <c r="BL34" i="18"/>
  <c r="BL33" i="18"/>
  <c r="BL32" i="18"/>
  <c r="BL31" i="18"/>
  <c r="BL30" i="18"/>
  <c r="BL29" i="18"/>
  <c r="BL28" i="18"/>
  <c r="BL27" i="18"/>
  <c r="BL26" i="18"/>
  <c r="BL25" i="18"/>
  <c r="BL24" i="18"/>
  <c r="BL23" i="18"/>
  <c r="BL22" i="18"/>
  <c r="BL21" i="18"/>
  <c r="BL20" i="18"/>
  <c r="BL19" i="18"/>
  <c r="BL18" i="18"/>
  <c r="BL17" i="18"/>
  <c r="BL16" i="18"/>
  <c r="BL15" i="18"/>
  <c r="BL14" i="18"/>
  <c r="BL13" i="18"/>
  <c r="BL12" i="18"/>
  <c r="BL11" i="18"/>
  <c r="BL10" i="18"/>
  <c r="BL9" i="18"/>
  <c r="BL8" i="18"/>
  <c r="BL7" i="18"/>
  <c r="BE71" i="18"/>
  <c r="BE72" i="18" s="1"/>
  <c r="BF6" i="18"/>
  <c r="BF71" i="18" l="1"/>
  <c r="BF72" i="18" s="1"/>
  <c r="BG6" i="18"/>
  <c r="BM7" i="18"/>
  <c r="BM8" i="18"/>
  <c r="BM9" i="18"/>
  <c r="BM10" i="18"/>
  <c r="BM11" i="18"/>
  <c r="BM12" i="18"/>
  <c r="BM13" i="18"/>
  <c r="BM14" i="18"/>
  <c r="BM15" i="18"/>
  <c r="BM16" i="18"/>
  <c r="BM17" i="18"/>
  <c r="BM18" i="18"/>
  <c r="BM19" i="18"/>
  <c r="BM20" i="18"/>
  <c r="BM21" i="18"/>
  <c r="BM22" i="18"/>
  <c r="BM23" i="18"/>
  <c r="BM24" i="18"/>
  <c r="BM25" i="18"/>
  <c r="BM26" i="18"/>
  <c r="BM27" i="18"/>
  <c r="BM28" i="18"/>
  <c r="BM29" i="18"/>
  <c r="BM30" i="18"/>
  <c r="BM31" i="18"/>
  <c r="BM32" i="18"/>
  <c r="BM33" i="18"/>
  <c r="BM34" i="18"/>
  <c r="BM35" i="18"/>
  <c r="BM36" i="18"/>
  <c r="BM37" i="18"/>
  <c r="BM38" i="18"/>
  <c r="BM39" i="18"/>
  <c r="BN40" i="18"/>
  <c r="BN41" i="18"/>
  <c r="BO42" i="18"/>
  <c r="BP43" i="18"/>
  <c r="BQ43" i="18" l="1"/>
  <c r="BP42" i="18"/>
  <c r="BO41" i="18"/>
  <c r="BO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G71" i="18"/>
  <c r="BG72" i="18" s="1"/>
  <c r="BH6" i="18"/>
  <c r="BH71" i="18" l="1"/>
  <c r="BH72" i="18" s="1"/>
  <c r="BI6" i="18"/>
  <c r="BO7" i="18"/>
  <c r="BO8" i="18"/>
  <c r="BO9" i="18"/>
  <c r="BO10" i="18"/>
  <c r="BO11" i="18"/>
  <c r="BO12" i="18"/>
  <c r="BO13" i="18"/>
  <c r="BO14" i="18"/>
  <c r="BO15" i="18"/>
  <c r="BO16" i="18"/>
  <c r="BO17" i="18"/>
  <c r="BO18" i="18"/>
  <c r="BO19" i="18"/>
  <c r="BO20" i="18"/>
  <c r="BO21" i="18"/>
  <c r="BO22" i="18"/>
  <c r="BO23" i="18"/>
  <c r="BO24" i="18"/>
  <c r="BO25" i="18"/>
  <c r="BO26" i="18"/>
  <c r="BO27" i="18"/>
  <c r="BO28" i="18"/>
  <c r="BO29" i="18"/>
  <c r="BO30" i="18"/>
  <c r="BO31" i="18"/>
  <c r="BO32" i="18"/>
  <c r="BO33" i="18"/>
  <c r="BO34" i="18"/>
  <c r="BO35" i="18"/>
  <c r="BO36" i="18"/>
  <c r="BO37" i="18"/>
  <c r="BO38" i="18"/>
  <c r="BO39" i="18"/>
  <c r="BP40" i="18"/>
  <c r="BP41" i="18"/>
  <c r="BQ42" i="18"/>
  <c r="BR43" i="18"/>
  <c r="BS43" i="18" l="1"/>
  <c r="BR42" i="18"/>
  <c r="BQ41" i="18"/>
  <c r="BQ40" i="18"/>
  <c r="BP39" i="18"/>
  <c r="BP38" i="18"/>
  <c r="BP37" i="18"/>
  <c r="BP36" i="18"/>
  <c r="BP35" i="18"/>
  <c r="BP34" i="18"/>
  <c r="BP33" i="18"/>
  <c r="BP32" i="18"/>
  <c r="BP31" i="18"/>
  <c r="BP30" i="18"/>
  <c r="BP29" i="18"/>
  <c r="BP28" i="18"/>
  <c r="BP27" i="18"/>
  <c r="BP26" i="18"/>
  <c r="BP25" i="18"/>
  <c r="BP24" i="18"/>
  <c r="BP23" i="18"/>
  <c r="BP22" i="18"/>
  <c r="BP21" i="18"/>
  <c r="BP20" i="18"/>
  <c r="BP19" i="18"/>
  <c r="BP18" i="18"/>
  <c r="BP17" i="18"/>
  <c r="BP16" i="18"/>
  <c r="BP15" i="18"/>
  <c r="BP14" i="18"/>
  <c r="BP13" i="18"/>
  <c r="BP12" i="18"/>
  <c r="BP11" i="18"/>
  <c r="BP10" i="18"/>
  <c r="BP9" i="18"/>
  <c r="BP8" i="18"/>
  <c r="BP7" i="18"/>
  <c r="BI71" i="18"/>
  <c r="BI72" i="18" s="1"/>
  <c r="BJ6" i="18"/>
  <c r="BJ71" i="18" l="1"/>
  <c r="BJ72" i="18" s="1"/>
  <c r="BK6" i="18"/>
  <c r="BQ7" i="18"/>
  <c r="BQ8" i="18"/>
  <c r="BQ9" i="18"/>
  <c r="BQ10" i="18"/>
  <c r="BQ11" i="18"/>
  <c r="BQ12" i="18"/>
  <c r="BQ13" i="18"/>
  <c r="BQ14" i="18"/>
  <c r="BQ15" i="18"/>
  <c r="BQ16" i="18"/>
  <c r="BQ17" i="18"/>
  <c r="BQ18" i="18"/>
  <c r="BQ19" i="18"/>
  <c r="BQ20" i="18"/>
  <c r="BQ21" i="18"/>
  <c r="BQ22" i="18"/>
  <c r="BQ23" i="18"/>
  <c r="BQ24" i="18"/>
  <c r="BQ25" i="18"/>
  <c r="BQ26" i="18"/>
  <c r="BQ27" i="18"/>
  <c r="BQ28" i="18"/>
  <c r="BQ29" i="18"/>
  <c r="BQ30" i="18"/>
  <c r="BQ31" i="18"/>
  <c r="BQ32" i="18"/>
  <c r="BQ33" i="18"/>
  <c r="BQ34" i="18"/>
  <c r="BQ35" i="18"/>
  <c r="BQ36" i="18"/>
  <c r="BQ37" i="18"/>
  <c r="BQ38" i="18"/>
  <c r="BQ39" i="18"/>
  <c r="BR40" i="18"/>
  <c r="BR41" i="18"/>
  <c r="BS42" i="18"/>
  <c r="BT43" i="18"/>
  <c r="BU43" i="18" l="1"/>
  <c r="BT42" i="18"/>
  <c r="BS41" i="18"/>
  <c r="BS40" i="18"/>
  <c r="BR39" i="18"/>
  <c r="BR38" i="18"/>
  <c r="BR37" i="18"/>
  <c r="BR36" i="18"/>
  <c r="BR35" i="18"/>
  <c r="BR34" i="18"/>
  <c r="BR33" i="18"/>
  <c r="BR32" i="18"/>
  <c r="BR31" i="18"/>
  <c r="BR30" i="18"/>
  <c r="BR29" i="18"/>
  <c r="BR28" i="18"/>
  <c r="BR27" i="18"/>
  <c r="BR26" i="18"/>
  <c r="BR25" i="18"/>
  <c r="BR24" i="18"/>
  <c r="BR23" i="18"/>
  <c r="BR22" i="18"/>
  <c r="BR21" i="18"/>
  <c r="BR20" i="18"/>
  <c r="BR19" i="18"/>
  <c r="BR18" i="18"/>
  <c r="BR17" i="18"/>
  <c r="BR16" i="18"/>
  <c r="BR15" i="18"/>
  <c r="BR14" i="18"/>
  <c r="BR13" i="18"/>
  <c r="BR12" i="18"/>
  <c r="BR11" i="18"/>
  <c r="BR10" i="18"/>
  <c r="BR9" i="18"/>
  <c r="BR8" i="18"/>
  <c r="BR7" i="18"/>
  <c r="BK71" i="18"/>
  <c r="BK72" i="18" s="1"/>
  <c r="BL6" i="18"/>
  <c r="BL71" i="18" l="1"/>
  <c r="BL72" i="18" s="1"/>
  <c r="BM6" i="18"/>
  <c r="BS7" i="18"/>
  <c r="BS8" i="18"/>
  <c r="BS9" i="18"/>
  <c r="BS10" i="18"/>
  <c r="BS11" i="18"/>
  <c r="BS12" i="18"/>
  <c r="BS13" i="18"/>
  <c r="BS14" i="18"/>
  <c r="BS15" i="18"/>
  <c r="BS16" i="18"/>
  <c r="BS17" i="18"/>
  <c r="BS18" i="18"/>
  <c r="BS19" i="18"/>
  <c r="BS20" i="18"/>
  <c r="BS21" i="18"/>
  <c r="BS22" i="18"/>
  <c r="BS23" i="18"/>
  <c r="BS24" i="18"/>
  <c r="BS25" i="18"/>
  <c r="BS26" i="18"/>
  <c r="BS27" i="18"/>
  <c r="BS28" i="18"/>
  <c r="BS29" i="18"/>
  <c r="BS30" i="18"/>
  <c r="BS31" i="18"/>
  <c r="BS32" i="18"/>
  <c r="BS33" i="18"/>
  <c r="BS34" i="18"/>
  <c r="BS35" i="18"/>
  <c r="BS36" i="18"/>
  <c r="BS37" i="18"/>
  <c r="BS38" i="18"/>
  <c r="BS39" i="18"/>
  <c r="BT40" i="18"/>
  <c r="BT41" i="18"/>
  <c r="BU42" i="18"/>
  <c r="BV43" i="18"/>
  <c r="BW43" i="18" l="1"/>
  <c r="BV42" i="18"/>
  <c r="BU41" i="18"/>
  <c r="BU40" i="18"/>
  <c r="BT39" i="18"/>
  <c r="BT38" i="18"/>
  <c r="BT37" i="18"/>
  <c r="BT36" i="18"/>
  <c r="BT35" i="18"/>
  <c r="BT34" i="18"/>
  <c r="BT33" i="18"/>
  <c r="BT32" i="18"/>
  <c r="BT31" i="18"/>
  <c r="BT30" i="18"/>
  <c r="BT29" i="18"/>
  <c r="BT28" i="18"/>
  <c r="BT27" i="18"/>
  <c r="BT26" i="18"/>
  <c r="BT25" i="18"/>
  <c r="BT24" i="18"/>
  <c r="BT23" i="18"/>
  <c r="BT22" i="18"/>
  <c r="BT21" i="18"/>
  <c r="BT20" i="18"/>
  <c r="BT19" i="18"/>
  <c r="BT18" i="18"/>
  <c r="BT17" i="18"/>
  <c r="BT16" i="18"/>
  <c r="BT15" i="18"/>
  <c r="BT14" i="18"/>
  <c r="BT13" i="18"/>
  <c r="BT12" i="18"/>
  <c r="BT11" i="18"/>
  <c r="BT10" i="18"/>
  <c r="BT9" i="18"/>
  <c r="BT8" i="18"/>
  <c r="BT7" i="18"/>
  <c r="BM71" i="18"/>
  <c r="BM72" i="18" s="1"/>
  <c r="BN6" i="18"/>
  <c r="BN71" i="18" l="1"/>
  <c r="BN72" i="18" s="1"/>
  <c r="BO6" i="18"/>
  <c r="BU7" i="18"/>
  <c r="BU8" i="18"/>
  <c r="BU9" i="18"/>
  <c r="BU10" i="18"/>
  <c r="BU11" i="18"/>
  <c r="BU12" i="18"/>
  <c r="BU13" i="18"/>
  <c r="BU14" i="18"/>
  <c r="BU15" i="18"/>
  <c r="BU16" i="18"/>
  <c r="BU17" i="18"/>
  <c r="BU18" i="18"/>
  <c r="BU19" i="18"/>
  <c r="BU20" i="18"/>
  <c r="BU21" i="18"/>
  <c r="BU22" i="18"/>
  <c r="BU23" i="18"/>
  <c r="BU24" i="18"/>
  <c r="BU25" i="18"/>
  <c r="BU26" i="18"/>
  <c r="BU27" i="18"/>
  <c r="BU28" i="18"/>
  <c r="BU29" i="18"/>
  <c r="BU30" i="18"/>
  <c r="BU31" i="18"/>
  <c r="BU32" i="18"/>
  <c r="BU33" i="18"/>
  <c r="BU34" i="18"/>
  <c r="BU35" i="18"/>
  <c r="BU36" i="18"/>
  <c r="BU37" i="18"/>
  <c r="BU38" i="18"/>
  <c r="BU39" i="18"/>
  <c r="BV40" i="18"/>
  <c r="BV41" i="18"/>
  <c r="BW42" i="18"/>
  <c r="BX43" i="18"/>
  <c r="BY43" i="18" l="1"/>
  <c r="BX42" i="18"/>
  <c r="BW41" i="18"/>
  <c r="BW40" i="18"/>
  <c r="BV39" i="18"/>
  <c r="BV38" i="18"/>
  <c r="BV37" i="18"/>
  <c r="BV36" i="18"/>
  <c r="BV35" i="18"/>
  <c r="BV34" i="18"/>
  <c r="BV33" i="18"/>
  <c r="BV32" i="18"/>
  <c r="BV31" i="18"/>
  <c r="BV30" i="18"/>
  <c r="BV29" i="18"/>
  <c r="BV28" i="18"/>
  <c r="BV27" i="18"/>
  <c r="BV26" i="18"/>
  <c r="BV25" i="18"/>
  <c r="BV24" i="18"/>
  <c r="BV23" i="18"/>
  <c r="BV22" i="18"/>
  <c r="BV21" i="18"/>
  <c r="BV20" i="18"/>
  <c r="BV19" i="18"/>
  <c r="BV18" i="18"/>
  <c r="BV17" i="18"/>
  <c r="BV16" i="18"/>
  <c r="BV15" i="18"/>
  <c r="BV14" i="18"/>
  <c r="BV13" i="18"/>
  <c r="BV12" i="18"/>
  <c r="BV11" i="18"/>
  <c r="BV10" i="18"/>
  <c r="BV9" i="18"/>
  <c r="BV8" i="18"/>
  <c r="BV7" i="18"/>
  <c r="BO71" i="18"/>
  <c r="BO72" i="18" s="1"/>
  <c r="BP6" i="18"/>
  <c r="BP71" i="18" l="1"/>
  <c r="BP72" i="18" s="1"/>
  <c r="BQ6" i="18"/>
  <c r="BW7" i="18"/>
  <c r="BW8" i="18"/>
  <c r="BW9" i="18"/>
  <c r="BW10" i="18"/>
  <c r="BW11" i="18"/>
  <c r="BW12" i="18"/>
  <c r="BW13" i="18"/>
  <c r="BW14" i="18"/>
  <c r="BW15" i="18"/>
  <c r="BW16" i="18"/>
  <c r="BW17" i="18"/>
  <c r="BW18" i="18"/>
  <c r="BW19" i="18"/>
  <c r="BW20" i="18"/>
  <c r="BW21" i="18"/>
  <c r="BW22" i="18"/>
  <c r="BW23" i="18"/>
  <c r="BW24" i="18"/>
  <c r="BW25" i="18"/>
  <c r="BW26" i="18"/>
  <c r="BW27" i="18"/>
  <c r="BW28" i="18"/>
  <c r="BW29" i="18"/>
  <c r="BW30" i="18"/>
  <c r="BW31" i="18"/>
  <c r="BW32" i="18"/>
  <c r="BW33" i="18"/>
  <c r="BW34" i="18"/>
  <c r="BW35" i="18"/>
  <c r="BW36" i="18"/>
  <c r="BW37" i="18"/>
  <c r="BW38" i="18"/>
  <c r="BW39" i="18"/>
  <c r="BX40" i="18"/>
  <c r="BX41" i="18"/>
  <c r="BY42" i="18"/>
  <c r="BZ43" i="18"/>
  <c r="CA43" i="18" l="1"/>
  <c r="BZ42" i="18"/>
  <c r="BY41" i="18"/>
  <c r="BY40" i="18"/>
  <c r="BX39" i="18"/>
  <c r="BX38" i="18"/>
  <c r="BX37" i="18"/>
  <c r="BX36" i="18"/>
  <c r="BX35" i="18"/>
  <c r="BX34" i="18"/>
  <c r="BX33" i="18"/>
  <c r="BX32" i="18"/>
  <c r="BX31" i="18"/>
  <c r="BX30" i="18"/>
  <c r="BX29" i="18"/>
  <c r="BX28" i="18"/>
  <c r="BX27" i="18"/>
  <c r="BX26" i="18"/>
  <c r="BX25" i="18"/>
  <c r="BX24" i="18"/>
  <c r="BX23" i="18"/>
  <c r="BX22" i="18"/>
  <c r="BX21" i="18"/>
  <c r="BX20" i="18"/>
  <c r="BX19" i="18"/>
  <c r="BX18" i="18"/>
  <c r="BX17" i="18"/>
  <c r="BX16" i="18"/>
  <c r="BX15" i="18"/>
  <c r="BX14" i="18"/>
  <c r="BX13" i="18"/>
  <c r="BX12" i="18"/>
  <c r="BX11" i="18"/>
  <c r="BX10" i="18"/>
  <c r="BX9" i="18"/>
  <c r="BX8" i="18"/>
  <c r="BX7" i="18"/>
  <c r="BQ71" i="18"/>
  <c r="BQ72" i="18" s="1"/>
  <c r="BR6" i="18"/>
  <c r="BR71" i="18" l="1"/>
  <c r="BR72" i="18" s="1"/>
  <c r="BS6" i="18"/>
  <c r="BY7" i="18"/>
  <c r="BY8" i="18"/>
  <c r="BY9" i="18"/>
  <c r="BY10" i="18"/>
  <c r="BY11" i="18"/>
  <c r="BY12" i="18"/>
  <c r="BY13" i="18"/>
  <c r="BY14" i="18"/>
  <c r="BY15" i="18"/>
  <c r="BY16" i="18"/>
  <c r="BY17" i="18"/>
  <c r="BY18" i="18"/>
  <c r="BY19" i="18"/>
  <c r="BY20" i="18"/>
  <c r="BY21" i="18"/>
  <c r="BY22" i="18"/>
  <c r="BY23" i="18"/>
  <c r="BY24" i="18"/>
  <c r="BY25" i="18"/>
  <c r="BY26" i="18"/>
  <c r="BY27" i="18"/>
  <c r="BY28" i="18"/>
  <c r="BY29" i="18"/>
  <c r="BY30" i="18"/>
  <c r="BY31" i="18"/>
  <c r="BY32" i="18"/>
  <c r="BY33" i="18"/>
  <c r="BY34" i="18"/>
  <c r="BY35" i="18"/>
  <c r="BY36" i="18"/>
  <c r="BY37" i="18"/>
  <c r="BY38" i="18"/>
  <c r="BY39" i="18"/>
  <c r="BZ40" i="18"/>
  <c r="BZ41" i="18"/>
  <c r="CA42" i="18"/>
  <c r="CB43" i="18"/>
  <c r="CC43" i="18" l="1"/>
  <c r="CB42" i="18"/>
  <c r="CA41" i="18"/>
  <c r="CA40" i="18"/>
  <c r="BZ39" i="18"/>
  <c r="BZ38" i="18"/>
  <c r="BZ37" i="18"/>
  <c r="BZ36" i="18"/>
  <c r="BZ35" i="18"/>
  <c r="BZ34" i="18"/>
  <c r="BZ33" i="18"/>
  <c r="BZ32" i="18"/>
  <c r="BZ31" i="18"/>
  <c r="BZ30" i="18"/>
  <c r="BZ29" i="18"/>
  <c r="BZ28" i="18"/>
  <c r="BZ27" i="18"/>
  <c r="BZ26" i="18"/>
  <c r="BZ25" i="18"/>
  <c r="BZ24" i="18"/>
  <c r="BZ23" i="18"/>
  <c r="BZ22" i="18"/>
  <c r="BZ21" i="18"/>
  <c r="BZ20" i="18"/>
  <c r="BZ19" i="18"/>
  <c r="BZ18" i="18"/>
  <c r="BZ17" i="18"/>
  <c r="BZ16" i="18"/>
  <c r="BZ15" i="18"/>
  <c r="BZ14" i="18"/>
  <c r="BZ13" i="18"/>
  <c r="BZ12" i="18"/>
  <c r="BZ11" i="18"/>
  <c r="BZ10" i="18"/>
  <c r="BZ9" i="18"/>
  <c r="BZ8" i="18"/>
  <c r="BZ7" i="18"/>
  <c r="BS71" i="18"/>
  <c r="BS72" i="18" s="1"/>
  <c r="BT6" i="18"/>
  <c r="BT71" i="18" l="1"/>
  <c r="BT72" i="18" s="1"/>
  <c r="BU6" i="18"/>
  <c r="CA7" i="18"/>
  <c r="CA8" i="18"/>
  <c r="CA9" i="18"/>
  <c r="CA10" i="18"/>
  <c r="CA11" i="18"/>
  <c r="CA12" i="18"/>
  <c r="CA13" i="18"/>
  <c r="CA14" i="18"/>
  <c r="CA15" i="18"/>
  <c r="CA16" i="18"/>
  <c r="CA17" i="18"/>
  <c r="CA18" i="18"/>
  <c r="CA19" i="18"/>
  <c r="CA20" i="18"/>
  <c r="CA21" i="18"/>
  <c r="CA22" i="18"/>
  <c r="CA23" i="18"/>
  <c r="CA24" i="18"/>
  <c r="CA25" i="18"/>
  <c r="CA26" i="18"/>
  <c r="CA27" i="18"/>
  <c r="CA28" i="18"/>
  <c r="CA29" i="18"/>
  <c r="CA30" i="18"/>
  <c r="CA31" i="18"/>
  <c r="CA32" i="18"/>
  <c r="CA33" i="18"/>
  <c r="CA34" i="18"/>
  <c r="CA35" i="18"/>
  <c r="CA36" i="18"/>
  <c r="CA37" i="18"/>
  <c r="CA38" i="18"/>
  <c r="CA39" i="18"/>
  <c r="CB40" i="18"/>
  <c r="CB41" i="18"/>
  <c r="CC42" i="18"/>
  <c r="CD43" i="18"/>
  <c r="CE43" i="18" l="1"/>
  <c r="CD42" i="18"/>
  <c r="CC41" i="18"/>
  <c r="CC40" i="18"/>
  <c r="CB39" i="18"/>
  <c r="CB38" i="18"/>
  <c r="CB37" i="18"/>
  <c r="CB36" i="18"/>
  <c r="CB35" i="18"/>
  <c r="CB34" i="18"/>
  <c r="CB33" i="18"/>
  <c r="CB32" i="18"/>
  <c r="CB31" i="18"/>
  <c r="CB30" i="18"/>
  <c r="CB29" i="18"/>
  <c r="CB28" i="18"/>
  <c r="CB27" i="18"/>
  <c r="CB26" i="18"/>
  <c r="CB25" i="18"/>
  <c r="CB24" i="18"/>
  <c r="CB23" i="18"/>
  <c r="CB22" i="18"/>
  <c r="CB21" i="18"/>
  <c r="CB20" i="18"/>
  <c r="CB19" i="18"/>
  <c r="CB18" i="18"/>
  <c r="CB17" i="18"/>
  <c r="CB16" i="18"/>
  <c r="CB15" i="18"/>
  <c r="CB14" i="18"/>
  <c r="CB13" i="18"/>
  <c r="CB12" i="18"/>
  <c r="CB11" i="18"/>
  <c r="CB10" i="18"/>
  <c r="CB9" i="18"/>
  <c r="CB8" i="18"/>
  <c r="CB7" i="18"/>
  <c r="BU71" i="18"/>
  <c r="BU72" i="18" s="1"/>
  <c r="BV6" i="18"/>
  <c r="BV71" i="18" l="1"/>
  <c r="BV72" i="18" s="1"/>
  <c r="BW6" i="18"/>
  <c r="CC7" i="18"/>
  <c r="CC8" i="18"/>
  <c r="CC9" i="18"/>
  <c r="CC10" i="18"/>
  <c r="CC11" i="18"/>
  <c r="CC12" i="18"/>
  <c r="CC13" i="18"/>
  <c r="CC14" i="18"/>
  <c r="CC15" i="18"/>
  <c r="CC16" i="18"/>
  <c r="CC17" i="18"/>
  <c r="CC18" i="18"/>
  <c r="CC19" i="18"/>
  <c r="CC20" i="18"/>
  <c r="CC21" i="18"/>
  <c r="CC22" i="18"/>
  <c r="CC23" i="18"/>
  <c r="CC24" i="18"/>
  <c r="CC25" i="18"/>
  <c r="CC26" i="18"/>
  <c r="CC27" i="18"/>
  <c r="CC28" i="18"/>
  <c r="CC29" i="18"/>
  <c r="CC30" i="18"/>
  <c r="CC31" i="18"/>
  <c r="CC32" i="18"/>
  <c r="CC33" i="18"/>
  <c r="CC34" i="18"/>
  <c r="CC35" i="18"/>
  <c r="CC36" i="18"/>
  <c r="CC37" i="18"/>
  <c r="CC38" i="18"/>
  <c r="CC39" i="18"/>
  <c r="CD40" i="18"/>
  <c r="CD41" i="18"/>
  <c r="CE42" i="18"/>
  <c r="CF43" i="18"/>
  <c r="CG43" i="18" l="1"/>
  <c r="CF42" i="18"/>
  <c r="CE41" i="18"/>
  <c r="CE40" i="18"/>
  <c r="CD39" i="18"/>
  <c r="CD38" i="18"/>
  <c r="CD37" i="18"/>
  <c r="CD36" i="18"/>
  <c r="CD35" i="18"/>
  <c r="CD34" i="18"/>
  <c r="CD33" i="18"/>
  <c r="CD32" i="18"/>
  <c r="CD31" i="18"/>
  <c r="CD30" i="18"/>
  <c r="CD29" i="18"/>
  <c r="CD28" i="18"/>
  <c r="CD27" i="18"/>
  <c r="CD26" i="18"/>
  <c r="CD25" i="18"/>
  <c r="CD24" i="18"/>
  <c r="CD23" i="18"/>
  <c r="CD22" i="18"/>
  <c r="CD21" i="18"/>
  <c r="CD20" i="18"/>
  <c r="CD19" i="18"/>
  <c r="CD18" i="18"/>
  <c r="CD17" i="18"/>
  <c r="CD16" i="18"/>
  <c r="CD15" i="18"/>
  <c r="CD14" i="18"/>
  <c r="CD13" i="18"/>
  <c r="CD12" i="18"/>
  <c r="CD11" i="18"/>
  <c r="CD10" i="18"/>
  <c r="CD9" i="18"/>
  <c r="CD8" i="18"/>
  <c r="CD7" i="18"/>
  <c r="BW71" i="18"/>
  <c r="BW72" i="18" s="1"/>
  <c r="BX6" i="18"/>
  <c r="BX71" i="18" l="1"/>
  <c r="BX72" i="18" s="1"/>
  <c r="BY6" i="18"/>
  <c r="CE7" i="18"/>
  <c r="CE8" i="18"/>
  <c r="CE9" i="18"/>
  <c r="CE10" i="18"/>
  <c r="CE11" i="18"/>
  <c r="CE12" i="18"/>
  <c r="CE13" i="18"/>
  <c r="CE14" i="18"/>
  <c r="CE15" i="18"/>
  <c r="CE16" i="18"/>
  <c r="CE17" i="18"/>
  <c r="CE18" i="18"/>
  <c r="CE19" i="18"/>
  <c r="CE20" i="18"/>
  <c r="CE21" i="18"/>
  <c r="CE22" i="18"/>
  <c r="CE23" i="18"/>
  <c r="CE24" i="18"/>
  <c r="CE25" i="18"/>
  <c r="CE26" i="18"/>
  <c r="CE27" i="18"/>
  <c r="CE28" i="18"/>
  <c r="CE29" i="18"/>
  <c r="CE30" i="18"/>
  <c r="CE31" i="18"/>
  <c r="CE32" i="18"/>
  <c r="CE33" i="18"/>
  <c r="CE34" i="18"/>
  <c r="CE35" i="18"/>
  <c r="CE36" i="18"/>
  <c r="CE37" i="18"/>
  <c r="CE38" i="18"/>
  <c r="CE39" i="18"/>
  <c r="CF40" i="18"/>
  <c r="CF41" i="18"/>
  <c r="CG42" i="18"/>
  <c r="CH43" i="18"/>
  <c r="CI43" i="18" l="1"/>
  <c r="CH42" i="18"/>
  <c r="CG41" i="18"/>
  <c r="CG40" i="18"/>
  <c r="CF39" i="18"/>
  <c r="CF38" i="18"/>
  <c r="CF37" i="18"/>
  <c r="CF36" i="18"/>
  <c r="CF35" i="18"/>
  <c r="CF34" i="18"/>
  <c r="CF33" i="18"/>
  <c r="CF32" i="18"/>
  <c r="CF31" i="18"/>
  <c r="CF30" i="18"/>
  <c r="CF29" i="18"/>
  <c r="CF28" i="18"/>
  <c r="CF27" i="18"/>
  <c r="CF26" i="18"/>
  <c r="CF25" i="18"/>
  <c r="CF24" i="18"/>
  <c r="CF23" i="18"/>
  <c r="CF22" i="18"/>
  <c r="CF21" i="18"/>
  <c r="CF20" i="18"/>
  <c r="CF19" i="18"/>
  <c r="CF18" i="18"/>
  <c r="CF17" i="18"/>
  <c r="CF16" i="18"/>
  <c r="CF15" i="18"/>
  <c r="CF14" i="18"/>
  <c r="CF13" i="18"/>
  <c r="CF12" i="18"/>
  <c r="CF11" i="18"/>
  <c r="CF10" i="18"/>
  <c r="CF9" i="18"/>
  <c r="CF8" i="18"/>
  <c r="CF7" i="18"/>
  <c r="BY71" i="18"/>
  <c r="BY72" i="18" s="1"/>
  <c r="BZ6" i="18"/>
  <c r="BZ71" i="18" l="1"/>
  <c r="BZ72" i="18" s="1"/>
  <c r="CA6" i="18"/>
  <c r="CG7" i="18"/>
  <c r="CG8" i="18"/>
  <c r="CG9" i="18"/>
  <c r="CG10" i="18"/>
  <c r="CG11" i="18"/>
  <c r="CG12" i="18"/>
  <c r="CG13" i="18"/>
  <c r="CG14" i="18"/>
  <c r="CG15" i="18"/>
  <c r="CG16" i="18"/>
  <c r="CG17" i="18"/>
  <c r="CG18" i="18"/>
  <c r="CG19" i="18"/>
  <c r="CG20" i="18"/>
  <c r="CG21" i="18"/>
  <c r="CG22" i="18"/>
  <c r="CG23" i="18"/>
  <c r="CG24" i="18"/>
  <c r="CG25" i="18"/>
  <c r="CG26" i="18"/>
  <c r="CG27" i="18"/>
  <c r="CG28" i="18"/>
  <c r="CG29" i="18"/>
  <c r="CG30" i="18"/>
  <c r="CG31" i="18"/>
  <c r="CG32" i="18"/>
  <c r="CG33" i="18"/>
  <c r="CG34" i="18"/>
  <c r="CG35" i="18"/>
  <c r="CG36" i="18"/>
  <c r="CG37" i="18"/>
  <c r="CG38" i="18"/>
  <c r="CG39" i="18"/>
  <c r="CH40" i="18"/>
  <c r="CH41" i="18"/>
  <c r="CI42" i="18"/>
  <c r="CJ43" i="18"/>
  <c r="CK43" i="18" l="1"/>
  <c r="CJ42" i="18"/>
  <c r="CI41" i="18"/>
  <c r="CI40" i="18"/>
  <c r="CH39" i="18"/>
  <c r="CH38" i="18"/>
  <c r="CH37" i="18"/>
  <c r="CH36" i="18"/>
  <c r="CH35" i="18"/>
  <c r="CH34" i="18"/>
  <c r="CH33" i="18"/>
  <c r="CH32" i="18"/>
  <c r="CH31" i="18"/>
  <c r="CH30" i="18"/>
  <c r="CH29" i="18"/>
  <c r="CH28" i="18"/>
  <c r="CH27" i="18"/>
  <c r="CH26" i="18"/>
  <c r="CH25" i="18"/>
  <c r="CH24" i="18"/>
  <c r="CH23" i="18"/>
  <c r="CH22" i="18"/>
  <c r="CH21" i="18"/>
  <c r="CH20" i="18"/>
  <c r="CH19" i="18"/>
  <c r="CH18" i="18"/>
  <c r="CH17" i="18"/>
  <c r="CH16" i="18"/>
  <c r="CH15" i="18"/>
  <c r="CH14" i="18"/>
  <c r="CH13" i="18"/>
  <c r="CH12" i="18"/>
  <c r="CH11" i="18"/>
  <c r="CH10" i="18"/>
  <c r="CH9" i="18"/>
  <c r="CH8" i="18"/>
  <c r="CH7" i="18"/>
  <c r="CA71" i="18"/>
  <c r="CA72" i="18" s="1"/>
  <c r="CB6" i="18"/>
  <c r="CB71" i="18" l="1"/>
  <c r="CB72" i="18" s="1"/>
  <c r="CC6" i="18"/>
  <c r="CI7" i="18"/>
  <c r="CI8" i="18"/>
  <c r="CI9" i="18"/>
  <c r="CI10" i="18"/>
  <c r="CI11" i="18"/>
  <c r="CI12" i="18"/>
  <c r="CI13" i="18"/>
  <c r="CI14" i="18"/>
  <c r="CI15" i="18"/>
  <c r="CI16" i="18"/>
  <c r="CI17" i="18"/>
  <c r="CI18" i="18"/>
  <c r="CI19" i="18"/>
  <c r="CI20" i="18"/>
  <c r="CI21" i="18"/>
  <c r="CI22" i="18"/>
  <c r="CI23" i="18"/>
  <c r="CI24" i="18"/>
  <c r="CI25" i="18"/>
  <c r="CI26" i="18"/>
  <c r="CI27" i="18"/>
  <c r="CI28" i="18"/>
  <c r="CI29" i="18"/>
  <c r="CI30" i="18"/>
  <c r="CI31" i="18"/>
  <c r="CI32" i="18"/>
  <c r="CI33" i="18"/>
  <c r="CI34" i="18"/>
  <c r="CI35" i="18"/>
  <c r="CI36" i="18"/>
  <c r="CI37" i="18"/>
  <c r="CI38" i="18"/>
  <c r="CI39" i="18"/>
  <c r="CJ40" i="18"/>
  <c r="CJ41" i="18"/>
  <c r="CK42" i="18"/>
  <c r="CL43" i="18"/>
  <c r="CM43" i="18" l="1"/>
  <c r="CL42" i="18"/>
  <c r="CK41" i="18"/>
  <c r="CK40" i="18"/>
  <c r="CJ39" i="18"/>
  <c r="CJ38" i="18"/>
  <c r="CJ37" i="18"/>
  <c r="CJ36" i="18"/>
  <c r="CJ35" i="18"/>
  <c r="CJ34" i="18"/>
  <c r="CJ33" i="18"/>
  <c r="CJ32" i="18"/>
  <c r="CJ31" i="18"/>
  <c r="CJ30" i="18"/>
  <c r="CJ29" i="18"/>
  <c r="CJ28" i="18"/>
  <c r="CJ27" i="18"/>
  <c r="CJ26" i="18"/>
  <c r="CJ25" i="18"/>
  <c r="CJ24" i="18"/>
  <c r="CJ23" i="18"/>
  <c r="CJ22" i="18"/>
  <c r="CJ21" i="18"/>
  <c r="CJ20" i="18"/>
  <c r="CJ19" i="18"/>
  <c r="CJ18" i="18"/>
  <c r="CJ17" i="18"/>
  <c r="CJ16" i="18"/>
  <c r="CJ15" i="18"/>
  <c r="CJ14" i="18"/>
  <c r="CJ13" i="18"/>
  <c r="CJ12" i="18"/>
  <c r="CJ11" i="18"/>
  <c r="CJ10" i="18"/>
  <c r="CJ9" i="18"/>
  <c r="CJ8" i="18"/>
  <c r="CJ7" i="18"/>
  <c r="CC71" i="18"/>
  <c r="CC72" i="18" s="1"/>
  <c r="CD6" i="18"/>
  <c r="CD71" i="18" l="1"/>
  <c r="CD72" i="18" s="1"/>
  <c r="CE6" i="18"/>
  <c r="CK7" i="18"/>
  <c r="CK8" i="18"/>
  <c r="CK9" i="18"/>
  <c r="CK10" i="18"/>
  <c r="CK11" i="18"/>
  <c r="CK12" i="18"/>
  <c r="CK13" i="18"/>
  <c r="CK14" i="18"/>
  <c r="CK15" i="18"/>
  <c r="CK16" i="18"/>
  <c r="CK17" i="18"/>
  <c r="CK18" i="18"/>
  <c r="CK19" i="18"/>
  <c r="CK20" i="18"/>
  <c r="CK21" i="18"/>
  <c r="CK22" i="18"/>
  <c r="CK23" i="18"/>
  <c r="CK24" i="18"/>
  <c r="CK25" i="18"/>
  <c r="CK26" i="18"/>
  <c r="CK27" i="18"/>
  <c r="CK28" i="18"/>
  <c r="CK29" i="18"/>
  <c r="CK30" i="18"/>
  <c r="CK31" i="18"/>
  <c r="CK32" i="18"/>
  <c r="CK33" i="18"/>
  <c r="CK34" i="18"/>
  <c r="CK35" i="18"/>
  <c r="CK36" i="18"/>
  <c r="CK37" i="18"/>
  <c r="CK38" i="18"/>
  <c r="CK39" i="18"/>
  <c r="CL40" i="18"/>
  <c r="CL41" i="18"/>
  <c r="CM42" i="18"/>
  <c r="CN43" i="18"/>
  <c r="CO43" i="18" l="1"/>
  <c r="CN42" i="18"/>
  <c r="CM41" i="18"/>
  <c r="CM40" i="18"/>
  <c r="CL39" i="18"/>
  <c r="CL38" i="18"/>
  <c r="CL37" i="18"/>
  <c r="CL36" i="18"/>
  <c r="CL35" i="18"/>
  <c r="CL34" i="18"/>
  <c r="CL33" i="18"/>
  <c r="CL32" i="18"/>
  <c r="CL31" i="18"/>
  <c r="CL30" i="18"/>
  <c r="CL29" i="18"/>
  <c r="CL28" i="18"/>
  <c r="CL27" i="18"/>
  <c r="CL26" i="18"/>
  <c r="CL25" i="18"/>
  <c r="CL24" i="18"/>
  <c r="CL23" i="18"/>
  <c r="CL22" i="18"/>
  <c r="CL21" i="18"/>
  <c r="CL20" i="18"/>
  <c r="CL19" i="18"/>
  <c r="CL18" i="18"/>
  <c r="CL17" i="18"/>
  <c r="CL16" i="18"/>
  <c r="CL15" i="18"/>
  <c r="CL14" i="18"/>
  <c r="CL13" i="18"/>
  <c r="CL12" i="18"/>
  <c r="CL11" i="18"/>
  <c r="CL10" i="18"/>
  <c r="CL9" i="18"/>
  <c r="CL8" i="18"/>
  <c r="CL7" i="18"/>
  <c r="CE71" i="18"/>
  <c r="CE72" i="18" s="1"/>
  <c r="CF6" i="18"/>
  <c r="CF71" i="18" l="1"/>
  <c r="CF72" i="18" s="1"/>
  <c r="CG6" i="18"/>
  <c r="CM7" i="18"/>
  <c r="CN7" i="18" s="1"/>
  <c r="CM8" i="18"/>
  <c r="CN8" i="18" s="1"/>
  <c r="CM9" i="18"/>
  <c r="CN9" i="18" s="1"/>
  <c r="CM10" i="18"/>
  <c r="CN10" i="18" s="1"/>
  <c r="CM11" i="18"/>
  <c r="CN11" i="18" s="1"/>
  <c r="CM12" i="18"/>
  <c r="CN12" i="18" s="1"/>
  <c r="CM13" i="18"/>
  <c r="CN13" i="18" s="1"/>
  <c r="CM14" i="18"/>
  <c r="CN14" i="18" s="1"/>
  <c r="CM15" i="18"/>
  <c r="CN15" i="18" s="1"/>
  <c r="CM16" i="18"/>
  <c r="CN16" i="18" s="1"/>
  <c r="CM17" i="18"/>
  <c r="CN17" i="18" s="1"/>
  <c r="CM18" i="18"/>
  <c r="CN18" i="18" s="1"/>
  <c r="CM19" i="18"/>
  <c r="CN19" i="18" s="1"/>
  <c r="CM20" i="18"/>
  <c r="CN20" i="18" s="1"/>
  <c r="CM21" i="18"/>
  <c r="CN21" i="18" s="1"/>
  <c r="CM22" i="18"/>
  <c r="CN22" i="18" s="1"/>
  <c r="CM23" i="18"/>
  <c r="CN23" i="18" s="1"/>
  <c r="CM24" i="18"/>
  <c r="CN24" i="18" s="1"/>
  <c r="CM25" i="18"/>
  <c r="CN25" i="18" s="1"/>
  <c r="CM26" i="18"/>
  <c r="CN26" i="18" s="1"/>
  <c r="CM27" i="18"/>
  <c r="CN27" i="18" s="1"/>
  <c r="CM28" i="18"/>
  <c r="CN28" i="18" s="1"/>
  <c r="CM29" i="18"/>
  <c r="CN29" i="18" s="1"/>
  <c r="CM30" i="18"/>
  <c r="CN30" i="18" s="1"/>
  <c r="CM31" i="18"/>
  <c r="CN31" i="18" s="1"/>
  <c r="CM32" i="18"/>
  <c r="CN32" i="18" s="1"/>
  <c r="CM33" i="18"/>
  <c r="CN33" i="18" s="1"/>
  <c r="CM34" i="18"/>
  <c r="CN34" i="18" s="1"/>
  <c r="CM35" i="18"/>
  <c r="CN35" i="18" s="1"/>
  <c r="CM36" i="18"/>
  <c r="CN36" i="18" s="1"/>
  <c r="CM37" i="18"/>
  <c r="CM38" i="18"/>
  <c r="CM39" i="18"/>
  <c r="CN40" i="18"/>
  <c r="CN41" i="18"/>
  <c r="CO42" i="18"/>
  <c r="CP43" i="18"/>
  <c r="CQ43" i="18" l="1"/>
  <c r="CR43" i="18" s="1"/>
  <c r="CP42" i="18"/>
  <c r="CQ42" i="18" s="1"/>
  <c r="CO41" i="18"/>
  <c r="CP41" i="18" s="1"/>
  <c r="CO40" i="18"/>
  <c r="CP40" i="18" s="1"/>
  <c r="CN39" i="18"/>
  <c r="CO39" i="18" s="1"/>
  <c r="CN38" i="18"/>
  <c r="CO38" i="18" s="1"/>
  <c r="CN37" i="18"/>
  <c r="CO37" i="18" s="1"/>
  <c r="CG71" i="18"/>
  <c r="CG72" i="18" s="1"/>
  <c r="CH6" i="18"/>
  <c r="CH71" i="18" l="1"/>
  <c r="CH72" i="18" s="1"/>
  <c r="CI6" i="18"/>
  <c r="CI71" i="18" l="1"/>
  <c r="CI72" i="18" s="1"/>
  <c r="CJ6" i="18"/>
  <c r="CJ71" i="18" l="1"/>
  <c r="CJ72" i="18" s="1"/>
  <c r="CK6" i="18"/>
  <c r="CK71" i="18" l="1"/>
  <c r="CK72" i="18" s="1"/>
  <c r="CL6" i="18"/>
  <c r="CL71" i="18" l="1"/>
  <c r="CL72" i="18" s="1"/>
  <c r="CM6" i="18"/>
  <c r="CM71" i="18" l="1"/>
  <c r="CM72" i="18" s="1"/>
  <c r="CN6" i="18"/>
  <c r="CN71" i="18" s="1"/>
  <c r="CN72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Fancy Laijo</author>
    <author>Melanie EUZET</author>
  </authors>
  <commentList>
    <comment ref="N11" authorId="0" shapeId="0" xr:uid="{C3609ABE-B2E8-43FC-BEA5-21F0AD5AC545}">
      <text>
        <r>
          <rPr>
            <sz val="11"/>
            <color theme="1"/>
            <rFont val="Calibri"/>
            <family val="2"/>
            <scheme val="minor"/>
          </rPr>
          <t>Fancy Laijo:
Import duty not adjusted in Depreciation 2023 &amp; 2024. So amount changed from Feb onwards and adjusted the Jan difference to February amount. From the march onwards amount is AED28393 for remaining useful life 1.7083 years.</t>
        </r>
      </text>
    </comment>
    <comment ref="F28" authorId="1" shapeId="0" xr:uid="{177F7237-98EE-4B2D-A428-4CFFF3842563}">
      <text>
        <r>
          <rPr>
            <sz val="11"/>
            <color theme="1"/>
            <rFont val="Calibri"/>
            <family val="2"/>
            <scheme val="minor"/>
          </rPr>
          <t xml:space="preserve">Melanie EUZET:
Unclaimed VAT to be added to the purchase price: 4 886,38 
Adjust depreciation from February to April in the May </t>
        </r>
      </text>
    </comment>
    <comment ref="F29" authorId="1" shapeId="0" xr:uid="{9609A42A-1C74-47D2-A02D-E0E3F3EA77DB}">
      <text>
        <r>
          <rPr>
            <sz val="11"/>
            <color theme="1"/>
            <rFont val="Calibri"/>
            <family val="2"/>
            <scheme val="minor"/>
          </rPr>
          <t>Melanie EUZET:
Unclaimed VAT to be added to the purchase price: 5,865.62.
Adjust depreciation from February to April in the May  entry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Melanie EUZET</author>
  </authors>
  <commentList>
    <comment ref="A22" authorId="0" shapeId="0" xr:uid="{645DE7B1-9A40-464B-981F-EF088670FFC4}">
      <text>
        <r>
          <rPr>
            <sz val="11"/>
            <color theme="1"/>
            <rFont val="Calibri"/>
            <family val="2"/>
            <scheme val="minor"/>
          </rPr>
          <t xml:space="preserve">Melanie EUZET:
Unclaimed VAT to be added to the purchase price: 4 886,38 
Adjust depreciation from February to April in the May </t>
        </r>
      </text>
    </comment>
    <comment ref="A23" authorId="0" shapeId="0" xr:uid="{2838AFB6-39FF-4A36-832A-92825E5DC541}">
      <text>
        <r>
          <rPr>
            <sz val="11"/>
            <color theme="1"/>
            <rFont val="Calibri"/>
            <family val="2"/>
            <scheme val="minor"/>
          </rPr>
          <t>Melanie EUZET:
Unclaimed VAT to be added to the purchase price: 5,865.62.
Adjust depreciation from February to April in the May  entry</t>
        </r>
      </text>
    </comment>
  </commentList>
</comments>
</file>

<file path=xl/sharedStrings.xml><?xml version="1.0" encoding="utf-8"?>
<sst xmlns="http://schemas.openxmlformats.org/spreadsheetml/2006/main" count="529" uniqueCount="262">
  <si>
    <t>Chabé Luxury Transport LLC</t>
  </si>
  <si>
    <t>Depreciation for the period -2026</t>
  </si>
  <si>
    <t>As per Balance Sheet</t>
  </si>
  <si>
    <t>Sl. No.</t>
  </si>
  <si>
    <t>Particulars</t>
  </si>
  <si>
    <t>Cost of Asset</t>
  </si>
  <si>
    <t>Accumulated Depreciation</t>
  </si>
  <si>
    <t>Net Assets as on 31.12.2026</t>
  </si>
  <si>
    <t>Purchase date</t>
  </si>
  <si>
    <t>Opening</t>
  </si>
  <si>
    <t>Additions during year 2026</t>
  </si>
  <si>
    <t>Sale /Disposal during year 2026</t>
  </si>
  <si>
    <t>Asset Balance on 31.12.2026</t>
  </si>
  <si>
    <t>Depreciation as on 01.01.2026</t>
  </si>
  <si>
    <t>Dep Addition during year 2026</t>
  </si>
  <si>
    <t>Dep deletion during year 2026</t>
  </si>
  <si>
    <t>Net Depreciation as on 31.01.2026</t>
  </si>
  <si>
    <t>LEASEHOLD PROPERTY</t>
  </si>
  <si>
    <t>Lease Hold Improvements</t>
  </si>
  <si>
    <t>Lease Hold Improvements 2</t>
  </si>
  <si>
    <t>Najmat Al Abeer</t>
  </si>
  <si>
    <t>DEWA approval</t>
  </si>
  <si>
    <t>Najm Al Almas</t>
  </si>
  <si>
    <t>Najm Al Almas Building Constructing</t>
  </si>
  <si>
    <t>Accumulated Depreciation Leasehold property</t>
  </si>
  <si>
    <t>TOTAL</t>
  </si>
  <si>
    <t>ROU</t>
  </si>
  <si>
    <t>Right of Use Asset</t>
  </si>
  <si>
    <t>Accumulated Depreciation on ROU</t>
  </si>
  <si>
    <t>FURNITURE &amp; FIXTURES (TLT)</t>
  </si>
  <si>
    <t>Furniture-Safe (Accounts + PRO Office)</t>
  </si>
  <si>
    <t>FURNITURE &amp; FIXTURES (Chabé)</t>
  </si>
  <si>
    <t>Office chair</t>
  </si>
  <si>
    <t>Office furniture -face to face work station
Gray performance ergonomic chair
Full white side cabinet L shape
Meeting table
Idesk Executive desk
L shape manager desk
Medium height cabinet
Leather sofa
Modern visitor chair</t>
  </si>
  <si>
    <t>Office furniture-Bar table
Bar stool
Table top grey</t>
  </si>
  <si>
    <t>Office Furniture-Full height dark grey and white cabinet. Full height medium cabinet</t>
  </si>
  <si>
    <t>Kids car seat</t>
  </si>
  <si>
    <t>Dark Grey Sofa(Drivers room)</t>
  </si>
  <si>
    <t>Cabinet/Mossjon Anthracite</t>
  </si>
  <si>
    <t>Baby seat</t>
  </si>
  <si>
    <t>Accumulated Depreciation-Furniture &amp; Fixtures</t>
  </si>
  <si>
    <t>COMPUTER &amp; EQUIPMENT (TLT)</t>
  </si>
  <si>
    <t>Office equipment</t>
  </si>
  <si>
    <t>HP Laser printer MFP 135W (TLT_2211_001)</t>
  </si>
  <si>
    <t>23/11/2022</t>
  </si>
  <si>
    <t>Brother printer MFC-LC3750CDW (TLT_2102_001)</t>
  </si>
  <si>
    <t>COMPUTER &amp; IT EQUIPMENT (Chabé)</t>
  </si>
  <si>
    <t>Safe box (General Manager office)</t>
  </si>
  <si>
    <t>Microwave/Oven (Staff kitchen)</t>
  </si>
  <si>
    <t>Fridge (Staff&amp;Drivers kitchen)</t>
  </si>
  <si>
    <t>Symphony Ind Air Cooler</t>
  </si>
  <si>
    <t>Television</t>
  </si>
  <si>
    <t>Samsung QA65Q70CA TV (DUSC_2401_001)</t>
  </si>
  <si>
    <t>Cleaning Machine</t>
  </si>
  <si>
    <t>Cleaning Scrubber drier machine (DUCLE_2312_001)</t>
  </si>
  <si>
    <t>Garage -300 Injecter &amp; Extracter (DUCLE_2401_001)</t>
  </si>
  <si>
    <t>Proliner 8.150Z TSS RLW (DUCLE_2401_002)</t>
  </si>
  <si>
    <t>Square Trolley (DUCLE_2401_003)</t>
  </si>
  <si>
    <t>Vehicle Charger</t>
  </si>
  <si>
    <t>TERRA AC Charger 6AGC082157 (DUCLE_2312_002)</t>
  </si>
  <si>
    <t xml:space="preserve">I PAD </t>
  </si>
  <si>
    <t xml:space="preserve">PAD Pro 12.9 3RD 2018 (DUIP_2401_001) </t>
  </si>
  <si>
    <t xml:space="preserve">PAD Pro 12.9 3RD 2018  (DUIP_2401_002) </t>
  </si>
  <si>
    <t xml:space="preserve">PAD Pro 12.9 3RD 2018  (DUIP_2401_003) </t>
  </si>
  <si>
    <t xml:space="preserve">PAD Pro 12.9 3RD 2018  (DUIP_2401_004) </t>
  </si>
  <si>
    <t xml:space="preserve">PAD Pro 12.9 3RD 2018  (DUIP_2401_005) </t>
  </si>
  <si>
    <t xml:space="preserve">PAD Pro 12.9 3RD 2018  (DUIP_2401_006) </t>
  </si>
  <si>
    <t>Mac bbok Pro 16SB (Serial No:LDY0K74TGG)</t>
  </si>
  <si>
    <t>I phone 16 Pro Max(Serial no:M02VH16HVV)</t>
  </si>
  <si>
    <t>IPAD Pro 12.9 3rd gem 256GB</t>
  </si>
  <si>
    <t>Mac book Air</t>
  </si>
  <si>
    <t>Laptop</t>
  </si>
  <si>
    <t>HP PAV 15 EG2039NE (DUBLT_2309_001)</t>
  </si>
  <si>
    <t>HP NB PA 13BE2011 (DUBLT_2309_002)</t>
  </si>
  <si>
    <t>HP 15EG3014 (DUBLT_2310_001)</t>
  </si>
  <si>
    <t>HP 15EG3014_2 (DUBLT_2310_002)</t>
  </si>
  <si>
    <t>HP Elite book (DUBLT_2311_001)</t>
  </si>
  <si>
    <t>HP Elite book (DUBLT_2311_002)</t>
  </si>
  <si>
    <t>Mobile Devices</t>
  </si>
  <si>
    <t>Samsung A54 128LM (OPS phone)</t>
  </si>
  <si>
    <t>Samsung A26 5G 128GB(FSJ cordinator)</t>
  </si>
  <si>
    <t>Samsung A26 5G 128GB(MAA cordinator)</t>
  </si>
  <si>
    <t>Printer</t>
  </si>
  <si>
    <t>Brother printer MFC-LC3750CDW (DUBPT_2305_001)</t>
  </si>
  <si>
    <t>HP MFP M479fdw (DUBPT_2306_001)</t>
  </si>
  <si>
    <t>HP Colour Laser Jet M 479fdw (DUBPT_2401_001)</t>
  </si>
  <si>
    <t>Ink tank GX6040</t>
  </si>
  <si>
    <t>Canon Maxify GX6040 Ink printer</t>
  </si>
  <si>
    <t>Computer systems &amp; Monitors</t>
  </si>
  <si>
    <t>HP 290 G4 CORE 15 (DUBPC_2305_001)</t>
  </si>
  <si>
    <t>HP 290 G4 CORE 17 (DUBPC_2305_002)</t>
  </si>
  <si>
    <t>Ascus 90LM08U0B01170 Monitor 16</t>
  </si>
  <si>
    <t>Ascus 90LM0890B01170 Monitor 15.6</t>
  </si>
  <si>
    <t>Screens</t>
  </si>
  <si>
    <t>LG 38 Ultrawide curved LED (DUBSCR_2305_001)</t>
  </si>
  <si>
    <t>LG 38 Ultrawide curved LED (DUBSCR_2305_002)</t>
  </si>
  <si>
    <t>LG 34 Ultrawide curved LED (DUBSCR_2305_003)</t>
  </si>
  <si>
    <t>LG Monitor 24MP400 (DUBSCR_2305_004)</t>
  </si>
  <si>
    <t>Dell Vostro 2 desktop (DUBSCR_2308_001)</t>
  </si>
  <si>
    <t>Dell Vostro 2 desktop (DUBSCR_2308_002)</t>
  </si>
  <si>
    <t>Samsung Curved Display (DUBSCR_2311_001)</t>
  </si>
  <si>
    <t>Samsung Curved Display (DUBSCR_2311_002)</t>
  </si>
  <si>
    <t>Samsung Curved Display (DUBSCR_2311_003)</t>
  </si>
  <si>
    <t>LG 34 Ultragear Curved Monitor (XXXXX)</t>
  </si>
  <si>
    <t>LG 34 Ultragear Curved Monitor (XXXXY)</t>
  </si>
  <si>
    <t>Accumulated depreciation equipment (Computer &amp; Equipement)</t>
  </si>
  <si>
    <t>GL Balance as on 31.01.2026</t>
  </si>
  <si>
    <t>Difference</t>
  </si>
  <si>
    <t>Vehicle -Asset Balance</t>
  </si>
  <si>
    <t>No.</t>
  </si>
  <si>
    <t xml:space="preserve">Vehicle </t>
  </si>
  <si>
    <t>Plate No.</t>
  </si>
  <si>
    <t>Purchase Date</t>
  </si>
  <si>
    <t>Transfer /Sold Date</t>
  </si>
  <si>
    <t>Purchase price</t>
  </si>
  <si>
    <t>30% total value</t>
  </si>
  <si>
    <t>70% total value</t>
  </si>
  <si>
    <t>As on 01.01.2026</t>
  </si>
  <si>
    <t>Addition 2026</t>
  </si>
  <si>
    <t>Deletion 2026</t>
  </si>
  <si>
    <t>As on 31.12.2026</t>
  </si>
  <si>
    <t xml:space="preserve">DEPRECIATION </t>
  </si>
  <si>
    <t>Monthly</t>
  </si>
  <si>
    <t xml:space="preserve"> Accumulated Depreciation
01.01.2026</t>
  </si>
  <si>
    <t>Total</t>
  </si>
  <si>
    <t>Accumulated Depreciation Write off on sale</t>
  </si>
  <si>
    <t>Accumulated Depreciation
31.12.2025</t>
  </si>
  <si>
    <t>Net Asset Balance as on 31.12.2025</t>
  </si>
  <si>
    <t>Over Depreciation for checking</t>
  </si>
  <si>
    <t>Own Cars</t>
  </si>
  <si>
    <t xml:space="preserve">Mercedes S-Class </t>
  </si>
  <si>
    <t>L 21982</t>
  </si>
  <si>
    <t>Mercedes EQS</t>
  </si>
  <si>
    <t>L 25144</t>
  </si>
  <si>
    <t>Mercedes EQS 450 Plus</t>
  </si>
  <si>
    <t>L 25156</t>
  </si>
  <si>
    <t>Mercedes 450M Saloon</t>
  </si>
  <si>
    <t>L 25161</t>
  </si>
  <si>
    <t xml:space="preserve">Mercedes V-Class </t>
  </si>
  <si>
    <t>L 29681</t>
  </si>
  <si>
    <t>Maybach</t>
  </si>
  <si>
    <t>L 25417</t>
  </si>
  <si>
    <t>L 25660</t>
  </si>
  <si>
    <t>L 25310</t>
  </si>
  <si>
    <t>L 24236</t>
  </si>
  <si>
    <t>Mercedes S 500</t>
  </si>
  <si>
    <t>L 29740</t>
  </si>
  <si>
    <t>L 25158</t>
  </si>
  <si>
    <t>Mercedes Benz V class Avantgarde</t>
  </si>
  <si>
    <t>L 25173</t>
  </si>
  <si>
    <t>L 27891</t>
  </si>
  <si>
    <t>BMW I7</t>
  </si>
  <si>
    <t>L 25784</t>
  </si>
  <si>
    <t>Mercedes V-Class Extra long</t>
  </si>
  <si>
    <t>L 23498</t>
  </si>
  <si>
    <t>L 25673</t>
  </si>
  <si>
    <t>BMW G70 735i</t>
  </si>
  <si>
    <t>L 26082</t>
  </si>
  <si>
    <t>L 26081</t>
  </si>
  <si>
    <t>BMW G60 520.</t>
  </si>
  <si>
    <t>L 22197</t>
  </si>
  <si>
    <t>Mercedes S Class</t>
  </si>
  <si>
    <t>L 24644</t>
  </si>
  <si>
    <t> </t>
  </si>
  <si>
    <t>L26080</t>
  </si>
  <si>
    <t>L 23717</t>
  </si>
  <si>
    <t>Mercedes V Class</t>
  </si>
  <si>
    <t xml:space="preserve">L 69535 </t>
  </si>
  <si>
    <t>L 72913</t>
  </si>
  <si>
    <t>Escalade ESV</t>
  </si>
  <si>
    <t>L 44136</t>
  </si>
  <si>
    <t>BMW Série 7</t>
  </si>
  <si>
    <t>L 98573</t>
  </si>
  <si>
    <t>L 28406</t>
  </si>
  <si>
    <t>Mercedes S 450</t>
  </si>
  <si>
    <t>L 92860</t>
  </si>
  <si>
    <t>GMC Yokon</t>
  </si>
  <si>
    <t>L 94684</t>
  </si>
  <si>
    <t>Mercedes V300 sty</t>
  </si>
  <si>
    <t>L 26509</t>
  </si>
  <si>
    <t>Sold Vehicles</t>
  </si>
  <si>
    <t>Balance as per Zoho on 31.01.2026</t>
  </si>
  <si>
    <t>L 26080</t>
  </si>
  <si>
    <t>SALE LIST</t>
  </si>
  <si>
    <t>Car List as on Feb 28th 2025</t>
  </si>
  <si>
    <t>Audi A6</t>
  </si>
  <si>
    <t>L 29677</t>
  </si>
  <si>
    <t>Transfer/Sold Plate no:</t>
  </si>
  <si>
    <t xml:space="preserve">Cadillac Escalade </t>
  </si>
  <si>
    <t>L 25789</t>
  </si>
  <si>
    <t>V-Class</t>
  </si>
  <si>
    <t>L 23416</t>
  </si>
  <si>
    <t>SALE</t>
  </si>
  <si>
    <t>17.05.2024</t>
  </si>
  <si>
    <t>L 28857</t>
  </si>
  <si>
    <t>Tesla</t>
  </si>
  <si>
    <t>14.05.2024</t>
  </si>
  <si>
    <t>L 29673</t>
  </si>
  <si>
    <t>Cadillac</t>
  </si>
  <si>
    <t>L 23254</t>
  </si>
  <si>
    <t>27.03.2024</t>
  </si>
  <si>
    <t xml:space="preserve">Chevrolet Suburban  </t>
  </si>
  <si>
    <t>L 29741</t>
  </si>
  <si>
    <t>S-Class</t>
  </si>
  <si>
    <t>L 25341</t>
  </si>
  <si>
    <t>08.01.2024</t>
  </si>
  <si>
    <t xml:space="preserve">Mercedes S Class  450 </t>
  </si>
  <si>
    <t>L 28794</t>
  </si>
  <si>
    <t>Honda Odyssey</t>
  </si>
  <si>
    <t>05.03.2024</t>
  </si>
  <si>
    <t>L 29875</t>
  </si>
  <si>
    <t>31.01.2024</t>
  </si>
  <si>
    <t>L 95118</t>
  </si>
  <si>
    <t>Lexus</t>
  </si>
  <si>
    <t>New india/Total loss</t>
  </si>
  <si>
    <t>16.01.2024</t>
  </si>
  <si>
    <t>L 23269</t>
  </si>
  <si>
    <t>06.03.2024</t>
  </si>
  <si>
    <t>Transfer</t>
  </si>
  <si>
    <t>13.03.2024</t>
  </si>
  <si>
    <t>L 23872</t>
  </si>
  <si>
    <t>L 23752</t>
  </si>
  <si>
    <t>27.06.2024</t>
  </si>
  <si>
    <t>L 25149</t>
  </si>
  <si>
    <t>L 25235</t>
  </si>
  <si>
    <t>08.10.2024</t>
  </si>
  <si>
    <t>BMW</t>
  </si>
  <si>
    <t>L 25321</t>
  </si>
  <si>
    <t>07.10.2024</t>
  </si>
  <si>
    <t>L 29361</t>
  </si>
  <si>
    <t xml:space="preserve">BMW </t>
  </si>
  <si>
    <t>L 61233</t>
  </si>
  <si>
    <t>Honda Odyssey(F)</t>
  </si>
  <si>
    <t>L 24163</t>
  </si>
  <si>
    <t>28.06.2024</t>
  </si>
  <si>
    <t>L 29678</t>
  </si>
  <si>
    <t>L 38108</t>
  </si>
  <si>
    <t>Sold</t>
  </si>
  <si>
    <t>L 22082</t>
  </si>
  <si>
    <t>Mercedees V Class</t>
  </si>
  <si>
    <t>As on 01.01.2024</t>
  </si>
  <si>
    <t>Addition 2024</t>
  </si>
  <si>
    <t>Deletion 2024</t>
  </si>
  <si>
    <t>As on 31.12.2024</t>
  </si>
  <si>
    <t xml:space="preserve"> Accumulated Depreciaiton
01.01.2024</t>
  </si>
  <si>
    <t>Additional depreciation Adjustment amount</t>
  </si>
  <si>
    <t>Balance depreciation (3 years)</t>
  </si>
  <si>
    <t>Monthly revised dep</t>
  </si>
  <si>
    <t>May-24'      Adjusted Depreciation</t>
  </si>
  <si>
    <t>Jun-24'      Adjusted Depreciation</t>
  </si>
  <si>
    <t>Jul-24'                 Adjusted Depreciation</t>
  </si>
  <si>
    <t>Aug-24'      Adjusted Depreciation</t>
  </si>
  <si>
    <t>Sep-24'      Adjusted Depreciation</t>
  </si>
  <si>
    <t>Oct-24'      Adjusted Depreciation</t>
  </si>
  <si>
    <t>Nov-24'      Adjusted Depreciation</t>
  </si>
  <si>
    <t>Dec-24'      Adjusted Depreciation</t>
  </si>
  <si>
    <t>Accumulated Depreciation
31.12.2024</t>
  </si>
  <si>
    <t>Net Asset Balance as on 31.12.2024</t>
  </si>
  <si>
    <t>Cadillac Escalade</t>
  </si>
  <si>
    <t xml:space="preserve">Zoho </t>
  </si>
  <si>
    <t>Diff</t>
  </si>
  <si>
    <t>Balance as per Zoho on 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</si>
</sst>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[$-14009]dd/mm/yyyy;@"/>
    <numFmt numFmtId="166" formatCode="_(* #,##0_);_(* \(#,##0\);_(* &quot;-&quot;??_);_(@_)"/>
    <numFmt numFmtId="167" formatCode="[$-40C]mmm\-yy;@"/>
    <numFmt numFmtId="168" formatCode="_-* #,##0.00\ _€_-;\-* #,##0.00\ _€_-;_-* &quot;-&quot;??\ _€_-;_-@_-"/>
    <numFmt numFmtId="169" formatCode="_-* #,##0_-;\-* #,##0_-;_-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7">
    <xf numFmtId="0" fontId="0" fillId="0" borderId="0" xfId="0"/>
    <xf numFmtId="0" fontId="3" fillId="0" borderId="0" xfId="0" applyFont="1"/>
    <xf numFmtId="164" fontId="3" fillId="0" borderId="0" xfId="1" applyFont="1" applyFill="1"/>
    <xf numFmtId="164" fontId="4" fillId="3" borderId="1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/>
    <xf numFmtId="14" fontId="3" fillId="0" borderId="1" xfId="0" applyNumberFormat="1" applyFont="1" applyBorder="1"/>
    <xf numFmtId="0" fontId="3" fillId="0" borderId="5" xfId="0" applyFont="1" applyBorder="1"/>
    <xf numFmtId="14" fontId="3" fillId="0" borderId="1" xfId="0" applyNumberFormat="1" applyFont="1" applyBorder="1" applyAlignment="1">
      <alignment horizontal="center" wrapText="1"/>
    </xf>
    <xf numFmtId="164" fontId="3" fillId="0" borderId="0" xfId="0" applyNumberFormat="1" applyFont="1"/>
    <xf numFmtId="43" fontId="3" fillId="0" borderId="0" xfId="0" applyNumberFormat="1" applyFont="1"/>
    <xf numFmtId="0" fontId="4" fillId="0" borderId="0" xfId="0" applyFont="1"/>
    <xf numFmtId="164" fontId="3" fillId="0" borderId="0" xfId="1" applyFont="1" applyFill="1" applyBorder="1"/>
    <xf numFmtId="0" fontId="5" fillId="0" borderId="0" xfId="0" applyFont="1" applyAlignment="1">
      <alignment horizontal="left"/>
    </xf>
    <xf numFmtId="164" fontId="4" fillId="0" borderId="0" xfId="1" applyFont="1" applyFill="1"/>
    <xf numFmtId="165" fontId="4" fillId="0" borderId="0" xfId="1" applyNumberFormat="1" applyFont="1" applyFill="1"/>
    <xf numFmtId="164" fontId="4" fillId="0" borderId="0" xfId="1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4" fillId="0" borderId="6" xfId="1" applyFont="1" applyFill="1" applyBorder="1" applyAlignment="1">
      <alignment horizontal="center" vertical="center" wrapText="1"/>
    </xf>
    <xf numFmtId="166" fontId="3" fillId="0" borderId="1" xfId="1" applyNumberFormat="1" applyFont="1" applyFill="1" applyBorder="1"/>
    <xf numFmtId="166" fontId="4" fillId="0" borderId="1" xfId="1" applyNumberFormat="1" applyFont="1" applyFill="1" applyBorder="1"/>
    <xf numFmtId="166" fontId="3" fillId="0" borderId="6" xfId="1" applyNumberFormat="1" applyFont="1" applyFill="1" applyBorder="1"/>
    <xf numFmtId="166" fontId="4" fillId="0" borderId="6" xfId="1" applyNumberFormat="1" applyFont="1" applyFill="1" applyBorder="1"/>
    <xf numFmtId="166" fontId="4" fillId="2" borderId="1" xfId="1" applyNumberFormat="1" applyFont="1" applyFill="1" applyBorder="1"/>
    <xf numFmtId="164" fontId="4" fillId="0" borderId="0" xfId="1" applyFont="1" applyAlignment="1">
      <alignment horizontal="center"/>
    </xf>
    <xf numFmtId="164" fontId="4" fillId="0" borderId="1" xfId="1" applyFont="1" applyFill="1" applyBorder="1" applyAlignment="1">
      <alignment wrapText="1"/>
    </xf>
    <xf numFmtId="164" fontId="4" fillId="0" borderId="6" xfId="1" applyFont="1" applyFill="1" applyBorder="1" applyAlignment="1">
      <alignment wrapText="1"/>
    </xf>
    <xf numFmtId="164" fontId="4" fillId="0" borderId="0" xfId="1" applyFont="1"/>
    <xf numFmtId="14" fontId="3" fillId="0" borderId="1" xfId="0" quotePrefix="1" applyNumberFormat="1" applyFont="1" applyBorder="1" applyAlignment="1">
      <alignment horizontal="center" wrapText="1"/>
    </xf>
    <xf numFmtId="164" fontId="4" fillId="0" borderId="1" xfId="1" applyFont="1" applyFill="1" applyBorder="1"/>
    <xf numFmtId="0" fontId="4" fillId="0" borderId="1" xfId="0" applyFont="1" applyBorder="1"/>
    <xf numFmtId="166" fontId="4" fillId="5" borderId="1" xfId="1" applyNumberFormat="1" applyFont="1" applyFill="1" applyBorder="1"/>
    <xf numFmtId="166" fontId="3" fillId="0" borderId="5" xfId="1" applyNumberFormat="1" applyFont="1" applyFill="1" applyBorder="1"/>
    <xf numFmtId="164" fontId="4" fillId="0" borderId="5" xfId="1" applyFont="1" applyFill="1" applyBorder="1" applyAlignment="1">
      <alignment wrapText="1"/>
    </xf>
    <xf numFmtId="166" fontId="4" fillId="0" borderId="5" xfId="1" applyNumberFormat="1" applyFont="1" applyFill="1" applyBorder="1"/>
    <xf numFmtId="166" fontId="4" fillId="5" borderId="1" xfId="0" applyNumberFormat="1" applyFont="1" applyFill="1" applyBorder="1"/>
    <xf numFmtId="166" fontId="4" fillId="0" borderId="1" xfId="0" applyNumberFormat="1" applyFont="1" applyBorder="1"/>
    <xf numFmtId="166" fontId="3" fillId="0" borderId="1" xfId="0" applyNumberFormat="1" applyFont="1" applyBorder="1"/>
    <xf numFmtId="164" fontId="3" fillId="0" borderId="1" xfId="1" applyFont="1" applyFill="1" applyBorder="1" applyAlignment="1">
      <alignment wrapText="1"/>
    </xf>
    <xf numFmtId="164" fontId="4" fillId="0" borderId="6" xfId="1" applyFont="1" applyFill="1" applyBorder="1"/>
    <xf numFmtId="0" fontId="5" fillId="0" borderId="2" xfId="0" applyFont="1" applyBorder="1"/>
    <xf numFmtId="0" fontId="4" fillId="6" borderId="1" xfId="0" applyFont="1" applyFill="1" applyBorder="1"/>
    <xf numFmtId="0" fontId="5" fillId="6" borderId="1" xfId="0" applyFont="1" applyFill="1" applyBorder="1"/>
    <xf numFmtId="0" fontId="3" fillId="6" borderId="1" xfId="0" applyFont="1" applyFill="1" applyBorder="1"/>
    <xf numFmtId="0" fontId="6" fillId="6" borderId="1" xfId="0" applyFont="1" applyFill="1" applyBorder="1"/>
    <xf numFmtId="0" fontId="3" fillId="6" borderId="5" xfId="0" applyFont="1" applyFill="1" applyBorder="1"/>
    <xf numFmtId="0" fontId="7" fillId="6" borderId="12" xfId="0" applyFont="1" applyFill="1" applyBorder="1" applyAlignment="1">
      <alignment horizontal="left" vertical="center"/>
    </xf>
    <xf numFmtId="0" fontId="5" fillId="7" borderId="1" xfId="0" applyFont="1" applyFill="1" applyBorder="1"/>
    <xf numFmtId="0" fontId="3" fillId="7" borderId="1" xfId="0" applyFont="1" applyFill="1" applyBorder="1"/>
    <xf numFmtId="0" fontId="4" fillId="6" borderId="5" xfId="0" applyFont="1" applyFill="1" applyBorder="1"/>
    <xf numFmtId="0" fontId="3" fillId="6" borderId="1" xfId="0" applyFont="1" applyFill="1" applyBorder="1" applyAlignment="1">
      <alignment vertical="top" wrapText="1"/>
    </xf>
    <xf numFmtId="166" fontId="3" fillId="0" borderId="13" xfId="1" applyNumberFormat="1" applyFont="1" applyFill="1" applyBorder="1"/>
    <xf numFmtId="164" fontId="4" fillId="0" borderId="13" xfId="1" applyFont="1" applyFill="1" applyBorder="1" applyAlignment="1">
      <alignment wrapText="1"/>
    </xf>
    <xf numFmtId="166" fontId="4" fillId="0" borderId="13" xfId="1" applyNumberFormat="1" applyFont="1" applyFill="1" applyBorder="1"/>
    <xf numFmtId="14" fontId="4" fillId="0" borderId="0" xfId="1" applyNumberFormat="1" applyFont="1" applyFill="1"/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164" fontId="4" fillId="3" borderId="7" xfId="1" applyFont="1" applyFill="1" applyBorder="1" applyAlignment="1">
      <alignment horizontal="center" vertical="center" wrapText="1"/>
    </xf>
    <xf numFmtId="164" fontId="4" fillId="3" borderId="14" xfId="1" applyFont="1" applyFill="1" applyBorder="1" applyAlignment="1">
      <alignment horizontal="center" vertical="center" wrapText="1"/>
    </xf>
    <xf numFmtId="164" fontId="4" fillId="0" borderId="0" xfId="1" applyFont="1" applyFill="1" applyAlignment="1">
      <alignment horizontal="center"/>
    </xf>
    <xf numFmtId="0" fontId="4" fillId="3" borderId="19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17" fontId="4" fillId="3" borderId="5" xfId="0" applyNumberFormat="1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43" fontId="4" fillId="0" borderId="0" xfId="0" applyNumberFormat="1" applyFont="1"/>
    <xf numFmtId="0" fontId="3" fillId="8" borderId="0" xfId="0" applyFont="1" applyFill="1"/>
    <xf numFmtId="0" fontId="3" fillId="9" borderId="0" xfId="0" applyFont="1" applyFill="1"/>
    <xf numFmtId="14" fontId="3" fillId="0" borderId="20" xfId="0" applyNumberFormat="1" applyFont="1" applyBorder="1" applyAlignment="1">
      <alignment horizontal="center" wrapText="1"/>
    </xf>
    <xf numFmtId="0" fontId="3" fillId="0" borderId="15" xfId="0" applyFont="1" applyBorder="1"/>
    <xf numFmtId="0" fontId="3" fillId="0" borderId="7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1" xfId="0" applyFont="1" applyBorder="1"/>
    <xf numFmtId="0" fontId="3" fillId="0" borderId="21" xfId="0" applyFont="1" applyBorder="1"/>
    <xf numFmtId="164" fontId="3" fillId="0" borderId="20" xfId="1" applyFont="1" applyFill="1" applyBorder="1" applyAlignment="1">
      <alignment horizontal="center"/>
    </xf>
    <xf numFmtId="164" fontId="3" fillId="0" borderId="20" xfId="0" applyNumberFormat="1" applyFont="1" applyBorder="1" applyAlignment="1">
      <alignment horizontal="center"/>
    </xf>
    <xf numFmtId="164" fontId="4" fillId="0" borderId="20" xfId="0" applyNumberFormat="1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14" fontId="3" fillId="0" borderId="20" xfId="0" applyNumberFormat="1" applyFont="1" applyBorder="1" applyAlignment="1">
      <alignment horizontal="center"/>
    </xf>
    <xf numFmtId="164" fontId="4" fillId="0" borderId="20" xfId="1" applyFont="1" applyFill="1" applyBorder="1" applyAlignment="1">
      <alignment horizontal="center"/>
    </xf>
    <xf numFmtId="14" fontId="3" fillId="0" borderId="6" xfId="0" applyNumberFormat="1" applyFont="1" applyBorder="1" applyAlignment="1">
      <alignment horizontal="center" vertical="center" wrapText="1"/>
    </xf>
    <xf numFmtId="166" fontId="3" fillId="0" borderId="6" xfId="1" applyNumberFormat="1" applyFont="1" applyFill="1" applyBorder="1" applyAlignment="1">
      <alignment horizontal="center" vertical="center"/>
    </xf>
    <xf numFmtId="166" fontId="4" fillId="0" borderId="6" xfId="1" applyNumberFormat="1" applyFont="1" applyFill="1" applyBorder="1" applyAlignment="1">
      <alignment horizontal="center" vertical="center"/>
    </xf>
    <xf numFmtId="166" fontId="3" fillId="0" borderId="20" xfId="1" applyNumberFormat="1" applyFont="1" applyFill="1" applyBorder="1"/>
    <xf numFmtId="166" fontId="3" fillId="0" borderId="20" xfId="1" applyNumberFormat="1" applyFont="1" applyFill="1" applyBorder="1" applyAlignment="1">
      <alignment horizontal="center" vertical="center"/>
    </xf>
    <xf numFmtId="166" fontId="4" fillId="0" borderId="20" xfId="1" applyNumberFormat="1" applyFont="1" applyFill="1" applyBorder="1" applyAlignment="1">
      <alignment horizontal="center" vertical="center"/>
    </xf>
    <xf numFmtId="164" fontId="4" fillId="0" borderId="15" xfId="1" applyFont="1" applyFill="1" applyBorder="1" applyAlignment="1">
      <alignment horizontal="center" vertical="center" wrapText="1"/>
    </xf>
    <xf numFmtId="164" fontId="3" fillId="10" borderId="20" xfId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14" fontId="3" fillId="10" borderId="20" xfId="0" applyNumberFormat="1" applyFont="1" applyFill="1" applyBorder="1" applyAlignment="1">
      <alignment horizontal="center"/>
    </xf>
    <xf numFmtId="166" fontId="3" fillId="10" borderId="20" xfId="1" applyNumberFormat="1" applyFont="1" applyFill="1" applyBorder="1" applyAlignment="1">
      <alignment horizontal="center"/>
    </xf>
    <xf numFmtId="164" fontId="3" fillId="10" borderId="20" xfId="0" applyNumberFormat="1" applyFont="1" applyFill="1" applyBorder="1" applyAlignment="1">
      <alignment horizontal="center"/>
    </xf>
    <xf numFmtId="43" fontId="4" fillId="10" borderId="20" xfId="0" applyNumberFormat="1" applyFont="1" applyFill="1" applyBorder="1" applyAlignment="1">
      <alignment horizontal="right"/>
    </xf>
    <xf numFmtId="14" fontId="3" fillId="10" borderId="20" xfId="0" applyNumberFormat="1" applyFont="1" applyFill="1" applyBorder="1" applyAlignment="1">
      <alignment horizontal="center" wrapText="1"/>
    </xf>
    <xf numFmtId="0" fontId="3" fillId="3" borderId="10" xfId="0" applyFont="1" applyFill="1" applyBorder="1"/>
    <xf numFmtId="0" fontId="3" fillId="3" borderId="20" xfId="0" applyFont="1" applyFill="1" applyBorder="1" applyAlignment="1">
      <alignment horizontal="center"/>
    </xf>
    <xf numFmtId="14" fontId="3" fillId="3" borderId="20" xfId="0" applyNumberFormat="1" applyFont="1" applyFill="1" applyBorder="1" applyAlignment="1">
      <alignment horizontal="center"/>
    </xf>
    <xf numFmtId="164" fontId="3" fillId="3" borderId="20" xfId="1" applyFont="1" applyFill="1" applyBorder="1" applyAlignment="1">
      <alignment horizontal="center"/>
    </xf>
    <xf numFmtId="164" fontId="3" fillId="3" borderId="20" xfId="0" applyNumberFormat="1" applyFont="1" applyFill="1" applyBorder="1" applyAlignment="1">
      <alignment horizontal="center"/>
    </xf>
    <xf numFmtId="2" fontId="4" fillId="3" borderId="20" xfId="0" applyNumberFormat="1" applyFont="1" applyFill="1" applyBorder="1" applyAlignment="1">
      <alignment horizontal="right"/>
    </xf>
    <xf numFmtId="2" fontId="4" fillId="3" borderId="20" xfId="0" applyNumberFormat="1" applyFont="1" applyFill="1" applyBorder="1"/>
    <xf numFmtId="0" fontId="3" fillId="10" borderId="20" xfId="0" applyFont="1" applyFill="1" applyBorder="1"/>
    <xf numFmtId="164" fontId="3" fillId="10" borderId="21" xfId="1" applyFont="1" applyFill="1" applyBorder="1" applyAlignment="1">
      <alignment horizontal="center"/>
    </xf>
    <xf numFmtId="164" fontId="3" fillId="10" borderId="23" xfId="1" applyFont="1" applyFill="1" applyBorder="1" applyAlignment="1">
      <alignment horizontal="center"/>
    </xf>
    <xf numFmtId="164" fontId="3" fillId="0" borderId="26" xfId="1" applyFont="1" applyFill="1" applyBorder="1" applyAlignment="1">
      <alignment horizontal="center"/>
    </xf>
    <xf numFmtId="164" fontId="3" fillId="0" borderId="27" xfId="1" applyFont="1" applyFill="1" applyBorder="1" applyAlignment="1">
      <alignment horizontal="center"/>
    </xf>
    <xf numFmtId="164" fontId="3" fillId="10" borderId="26" xfId="1" applyFont="1" applyFill="1" applyBorder="1" applyAlignment="1">
      <alignment horizontal="center"/>
    </xf>
    <xf numFmtId="164" fontId="3" fillId="10" borderId="27" xfId="1" applyFont="1" applyFill="1" applyBorder="1" applyAlignment="1">
      <alignment horizontal="center"/>
    </xf>
    <xf numFmtId="166" fontId="3" fillId="3" borderId="26" xfId="1" applyNumberFormat="1" applyFont="1" applyFill="1" applyBorder="1" applyAlignment="1">
      <alignment horizontal="center"/>
    </xf>
    <xf numFmtId="164" fontId="3" fillId="3" borderId="27" xfId="1" applyFont="1" applyFill="1" applyBorder="1" applyAlignment="1">
      <alignment horizontal="center"/>
    </xf>
    <xf numFmtId="164" fontId="4" fillId="0" borderId="28" xfId="1" applyFont="1" applyFill="1" applyBorder="1" applyAlignment="1">
      <alignment horizontal="center"/>
    </xf>
    <xf numFmtId="164" fontId="3" fillId="0" borderId="21" xfId="1" applyFont="1" applyFill="1" applyBorder="1" applyAlignment="1">
      <alignment horizontal="center"/>
    </xf>
    <xf numFmtId="164" fontId="3" fillId="3" borderId="21" xfId="1" applyFont="1" applyFill="1" applyBorder="1" applyAlignment="1">
      <alignment horizontal="center"/>
    </xf>
    <xf numFmtId="164" fontId="4" fillId="0" borderId="21" xfId="1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 vertical="center" wrapText="1"/>
    </xf>
    <xf numFmtId="164" fontId="3" fillId="0" borderId="23" xfId="1" applyFont="1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164" fontId="3" fillId="3" borderId="23" xfId="1" applyFont="1" applyFill="1" applyBorder="1" applyAlignment="1">
      <alignment horizontal="center"/>
    </xf>
    <xf numFmtId="164" fontId="4" fillId="0" borderId="23" xfId="1" applyFont="1" applyFill="1" applyBorder="1" applyAlignment="1">
      <alignment horizontal="center"/>
    </xf>
    <xf numFmtId="0" fontId="3" fillId="0" borderId="26" xfId="0" applyFont="1" applyBorder="1" applyAlignment="1">
      <alignment horizontal="center"/>
    </xf>
    <xf numFmtId="14" fontId="3" fillId="0" borderId="27" xfId="0" applyNumberFormat="1" applyFont="1" applyBorder="1" applyAlignment="1">
      <alignment horizontal="center"/>
    </xf>
    <xf numFmtId="14" fontId="3" fillId="0" borderId="27" xfId="0" applyNumberFormat="1" applyFont="1" applyBorder="1" applyAlignment="1">
      <alignment horizontal="center" wrapText="1"/>
    </xf>
    <xf numFmtId="0" fontId="3" fillId="3" borderId="28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14" fontId="3" fillId="3" borderId="29" xfId="0" applyNumberFormat="1" applyFont="1" applyFill="1" applyBorder="1" applyAlignment="1">
      <alignment horizontal="center"/>
    </xf>
    <xf numFmtId="14" fontId="0" fillId="0" borderId="30" xfId="0" applyNumberForma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14" fontId="3" fillId="0" borderId="24" xfId="0" applyNumberFormat="1" applyFont="1" applyBorder="1" applyAlignment="1">
      <alignment horizontal="center" wrapText="1"/>
    </xf>
    <xf numFmtId="14" fontId="3" fillId="0" borderId="41" xfId="0" applyNumberFormat="1" applyFont="1" applyBorder="1" applyAlignment="1">
      <alignment horizontal="center" wrapText="1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3" fillId="0" borderId="20" xfId="0" applyFont="1" applyBorder="1" applyAlignment="1">
      <alignment horizontal="center" vertical="center"/>
    </xf>
    <xf numFmtId="43" fontId="4" fillId="0" borderId="20" xfId="0" applyNumberFormat="1" applyFont="1" applyBorder="1" applyAlignment="1">
      <alignment horizontal="right"/>
    </xf>
    <xf numFmtId="4" fontId="3" fillId="0" borderId="20" xfId="0" applyNumberFormat="1" applyFont="1" applyBorder="1"/>
    <xf numFmtId="0" fontId="10" fillId="0" borderId="44" xfId="0" applyFont="1" applyBorder="1"/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0" fillId="0" borderId="26" xfId="0" applyFont="1" applyBorder="1"/>
    <xf numFmtId="0" fontId="10" fillId="0" borderId="20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3" fillId="0" borderId="20" xfId="0" applyFont="1" applyBorder="1"/>
    <xf numFmtId="166" fontId="3" fillId="0" borderId="2" xfId="1" applyNumberFormat="1" applyFont="1" applyFill="1" applyBorder="1"/>
    <xf numFmtId="166" fontId="3" fillId="0" borderId="15" xfId="1" applyNumberFormat="1" applyFont="1" applyFill="1" applyBorder="1"/>
    <xf numFmtId="166" fontId="3" fillId="0" borderId="4" xfId="1" applyNumberFormat="1" applyFont="1" applyFill="1" applyBorder="1"/>
    <xf numFmtId="166" fontId="3" fillId="0" borderId="22" xfId="1" applyNumberFormat="1" applyFont="1" applyFill="1" applyBorder="1"/>
    <xf numFmtId="164" fontId="3" fillId="0" borderId="1" xfId="1" applyFont="1" applyFill="1" applyBorder="1"/>
    <xf numFmtId="0" fontId="3" fillId="0" borderId="52" xfId="0" applyFont="1" applyBorder="1"/>
    <xf numFmtId="0" fontId="4" fillId="0" borderId="53" xfId="0" applyFont="1" applyBorder="1"/>
    <xf numFmtId="14" fontId="3" fillId="0" borderId="54" xfId="0" applyNumberFormat="1" applyFont="1" applyBorder="1" applyAlignment="1">
      <alignment horizontal="center" wrapText="1"/>
    </xf>
    <xf numFmtId="166" fontId="3" fillId="0" borderId="54" xfId="1" applyNumberFormat="1" applyFont="1" applyFill="1" applyBorder="1"/>
    <xf numFmtId="164" fontId="4" fillId="0" borderId="54" xfId="1" applyFont="1" applyFill="1" applyBorder="1" applyAlignment="1">
      <alignment wrapText="1"/>
    </xf>
    <xf numFmtId="166" fontId="4" fillId="0" borderId="54" xfId="1" applyNumberFormat="1" applyFont="1" applyFill="1" applyBorder="1"/>
    <xf numFmtId="166" fontId="4" fillId="0" borderId="55" xfId="1" applyNumberFormat="1" applyFont="1" applyFill="1" applyBorder="1"/>
    <xf numFmtId="0" fontId="3" fillId="0" borderId="56" xfId="0" applyFont="1" applyBorder="1"/>
    <xf numFmtId="166" fontId="4" fillId="0" borderId="57" xfId="1" applyNumberFormat="1" applyFont="1" applyFill="1" applyBorder="1"/>
    <xf numFmtId="166" fontId="4" fillId="0" borderId="59" xfId="1" applyNumberFormat="1" applyFont="1" applyFill="1" applyBorder="1"/>
    <xf numFmtId="0" fontId="3" fillId="0" borderId="60" xfId="0" applyFont="1" applyBorder="1"/>
    <xf numFmtId="166" fontId="4" fillId="4" borderId="62" xfId="1" applyNumberFormat="1" applyFont="1" applyFill="1" applyBorder="1"/>
    <xf numFmtId="164" fontId="4" fillId="4" borderId="62" xfId="1" applyFont="1" applyFill="1" applyBorder="1"/>
    <xf numFmtId="166" fontId="4" fillId="4" borderId="63" xfId="1" applyNumberFormat="1" applyFont="1" applyFill="1" applyBorder="1"/>
    <xf numFmtId="14" fontId="3" fillId="0" borderId="5" xfId="0" applyNumberFormat="1" applyFont="1" applyBorder="1" applyAlignment="1">
      <alignment horizontal="center" wrapText="1"/>
    </xf>
    <xf numFmtId="0" fontId="3" fillId="0" borderId="6" xfId="0" applyFont="1" applyBorder="1"/>
    <xf numFmtId="0" fontId="3" fillId="0" borderId="13" xfId="0" applyFont="1" applyBorder="1"/>
    <xf numFmtId="14" fontId="3" fillId="0" borderId="6" xfId="0" applyNumberFormat="1" applyFont="1" applyBorder="1" applyAlignment="1">
      <alignment horizontal="center" wrapText="1"/>
    </xf>
    <xf numFmtId="0" fontId="4" fillId="7" borderId="53" xfId="0" applyFont="1" applyFill="1" applyBorder="1"/>
    <xf numFmtId="166" fontId="4" fillId="5" borderId="59" xfId="1" applyNumberFormat="1" applyFont="1" applyFill="1" applyBorder="1"/>
    <xf numFmtId="166" fontId="4" fillId="0" borderId="64" xfId="1" applyNumberFormat="1" applyFont="1" applyFill="1" applyBorder="1"/>
    <xf numFmtId="0" fontId="3" fillId="0" borderId="56" xfId="0" applyFont="1" applyBorder="1" applyAlignment="1">
      <alignment vertical="top"/>
    </xf>
    <xf numFmtId="166" fontId="4" fillId="4" borderId="61" xfId="1" applyNumberFormat="1" applyFont="1" applyFill="1" applyBorder="1"/>
    <xf numFmtId="166" fontId="4" fillId="4" borderId="65" xfId="1" applyNumberFormat="1" applyFont="1" applyFill="1" applyBorder="1"/>
    <xf numFmtId="14" fontId="3" fillId="0" borderId="13" xfId="0" applyNumberFormat="1" applyFont="1" applyBorder="1" applyAlignment="1">
      <alignment horizontal="center" wrapText="1"/>
    </xf>
    <xf numFmtId="0" fontId="4" fillId="7" borderId="54" xfId="0" applyFont="1" applyFill="1" applyBorder="1"/>
    <xf numFmtId="166" fontId="4" fillId="0" borderId="58" xfId="1" applyNumberFormat="1" applyFont="1" applyFill="1" applyBorder="1"/>
    <xf numFmtId="166" fontId="4" fillId="5" borderId="59" xfId="0" applyNumberFormat="1" applyFont="1" applyFill="1" applyBorder="1"/>
    <xf numFmtId="166" fontId="4" fillId="0" borderId="59" xfId="0" applyNumberFormat="1" applyFont="1" applyBorder="1"/>
    <xf numFmtId="0" fontId="3" fillId="0" borderId="59" xfId="0" applyFont="1" applyBorder="1"/>
    <xf numFmtId="14" fontId="3" fillId="0" borderId="59" xfId="0" applyNumberFormat="1" applyFont="1" applyBorder="1" applyAlignment="1">
      <alignment horizontal="center" wrapText="1"/>
    </xf>
    <xf numFmtId="166" fontId="4" fillId="0" borderId="58" xfId="1" applyNumberFormat="1" applyFont="1" applyFill="1" applyBorder="1" applyAlignment="1">
      <alignment horizontal="center" vertical="center"/>
    </xf>
    <xf numFmtId="166" fontId="4" fillId="0" borderId="66" xfId="1" applyNumberFormat="1" applyFont="1" applyFill="1" applyBorder="1" applyAlignment="1">
      <alignment horizontal="center" vertical="center"/>
    </xf>
    <xf numFmtId="0" fontId="10" fillId="0" borderId="40" xfId="0" applyFont="1" applyBorder="1"/>
    <xf numFmtId="0" fontId="10" fillId="0" borderId="24" xfId="0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0" fillId="0" borderId="28" xfId="0" applyBorder="1"/>
    <xf numFmtId="0" fontId="3" fillId="0" borderId="25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67" xfId="0" applyFont="1" applyBorder="1" applyAlignment="1">
      <alignment horizontal="center"/>
    </xf>
    <xf numFmtId="0" fontId="3" fillId="0" borderId="67" xfId="0" applyFont="1" applyBorder="1"/>
    <xf numFmtId="0" fontId="3" fillId="0" borderId="68" xfId="0" applyFont="1" applyBorder="1" applyAlignment="1">
      <alignment horizontal="center"/>
    </xf>
    <xf numFmtId="0" fontId="3" fillId="0" borderId="69" xfId="0" applyFont="1" applyBorder="1"/>
    <xf numFmtId="14" fontId="3" fillId="0" borderId="0" xfId="0" applyNumberFormat="1" applyFont="1" applyAlignment="1">
      <alignment horizontal="center"/>
    </xf>
    <xf numFmtId="0" fontId="3" fillId="0" borderId="21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 wrapText="1"/>
    </xf>
    <xf numFmtId="43" fontId="4" fillId="8" borderId="20" xfId="0" applyNumberFormat="1" applyFont="1" applyFill="1" applyBorder="1" applyAlignment="1">
      <alignment horizontal="right"/>
    </xf>
    <xf numFmtId="2" fontId="4" fillId="9" borderId="20" xfId="0" applyNumberFormat="1" applyFont="1" applyFill="1" applyBorder="1" applyAlignment="1">
      <alignment horizontal="right"/>
    </xf>
    <xf numFmtId="2" fontId="4" fillId="9" borderId="20" xfId="0" applyNumberFormat="1" applyFont="1" applyFill="1" applyBorder="1"/>
    <xf numFmtId="164" fontId="4" fillId="3" borderId="73" xfId="1" applyFont="1" applyFill="1" applyBorder="1" applyAlignment="1">
      <alignment horizontal="center" vertical="center" wrapText="1"/>
    </xf>
    <xf numFmtId="167" fontId="4" fillId="0" borderId="44" xfId="0" applyNumberFormat="1" applyFont="1" applyBorder="1" applyAlignment="1">
      <alignment horizontal="center" vertical="center"/>
    </xf>
    <xf numFmtId="167" fontId="4" fillId="0" borderId="45" xfId="0" applyNumberFormat="1" applyFont="1" applyBorder="1" applyAlignment="1">
      <alignment horizontal="center" vertical="center"/>
    </xf>
    <xf numFmtId="167" fontId="4" fillId="0" borderId="74" xfId="0" applyNumberFormat="1" applyFont="1" applyBorder="1" applyAlignment="1">
      <alignment horizontal="center" vertical="center"/>
    </xf>
    <xf numFmtId="167" fontId="4" fillId="0" borderId="46" xfId="0" applyNumberFormat="1" applyFont="1" applyBorder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0" fontId="3" fillId="0" borderId="26" xfId="0" applyFont="1" applyBorder="1"/>
    <xf numFmtId="0" fontId="3" fillId="0" borderId="27" xfId="0" applyFont="1" applyBorder="1"/>
    <xf numFmtId="166" fontId="3" fillId="0" borderId="20" xfId="1" applyNumberFormat="1" applyFont="1" applyFill="1" applyBorder="1" applyAlignment="1">
      <alignment horizontal="center"/>
    </xf>
    <xf numFmtId="4" fontId="3" fillId="0" borderId="20" xfId="0" applyNumberFormat="1" applyFont="1" applyBorder="1" applyAlignment="1">
      <alignment horizontal="center"/>
    </xf>
    <xf numFmtId="4" fontId="3" fillId="0" borderId="20" xfId="0" applyNumberFormat="1" applyFont="1" applyBorder="1" applyAlignment="1">
      <alignment horizontal="right"/>
    </xf>
    <xf numFmtId="164" fontId="3" fillId="0" borderId="20" xfId="1" applyFont="1" applyFill="1" applyBorder="1" applyAlignment="1">
      <alignment horizontal="right"/>
    </xf>
    <xf numFmtId="3" fontId="3" fillId="0" borderId="26" xfId="0" applyNumberFormat="1" applyFont="1" applyBorder="1"/>
    <xf numFmtId="4" fontId="3" fillId="0" borderId="21" xfId="0" applyNumberFormat="1" applyFont="1" applyBorder="1"/>
    <xf numFmtId="4" fontId="3" fillId="0" borderId="26" xfId="0" applyNumberFormat="1" applyFont="1" applyBorder="1"/>
    <xf numFmtId="4" fontId="3" fillId="0" borderId="27" xfId="0" applyNumberFormat="1" applyFont="1" applyBorder="1"/>
    <xf numFmtId="0" fontId="3" fillId="8" borderId="10" xfId="0" applyFont="1" applyFill="1" applyBorder="1"/>
    <xf numFmtId="0" fontId="3" fillId="8" borderId="20" xfId="0" applyFont="1" applyFill="1" applyBorder="1" applyAlignment="1">
      <alignment horizontal="center"/>
    </xf>
    <xf numFmtId="0" fontId="3" fillId="8" borderId="20" xfId="0" applyFont="1" applyFill="1" applyBorder="1" applyAlignment="1">
      <alignment horizontal="center" vertical="center"/>
    </xf>
    <xf numFmtId="14" fontId="3" fillId="8" borderId="20" xfId="0" applyNumberFormat="1" applyFont="1" applyFill="1" applyBorder="1" applyAlignment="1">
      <alignment horizontal="center"/>
    </xf>
    <xf numFmtId="164" fontId="3" fillId="8" borderId="20" xfId="1" applyFont="1" applyFill="1" applyBorder="1" applyAlignment="1">
      <alignment horizontal="center"/>
    </xf>
    <xf numFmtId="166" fontId="3" fillId="8" borderId="20" xfId="1" applyNumberFormat="1" applyFont="1" applyFill="1" applyBorder="1" applyAlignment="1">
      <alignment horizontal="center"/>
    </xf>
    <xf numFmtId="4" fontId="3" fillId="8" borderId="20" xfId="0" applyNumberFormat="1" applyFont="1" applyFill="1" applyBorder="1" applyAlignment="1">
      <alignment horizontal="center"/>
    </xf>
    <xf numFmtId="4" fontId="3" fillId="8" borderId="20" xfId="0" applyNumberFormat="1" applyFont="1" applyFill="1" applyBorder="1" applyAlignment="1">
      <alignment horizontal="right"/>
    </xf>
    <xf numFmtId="0" fontId="3" fillId="8" borderId="20" xfId="0" applyFont="1" applyFill="1" applyBorder="1"/>
    <xf numFmtId="164" fontId="3" fillId="8" borderId="20" xfId="1" applyFont="1" applyFill="1" applyBorder="1" applyAlignment="1">
      <alignment horizontal="right"/>
    </xf>
    <xf numFmtId="164" fontId="3" fillId="8" borderId="20" xfId="0" applyNumberFormat="1" applyFont="1" applyFill="1" applyBorder="1" applyAlignment="1">
      <alignment horizontal="center"/>
    </xf>
    <xf numFmtId="43" fontId="3" fillId="8" borderId="0" xfId="0" applyNumberFormat="1" applyFont="1" applyFill="1"/>
    <xf numFmtId="4" fontId="3" fillId="8" borderId="26" xfId="0" applyNumberFormat="1" applyFont="1" applyFill="1" applyBorder="1"/>
    <xf numFmtId="4" fontId="3" fillId="8" borderId="20" xfId="0" applyNumberFormat="1" applyFont="1" applyFill="1" applyBorder="1"/>
    <xf numFmtId="4" fontId="3" fillId="8" borderId="21" xfId="0" applyNumberFormat="1" applyFont="1" applyFill="1" applyBorder="1"/>
    <xf numFmtId="14" fontId="3" fillId="8" borderId="20" xfId="0" applyNumberFormat="1" applyFont="1" applyFill="1" applyBorder="1" applyAlignment="1">
      <alignment horizontal="center" wrapText="1"/>
    </xf>
    <xf numFmtId="4" fontId="3" fillId="0" borderId="0" xfId="0" applyNumberFormat="1" applyFont="1"/>
    <xf numFmtId="4" fontId="3" fillId="8" borderId="27" xfId="0" applyNumberFormat="1" applyFont="1" applyFill="1" applyBorder="1"/>
    <xf numFmtId="0" fontId="3" fillId="8" borderId="16" xfId="0" applyFont="1" applyFill="1" applyBorder="1"/>
    <xf numFmtId="164" fontId="3" fillId="0" borderId="20" xfId="3" applyFont="1" applyFill="1" applyBorder="1" applyAlignment="1">
      <alignment horizontal="center"/>
    </xf>
    <xf numFmtId="164" fontId="3" fillId="8" borderId="20" xfId="3" applyFont="1" applyFill="1" applyBorder="1" applyAlignment="1">
      <alignment horizontal="center"/>
    </xf>
    <xf numFmtId="3" fontId="3" fillId="8" borderId="20" xfId="0" applyNumberFormat="1" applyFont="1" applyFill="1" applyBorder="1"/>
    <xf numFmtId="0" fontId="3" fillId="0" borderId="75" xfId="0" applyFont="1" applyBorder="1"/>
    <xf numFmtId="0" fontId="3" fillId="9" borderId="10" xfId="0" applyFont="1" applyFill="1" applyBorder="1"/>
    <xf numFmtId="0" fontId="3" fillId="9" borderId="20" xfId="0" applyFont="1" applyFill="1" applyBorder="1" applyAlignment="1">
      <alignment horizontal="center"/>
    </xf>
    <xf numFmtId="14" fontId="3" fillId="9" borderId="20" xfId="0" applyNumberFormat="1" applyFont="1" applyFill="1" applyBorder="1" applyAlignment="1">
      <alignment horizontal="center"/>
    </xf>
    <xf numFmtId="164" fontId="3" fillId="9" borderId="20" xfId="1" applyFont="1" applyFill="1" applyBorder="1" applyAlignment="1">
      <alignment horizontal="center"/>
    </xf>
    <xf numFmtId="166" fontId="3" fillId="9" borderId="20" xfId="1" applyNumberFormat="1" applyFont="1" applyFill="1" applyBorder="1" applyAlignment="1">
      <alignment horizontal="center"/>
    </xf>
    <xf numFmtId="164" fontId="3" fillId="9" borderId="20" xfId="0" applyNumberFormat="1" applyFont="1" applyFill="1" applyBorder="1" applyAlignment="1">
      <alignment horizontal="center"/>
    </xf>
    <xf numFmtId="0" fontId="3" fillId="9" borderId="26" xfId="0" applyFont="1" applyFill="1" applyBorder="1"/>
    <xf numFmtId="0" fontId="3" fillId="9" borderId="20" xfId="0" applyFont="1" applyFill="1" applyBorder="1"/>
    <xf numFmtId="0" fontId="3" fillId="9" borderId="21" xfId="0" applyFont="1" applyFill="1" applyBorder="1"/>
    <xf numFmtId="0" fontId="3" fillId="9" borderId="27" xfId="0" applyFont="1" applyFill="1" applyBorder="1"/>
    <xf numFmtId="0" fontId="3" fillId="9" borderId="16" xfId="0" applyFont="1" applyFill="1" applyBorder="1"/>
    <xf numFmtId="14" fontId="3" fillId="9" borderId="20" xfId="0" applyNumberFormat="1" applyFont="1" applyFill="1" applyBorder="1" applyAlignment="1">
      <alignment horizontal="center" wrapText="1"/>
    </xf>
    <xf numFmtId="3" fontId="3" fillId="0" borderId="20" xfId="0" applyNumberFormat="1" applyFont="1" applyBorder="1"/>
    <xf numFmtId="3" fontId="3" fillId="0" borderId="21" xfId="0" applyNumberFormat="1" applyFont="1" applyBorder="1"/>
    <xf numFmtId="3" fontId="3" fillId="0" borderId="27" xfId="0" applyNumberFormat="1" applyFont="1" applyBorder="1"/>
    <xf numFmtId="4" fontId="3" fillId="0" borderId="28" xfId="0" applyNumberFormat="1" applyFont="1" applyBorder="1"/>
    <xf numFmtId="4" fontId="3" fillId="0" borderId="29" xfId="0" applyNumberFormat="1" applyFont="1" applyBorder="1"/>
    <xf numFmtId="4" fontId="3" fillId="0" borderId="76" xfId="0" applyNumberFormat="1" applyFont="1" applyBorder="1"/>
    <xf numFmtId="4" fontId="3" fillId="0" borderId="30" xfId="0" applyNumberFormat="1" applyFont="1" applyBorder="1"/>
    <xf numFmtId="168" fontId="3" fillId="0" borderId="0" xfId="0" applyNumberFormat="1" applyFont="1"/>
    <xf numFmtId="17" fontId="4" fillId="3" borderId="19" xfId="0" applyNumberFormat="1" applyFont="1" applyFill="1" applyBorder="1" applyAlignment="1">
      <alignment horizontal="center" vertical="center" wrapText="1"/>
    </xf>
    <xf numFmtId="164" fontId="3" fillId="0" borderId="25" xfId="1" applyFont="1" applyFill="1" applyBorder="1" applyAlignment="1">
      <alignment horizontal="center"/>
    </xf>
    <xf numFmtId="164" fontId="4" fillId="3" borderId="23" xfId="1" applyFont="1" applyFill="1" applyBorder="1" applyAlignment="1">
      <alignment horizontal="center" vertical="center" wrapText="1"/>
    </xf>
    <xf numFmtId="14" fontId="3" fillId="0" borderId="0" xfId="0" applyNumberFormat="1" applyFont="1"/>
    <xf numFmtId="166" fontId="4" fillId="0" borderId="0" xfId="1" applyNumberFormat="1" applyFont="1" applyFill="1" applyBorder="1"/>
    <xf numFmtId="0" fontId="5" fillId="6" borderId="5" xfId="0" applyFont="1" applyFill="1" applyBorder="1"/>
    <xf numFmtId="14" fontId="3" fillId="0" borderId="2" xfId="0" applyNumberFormat="1" applyFont="1" applyBorder="1" applyAlignment="1">
      <alignment horizontal="center" wrapText="1"/>
    </xf>
    <xf numFmtId="166" fontId="3" fillId="0" borderId="77" xfId="1" applyNumberFormat="1" applyFont="1" applyFill="1" applyBorder="1"/>
    <xf numFmtId="0" fontId="3" fillId="0" borderId="24" xfId="0" applyFont="1" applyBorder="1"/>
    <xf numFmtId="166" fontId="3" fillId="0" borderId="78" xfId="1" applyNumberFormat="1" applyFont="1" applyFill="1" applyBorder="1"/>
    <xf numFmtId="164" fontId="3" fillId="5" borderId="20" xfId="1" applyFont="1" applyFill="1" applyBorder="1" applyAlignment="1">
      <alignment horizontal="center"/>
    </xf>
    <xf numFmtId="164" fontId="3" fillId="5" borderId="21" xfId="1" applyFont="1" applyFill="1" applyBorder="1" applyAlignment="1">
      <alignment horizontal="center"/>
    </xf>
    <xf numFmtId="43" fontId="4" fillId="0" borderId="0" xfId="0" applyNumberFormat="1" applyFont="1" applyAlignment="1">
      <alignment wrapText="1"/>
    </xf>
    <xf numFmtId="166" fontId="3" fillId="0" borderId="6" xfId="0" applyNumberFormat="1" applyFont="1" applyBorder="1"/>
    <xf numFmtId="0" fontId="4" fillId="3" borderId="26" xfId="0" applyFont="1" applyFill="1" applyBorder="1" applyAlignment="1">
      <alignment horizontal="center" vertical="center" wrapText="1"/>
    </xf>
    <xf numFmtId="0" fontId="3" fillId="10" borderId="10" xfId="0" applyFont="1" applyFill="1" applyBorder="1"/>
    <xf numFmtId="0" fontId="3" fillId="10" borderId="0" xfId="0" applyFont="1" applyFill="1"/>
    <xf numFmtId="164" fontId="3" fillId="10" borderId="20" xfId="1" applyFont="1" applyFill="1" applyBorder="1"/>
    <xf numFmtId="0" fontId="3" fillId="12" borderId="0" xfId="0" applyFont="1" applyFill="1"/>
    <xf numFmtId="0" fontId="3" fillId="3" borderId="0" xfId="0" applyFont="1" applyFill="1"/>
    <xf numFmtId="0" fontId="3" fillId="10" borderId="25" xfId="0" applyFont="1" applyFill="1" applyBorder="1" applyAlignment="1">
      <alignment horizontal="center"/>
    </xf>
    <xf numFmtId="0" fontId="3" fillId="10" borderId="47" xfId="0" applyFont="1" applyFill="1" applyBorder="1" applyAlignment="1">
      <alignment horizontal="center"/>
    </xf>
    <xf numFmtId="14" fontId="3" fillId="10" borderId="47" xfId="0" applyNumberFormat="1" applyFont="1" applyFill="1" applyBorder="1" applyAlignment="1">
      <alignment horizontal="center" wrapText="1"/>
    </xf>
    <xf numFmtId="14" fontId="3" fillId="10" borderId="47" xfId="0" applyNumberFormat="1" applyFont="1" applyFill="1" applyBorder="1" applyAlignment="1">
      <alignment horizontal="center"/>
    </xf>
    <xf numFmtId="164" fontId="3" fillId="10" borderId="47" xfId="1" applyFont="1" applyFill="1" applyBorder="1" applyAlignment="1">
      <alignment horizontal="center"/>
    </xf>
    <xf numFmtId="43" fontId="0" fillId="0" borderId="0" xfId="0" applyNumberFormat="1"/>
    <xf numFmtId="0" fontId="3" fillId="10" borderId="16" xfId="0" applyFont="1" applyFill="1" applyBorder="1"/>
    <xf numFmtId="0" fontId="4" fillId="4" borderId="61" xfId="0" applyFont="1" applyFill="1" applyBorder="1"/>
    <xf numFmtId="14" fontId="4" fillId="4" borderId="61" xfId="0" applyNumberFormat="1" applyFont="1" applyFill="1" applyBorder="1" applyAlignment="1">
      <alignment horizontal="center" wrapText="1"/>
    </xf>
    <xf numFmtId="166" fontId="4" fillId="4" borderId="79" xfId="1" applyNumberFormat="1" applyFont="1" applyFill="1" applyBorder="1"/>
    <xf numFmtId="166" fontId="4" fillId="4" borderId="30" xfId="1" applyNumberFormat="1" applyFont="1" applyFill="1" applyBorder="1"/>
    <xf numFmtId="0" fontId="3" fillId="0" borderId="80" xfId="0" applyFont="1" applyBorder="1"/>
    <xf numFmtId="166" fontId="3" fillId="0" borderId="0" xfId="0" applyNumberFormat="1" applyFont="1"/>
    <xf numFmtId="0" fontId="3" fillId="6" borderId="0" xfId="0" applyFont="1" applyFill="1"/>
    <xf numFmtId="166" fontId="3" fillId="8" borderId="0" xfId="0" applyNumberFormat="1" applyFont="1" applyFill="1"/>
    <xf numFmtId="14" fontId="3" fillId="8" borderId="1" xfId="0" applyNumberFormat="1" applyFont="1" applyFill="1" applyBorder="1" applyAlignment="1">
      <alignment horizontal="center" wrapText="1"/>
    </xf>
    <xf numFmtId="166" fontId="3" fillId="8" borderId="1" xfId="1" applyNumberFormat="1" applyFont="1" applyFill="1" applyBorder="1"/>
    <xf numFmtId="164" fontId="4" fillId="8" borderId="1" xfId="1" applyFont="1" applyFill="1" applyBorder="1" applyAlignment="1">
      <alignment wrapText="1"/>
    </xf>
    <xf numFmtId="166" fontId="3" fillId="8" borderId="5" xfId="1" applyNumberFormat="1" applyFont="1" applyFill="1" applyBorder="1"/>
    <xf numFmtId="166" fontId="4" fillId="8" borderId="1" xfId="1" applyNumberFormat="1" applyFont="1" applyFill="1" applyBorder="1"/>
    <xf numFmtId="166" fontId="4" fillId="8" borderId="59" xfId="1" applyNumberFormat="1" applyFont="1" applyFill="1" applyBorder="1"/>
    <xf numFmtId="164" fontId="3" fillId="13" borderId="20" xfId="1" applyFont="1" applyFill="1" applyBorder="1" applyAlignment="1">
      <alignment horizontal="center"/>
    </xf>
    <xf numFmtId="0" fontId="3" fillId="13" borderId="0" xfId="0" applyFont="1" applyFill="1"/>
    <xf numFmtId="0" fontId="4" fillId="13" borderId="0" xfId="0" applyFont="1" applyFill="1" applyAlignment="1">
      <alignment horizontal="center" vertical="center" wrapText="1"/>
    </xf>
    <xf numFmtId="169" fontId="3" fillId="13" borderId="0" xfId="0" applyNumberFormat="1" applyFont="1" applyFill="1"/>
    <xf numFmtId="0" fontId="0" fillId="13" borderId="0" xfId="0" applyFill="1"/>
    <xf numFmtId="43" fontId="3" fillId="13" borderId="0" xfId="0" applyNumberFormat="1" applyFont="1" applyFill="1"/>
    <xf numFmtId="164" fontId="3" fillId="10" borderId="26" xfId="1" applyFont="1" applyFill="1" applyBorder="1"/>
    <xf numFmtId="164" fontId="3" fillId="10" borderId="42" xfId="1" applyFont="1" applyFill="1" applyBorder="1" applyAlignment="1">
      <alignment horizontal="center"/>
    </xf>
    <xf numFmtId="166" fontId="4" fillId="0" borderId="81" xfId="1" applyNumberFormat="1" applyFont="1" applyFill="1" applyBorder="1" applyAlignment="1">
      <alignment horizontal="center" vertical="center"/>
    </xf>
    <xf numFmtId="166" fontId="4" fillId="0" borderId="82" xfId="1" applyNumberFormat="1" applyFont="1" applyFill="1" applyBorder="1" applyAlignment="1">
      <alignment horizontal="center" vertical="center"/>
    </xf>
    <xf numFmtId="166" fontId="4" fillId="0" borderId="66" xfId="1" applyNumberFormat="1" applyFont="1" applyFill="1" applyBorder="1" applyAlignment="1">
      <alignment horizontal="center" vertical="center"/>
    </xf>
    <xf numFmtId="164" fontId="4" fillId="0" borderId="7" xfId="1" applyFont="1" applyFill="1" applyBorder="1" applyAlignment="1">
      <alignment horizontal="center" vertical="center" wrapText="1"/>
    </xf>
    <xf numFmtId="164" fontId="4" fillId="0" borderId="77" xfId="1" applyFont="1" applyFill="1" applyBorder="1" applyAlignment="1">
      <alignment horizontal="center" vertical="center" wrapText="1"/>
    </xf>
    <xf numFmtId="164" fontId="4" fillId="0" borderId="15" xfId="1" applyFont="1" applyFill="1" applyBorder="1" applyAlignment="1">
      <alignment horizontal="center" vertical="center" wrapText="1"/>
    </xf>
    <xf numFmtId="166" fontId="3" fillId="0" borderId="5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4" fillId="0" borderId="5" xfId="1" applyNumberFormat="1" applyFont="1" applyFill="1" applyBorder="1" applyAlignment="1">
      <alignment horizontal="center" vertical="center"/>
    </xf>
    <xf numFmtId="166" fontId="4" fillId="0" borderId="13" xfId="1" applyNumberFormat="1" applyFont="1" applyFill="1" applyBorder="1" applyAlignment="1">
      <alignment horizontal="center" vertical="center"/>
    </xf>
    <xf numFmtId="166" fontId="3" fillId="0" borderId="20" xfId="1" applyNumberFormat="1" applyFont="1" applyFill="1" applyBorder="1" applyAlignment="1">
      <alignment horizontal="center" vertical="center"/>
    </xf>
    <xf numFmtId="166" fontId="4" fillId="0" borderId="20" xfId="1" applyNumberFormat="1" applyFont="1" applyFill="1" applyBorder="1" applyAlignment="1">
      <alignment horizontal="center" vertical="center"/>
    </xf>
    <xf numFmtId="166" fontId="3" fillId="0" borderId="5" xfId="1" applyNumberFormat="1" applyFont="1" applyFill="1" applyBorder="1" applyAlignment="1">
      <alignment horizontal="center"/>
    </xf>
    <xf numFmtId="166" fontId="3" fillId="0" borderId="13" xfId="1" applyNumberFormat="1" applyFont="1" applyFill="1" applyBorder="1" applyAlignment="1">
      <alignment horizontal="center"/>
    </xf>
    <xf numFmtId="166" fontId="3" fillId="0" borderId="20" xfId="1" applyNumberFormat="1" applyFont="1" applyFill="1" applyBorder="1" applyAlignment="1">
      <alignment horizontal="center"/>
    </xf>
    <xf numFmtId="164" fontId="4" fillId="3" borderId="5" xfId="1" applyFont="1" applyFill="1" applyBorder="1" applyAlignment="1">
      <alignment horizontal="center" vertical="center" wrapText="1"/>
    </xf>
    <xf numFmtId="164" fontId="4" fillId="3" borderId="6" xfId="1" applyFont="1" applyFill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66" fontId="3" fillId="0" borderId="6" xfId="1" applyNumberFormat="1" applyFont="1" applyFill="1" applyBorder="1" applyAlignment="1">
      <alignment horizontal="center" vertical="center"/>
    </xf>
    <xf numFmtId="164" fontId="4" fillId="0" borderId="5" xfId="1" applyFont="1" applyFill="1" applyBorder="1" applyAlignment="1">
      <alignment horizontal="center" vertical="center" wrapText="1"/>
    </xf>
    <xf numFmtId="164" fontId="4" fillId="0" borderId="6" xfId="1" applyFont="1" applyFill="1" applyBorder="1" applyAlignment="1">
      <alignment horizontal="center" vertical="center" wrapText="1"/>
    </xf>
    <xf numFmtId="166" fontId="3" fillId="0" borderId="5" xfId="1" applyNumberFormat="1" applyFont="1" applyFill="1" applyBorder="1" applyAlignment="1">
      <alignment vertical="center"/>
    </xf>
    <xf numFmtId="166" fontId="3" fillId="0" borderId="6" xfId="1" applyNumberFormat="1" applyFont="1" applyFill="1" applyBorder="1" applyAlignment="1">
      <alignment vertical="center"/>
    </xf>
    <xf numFmtId="166" fontId="3" fillId="0" borderId="6" xfId="1" applyNumberFormat="1" applyFont="1" applyFill="1" applyBorder="1" applyAlignment="1">
      <alignment horizontal="center"/>
    </xf>
    <xf numFmtId="166" fontId="4" fillId="0" borderId="6" xfId="1" applyNumberFormat="1" applyFont="1" applyFill="1" applyBorder="1" applyAlignment="1">
      <alignment horizontal="center" vertical="center"/>
    </xf>
    <xf numFmtId="166" fontId="4" fillId="0" borderId="57" xfId="1" applyNumberFormat="1" applyFont="1" applyFill="1" applyBorder="1" applyAlignment="1">
      <alignment horizontal="center" vertical="center"/>
    </xf>
    <xf numFmtId="166" fontId="4" fillId="0" borderId="58" xfId="1" applyNumberFormat="1" applyFont="1" applyFill="1" applyBorder="1" applyAlignment="1">
      <alignment horizontal="center" vertical="center"/>
    </xf>
    <xf numFmtId="166" fontId="3" fillId="0" borderId="5" xfId="1" applyNumberFormat="1" applyFont="1" applyFill="1" applyBorder="1" applyAlignment="1"/>
    <xf numFmtId="166" fontId="3" fillId="0" borderId="6" xfId="1" applyNumberFormat="1" applyFont="1" applyFill="1" applyBorder="1" applyAlignment="1"/>
    <xf numFmtId="14" fontId="3" fillId="0" borderId="1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4" fillId="3" borderId="2" xfId="1" applyFont="1" applyFill="1" applyBorder="1" applyAlignment="1">
      <alignment horizontal="center" vertical="center"/>
    </xf>
    <xf numFmtId="164" fontId="4" fillId="3" borderId="3" xfId="1" applyFont="1" applyFill="1" applyBorder="1" applyAlignment="1">
      <alignment horizontal="center" vertical="center"/>
    </xf>
    <xf numFmtId="164" fontId="4" fillId="3" borderId="4" xfId="1" applyFont="1" applyFill="1" applyBorder="1" applyAlignment="1">
      <alignment horizontal="center" vertical="center"/>
    </xf>
    <xf numFmtId="164" fontId="4" fillId="3" borderId="44" xfId="1" applyFont="1" applyFill="1" applyBorder="1" applyAlignment="1">
      <alignment horizontal="center"/>
    </xf>
    <xf numFmtId="164" fontId="4" fillId="3" borderId="45" xfId="1" applyFont="1" applyFill="1" applyBorder="1" applyAlignment="1">
      <alignment horizontal="center"/>
    </xf>
    <xf numFmtId="164" fontId="4" fillId="3" borderId="46" xfId="1" applyFont="1" applyFill="1" applyBorder="1" applyAlignment="1">
      <alignment horizontal="center"/>
    </xf>
    <xf numFmtId="0" fontId="4" fillId="3" borderId="8" xfId="0" quotePrefix="1" applyFont="1" applyFill="1" applyBorder="1" applyAlignment="1">
      <alignment horizontal="center" vertical="center"/>
    </xf>
    <xf numFmtId="0" fontId="4" fillId="3" borderId="9" xfId="0" quotePrefix="1" applyFont="1" applyFill="1" applyBorder="1" applyAlignment="1">
      <alignment horizontal="center" vertical="center"/>
    </xf>
    <xf numFmtId="0" fontId="9" fillId="11" borderId="34" xfId="0" applyFont="1" applyFill="1" applyBorder="1" applyAlignment="1">
      <alignment horizontal="center"/>
    </xf>
    <xf numFmtId="0" fontId="9" fillId="11" borderId="35" xfId="0" applyFont="1" applyFill="1" applyBorder="1" applyAlignment="1">
      <alignment horizontal="center"/>
    </xf>
    <xf numFmtId="0" fontId="9" fillId="11" borderId="36" xfId="0" applyFont="1" applyFill="1" applyBorder="1" applyAlignment="1">
      <alignment horizontal="center"/>
    </xf>
    <xf numFmtId="0" fontId="9" fillId="0" borderId="48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9" fillId="11" borderId="31" xfId="0" applyFont="1" applyFill="1" applyBorder="1" applyAlignment="1">
      <alignment horizontal="center"/>
    </xf>
    <xf numFmtId="0" fontId="9" fillId="11" borderId="32" xfId="0" applyFont="1" applyFill="1" applyBorder="1" applyAlignment="1">
      <alignment horizontal="center"/>
    </xf>
    <xf numFmtId="0" fontId="9" fillId="11" borderId="33" xfId="0" applyFont="1" applyFill="1" applyBorder="1" applyAlignment="1">
      <alignment horizontal="center"/>
    </xf>
    <xf numFmtId="164" fontId="4" fillId="3" borderId="70" xfId="1" applyFont="1" applyFill="1" applyBorder="1" applyAlignment="1">
      <alignment horizontal="center"/>
    </xf>
    <xf numFmtId="164" fontId="4" fillId="3" borderId="71" xfId="1" applyFont="1" applyFill="1" applyBorder="1" applyAlignment="1">
      <alignment horizontal="center"/>
    </xf>
    <xf numFmtId="164" fontId="4" fillId="3" borderId="72" xfId="1" applyFont="1" applyFill="1" applyBorder="1" applyAlignment="1">
      <alignment horizontal="center"/>
    </xf>
  </cellXfs>
  <cellStyles count="5">
    <cellStyle name="Comma" xfId="1" builtinId="3"/>
    <cellStyle name="Comma 2" xfId="3" xr:uid="{B356FE88-D304-46B7-AACE-761BBF3834A7}"/>
    <cellStyle name="Comma 3" xfId="4" xr:uid="{C351A2C7-2CD2-4A01-A2FF-CE394F331AE8}"/>
    <cellStyle name="Normal" xfId="0" builtinId="0"/>
    <cellStyle name="Normal 4" xfId="2" xr:uid="{9646A67A-8ABB-4D8D-8181-4F0F790DEA17}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F99FF"/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/Depreciation%20workings%202025%20-%20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tion (Non vehicle) Dec"/>
      <sheetName val="Dep-Vehicle monthly Dec 2025"/>
      <sheetName val="Feuil2"/>
      <sheetName val="Feuil1"/>
      <sheetName val="Car List"/>
      <sheetName val="Simulation 2025_26_27_28"/>
    </sheetNames>
    <sheetDataSet>
      <sheetData sheetId="0">
        <row r="9">
          <cell r="L9">
            <v>239482.33333333331</v>
          </cell>
        </row>
        <row r="10">
          <cell r="L10">
            <v>11666.66666666667</v>
          </cell>
        </row>
        <row r="11">
          <cell r="L11">
            <v>3958.333333333333</v>
          </cell>
        </row>
        <row r="12">
          <cell r="L12">
            <v>2290.9444444444439</v>
          </cell>
        </row>
        <row r="13">
          <cell r="L13">
            <v>2500</v>
          </cell>
        </row>
        <row r="14">
          <cell r="L14">
            <v>946.38888888888903</v>
          </cell>
        </row>
        <row r="18">
          <cell r="L18">
            <v>543304.66333333333</v>
          </cell>
        </row>
        <row r="23">
          <cell r="L23">
            <v>2376.7159999999999</v>
          </cell>
        </row>
        <row r="26">
          <cell r="L26">
            <v>882</v>
          </cell>
        </row>
        <row r="27">
          <cell r="L27">
            <v>25400.400000000001</v>
          </cell>
        </row>
        <row r="28">
          <cell r="L28">
            <v>1158</v>
          </cell>
        </row>
        <row r="29">
          <cell r="L29">
            <v>3019.938333333333</v>
          </cell>
        </row>
        <row r="30">
          <cell r="L30">
            <v>1111.666666666667</v>
          </cell>
        </row>
        <row r="31">
          <cell r="L31">
            <v>729.66666666666663</v>
          </cell>
        </row>
        <row r="32">
          <cell r="L32">
            <v>260.33333333333343</v>
          </cell>
        </row>
        <row r="33">
          <cell r="L33">
            <v>261.8</v>
          </cell>
        </row>
        <row r="41">
          <cell r="L41">
            <v>563.4666666666667</v>
          </cell>
        </row>
        <row r="42">
          <cell r="L42">
            <v>1262.733333333334</v>
          </cell>
        </row>
        <row r="50">
          <cell r="L50">
            <v>1475.6</v>
          </cell>
        </row>
        <row r="51">
          <cell r="L51">
            <v>75</v>
          </cell>
        </row>
        <row r="52">
          <cell r="L52">
            <v>395.83333333333343</v>
          </cell>
        </row>
        <row r="53">
          <cell r="L53">
            <v>380.85700000000003</v>
          </cell>
        </row>
        <row r="55">
          <cell r="L55">
            <v>1218.6679999999999</v>
          </cell>
        </row>
        <row r="58">
          <cell r="L58">
            <v>4800</v>
          </cell>
        </row>
        <row r="59">
          <cell r="L59">
            <v>1303.333333333333</v>
          </cell>
        </row>
        <row r="60">
          <cell r="L60">
            <v>1035</v>
          </cell>
        </row>
        <row r="61">
          <cell r="L61">
            <v>613.33333333333326</v>
          </cell>
        </row>
        <row r="65">
          <cell r="L65">
            <v>2158</v>
          </cell>
        </row>
        <row r="68">
          <cell r="L68">
            <v>582.66666666666663</v>
          </cell>
        </row>
        <row r="69">
          <cell r="L69">
            <v>582.66666666666663</v>
          </cell>
        </row>
        <row r="70">
          <cell r="L70">
            <v>582.66666666666663</v>
          </cell>
        </row>
        <row r="71">
          <cell r="L71">
            <v>582.66666666666663</v>
          </cell>
        </row>
        <row r="72">
          <cell r="L72">
            <v>582.66666666666663</v>
          </cell>
        </row>
        <row r="73">
          <cell r="L73">
            <v>582.66666666666663</v>
          </cell>
        </row>
        <row r="74">
          <cell r="L74">
            <v>1521.1424999999999</v>
          </cell>
        </row>
        <row r="75">
          <cell r="L75">
            <v>759.71400000000006</v>
          </cell>
        </row>
        <row r="76">
          <cell r="L76">
            <v>906</v>
          </cell>
        </row>
        <row r="77">
          <cell r="L77">
            <v>714.14250000000004</v>
          </cell>
        </row>
        <row r="80">
          <cell r="L80">
            <v>1756.8</v>
          </cell>
        </row>
        <row r="81">
          <cell r="L81">
            <v>1242.45</v>
          </cell>
        </row>
        <row r="82">
          <cell r="L82">
            <v>1898</v>
          </cell>
        </row>
        <row r="83">
          <cell r="L83">
            <v>1898</v>
          </cell>
        </row>
        <row r="84">
          <cell r="L84">
            <v>1726.1875</v>
          </cell>
        </row>
        <row r="85">
          <cell r="L85">
            <v>1726.1916666666671</v>
          </cell>
        </row>
        <row r="89">
          <cell r="L89">
            <v>475</v>
          </cell>
        </row>
        <row r="90">
          <cell r="L90">
            <v>120.5333333333333</v>
          </cell>
        </row>
        <row r="91">
          <cell r="L91">
            <v>120.5333333333333</v>
          </cell>
        </row>
        <row r="95">
          <cell r="L95">
            <v>713</v>
          </cell>
        </row>
        <row r="96">
          <cell r="L96">
            <v>1149.2</v>
          </cell>
        </row>
        <row r="97">
          <cell r="L97">
            <v>828</v>
          </cell>
        </row>
        <row r="98">
          <cell r="L98">
            <v>729.83666666666682</v>
          </cell>
        </row>
        <row r="99">
          <cell r="J99">
            <v>398.60399999999998</v>
          </cell>
        </row>
        <row r="102">
          <cell r="L102">
            <v>816.33333333333314</v>
          </cell>
        </row>
        <row r="103">
          <cell r="L103">
            <v>1059.166666666667</v>
          </cell>
        </row>
        <row r="104">
          <cell r="L104">
            <v>123.714</v>
          </cell>
        </row>
        <row r="105">
          <cell r="L105">
            <v>119.048</v>
          </cell>
        </row>
        <row r="108">
          <cell r="L108">
            <v>3079.333333333333</v>
          </cell>
        </row>
        <row r="110">
          <cell r="L110">
            <v>713</v>
          </cell>
        </row>
        <row r="111">
          <cell r="L111">
            <v>180.83333333333329</v>
          </cell>
        </row>
        <row r="112">
          <cell r="L112">
            <v>1876</v>
          </cell>
        </row>
        <row r="114">
          <cell r="L114">
            <v>750</v>
          </cell>
        </row>
        <row r="117">
          <cell r="L117">
            <v>391.83733333333339</v>
          </cell>
        </row>
        <row r="118">
          <cell r="L118">
            <v>391.83733333333339</v>
          </cell>
        </row>
      </sheetData>
      <sheetData sheetId="1">
        <row r="6">
          <cell r="AD6">
            <v>372666.74263888889</v>
          </cell>
        </row>
        <row r="7">
          <cell r="AD7">
            <v>343028.81699999998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456F-1547-41AE-81E0-ED23831940D7}">
  <dimension ref="B1:P132"/>
  <sheetViews>
    <sheetView tabSelected="1" topLeftCell="A88" zoomScaleNormal="100" workbookViewId="0">
      <selection activeCell="H125" sqref="H125"/>
    </sheetView>
  </sheetViews>
  <sheetFormatPr defaultColWidth="8.85546875" defaultRowHeight="12.75" customHeight="1"/>
  <cols>
    <col min="1" max="1" width="4.28515625" style="1" customWidth="1"/>
    <col min="2" max="2" width="5.5703125" style="1" customWidth="1"/>
    <col min="3" max="3" width="54.42578125" style="1" bestFit="1" customWidth="1"/>
    <col min="4" max="4" width="11.28515625" style="1" bestFit="1" customWidth="1"/>
    <col min="5" max="5" width="14.42578125" style="1" customWidth="1"/>
    <col min="6" max="6" width="9.85546875" style="1" customWidth="1"/>
    <col min="7" max="7" width="8" style="1" customWidth="1"/>
    <col min="8" max="8" width="14.5703125" style="15" bestFit="1" customWidth="1"/>
    <col min="9" max="9" width="13.7109375" style="2" bestFit="1" customWidth="1"/>
    <col min="10" max="10" width="14.28515625" style="2" bestFit="1" customWidth="1"/>
    <col min="11" max="11" width="14.28515625" style="2" customWidth="1"/>
    <col min="12" max="12" width="14.7109375" style="2" customWidth="1"/>
    <col min="13" max="13" width="15.5703125" style="15" customWidth="1"/>
    <col min="14" max="208" width="8.85546875" style="1"/>
    <col min="209" max="209" width="13.140625" style="1" customWidth="1"/>
    <col min="210" max="213" width="8.85546875" style="1"/>
    <col min="214" max="214" width="13" style="1" customWidth="1"/>
    <col min="215" max="215" width="20" style="1" customWidth="1"/>
    <col min="216" max="216" width="21.5703125" style="1" customWidth="1"/>
    <col min="217" max="217" width="13.28515625" style="1" customWidth="1"/>
    <col min="218" max="218" width="15.28515625" style="1" customWidth="1"/>
    <col min="219" max="219" width="11.85546875" style="1" customWidth="1"/>
    <col min="220" max="220" width="14.85546875" style="1" customWidth="1"/>
    <col min="221" max="221" width="12.28515625" style="1" customWidth="1"/>
    <col min="222" max="464" width="8.85546875" style="1"/>
    <col min="465" max="465" width="13.140625" style="1" customWidth="1"/>
    <col min="466" max="469" width="8.85546875" style="1"/>
    <col min="470" max="470" width="13" style="1" customWidth="1"/>
    <col min="471" max="471" width="20" style="1" customWidth="1"/>
    <col min="472" max="472" width="21.5703125" style="1" customWidth="1"/>
    <col min="473" max="473" width="13.28515625" style="1" customWidth="1"/>
    <col min="474" max="474" width="15.28515625" style="1" customWidth="1"/>
    <col min="475" max="475" width="11.85546875" style="1" customWidth="1"/>
    <col min="476" max="476" width="14.85546875" style="1" customWidth="1"/>
    <col min="477" max="477" width="12.28515625" style="1" customWidth="1"/>
    <col min="478" max="720" width="8.85546875" style="1"/>
    <col min="721" max="721" width="13.140625" style="1" customWidth="1"/>
    <col min="722" max="725" width="8.85546875" style="1"/>
    <col min="726" max="726" width="13" style="1" customWidth="1"/>
    <col min="727" max="727" width="20" style="1" customWidth="1"/>
    <col min="728" max="728" width="21.5703125" style="1" customWidth="1"/>
    <col min="729" max="729" width="13.28515625" style="1" customWidth="1"/>
    <col min="730" max="730" width="15.28515625" style="1" customWidth="1"/>
    <col min="731" max="731" width="11.85546875" style="1" customWidth="1"/>
    <col min="732" max="732" width="14.85546875" style="1" customWidth="1"/>
    <col min="733" max="733" width="12.28515625" style="1" customWidth="1"/>
    <col min="734" max="976" width="8.85546875" style="1"/>
    <col min="977" max="977" width="13.140625" style="1" customWidth="1"/>
    <col min="978" max="981" width="8.85546875" style="1"/>
    <col min="982" max="982" width="13" style="1" customWidth="1"/>
    <col min="983" max="983" width="20" style="1" customWidth="1"/>
    <col min="984" max="984" width="21.5703125" style="1" customWidth="1"/>
    <col min="985" max="985" width="13.28515625" style="1" customWidth="1"/>
    <col min="986" max="986" width="15.28515625" style="1" customWidth="1"/>
    <col min="987" max="987" width="11.85546875" style="1" customWidth="1"/>
    <col min="988" max="988" width="14.85546875" style="1" customWidth="1"/>
    <col min="989" max="989" width="12.28515625" style="1" customWidth="1"/>
    <col min="990" max="1232" width="8.85546875" style="1"/>
    <col min="1233" max="1233" width="13.140625" style="1" customWidth="1"/>
    <col min="1234" max="1237" width="8.85546875" style="1"/>
    <col min="1238" max="1238" width="13" style="1" customWidth="1"/>
    <col min="1239" max="1239" width="20" style="1" customWidth="1"/>
    <col min="1240" max="1240" width="21.5703125" style="1" customWidth="1"/>
    <col min="1241" max="1241" width="13.28515625" style="1" customWidth="1"/>
    <col min="1242" max="1242" width="15.28515625" style="1" customWidth="1"/>
    <col min="1243" max="1243" width="11.85546875" style="1" customWidth="1"/>
    <col min="1244" max="1244" width="14.85546875" style="1" customWidth="1"/>
    <col min="1245" max="1245" width="12.28515625" style="1" customWidth="1"/>
    <col min="1246" max="1488" width="8.85546875" style="1"/>
    <col min="1489" max="1489" width="13.140625" style="1" customWidth="1"/>
    <col min="1490" max="1493" width="8.85546875" style="1"/>
    <col min="1494" max="1494" width="13" style="1" customWidth="1"/>
    <col min="1495" max="1495" width="20" style="1" customWidth="1"/>
    <col min="1496" max="1496" width="21.5703125" style="1" customWidth="1"/>
    <col min="1497" max="1497" width="13.28515625" style="1" customWidth="1"/>
    <col min="1498" max="1498" width="15.28515625" style="1" customWidth="1"/>
    <col min="1499" max="1499" width="11.85546875" style="1" customWidth="1"/>
    <col min="1500" max="1500" width="14.85546875" style="1" customWidth="1"/>
    <col min="1501" max="1501" width="12.28515625" style="1" customWidth="1"/>
    <col min="1502" max="1744" width="8.85546875" style="1"/>
    <col min="1745" max="1745" width="13.140625" style="1" customWidth="1"/>
    <col min="1746" max="1749" width="8.85546875" style="1"/>
    <col min="1750" max="1750" width="13" style="1" customWidth="1"/>
    <col min="1751" max="1751" width="20" style="1" customWidth="1"/>
    <col min="1752" max="1752" width="21.5703125" style="1" customWidth="1"/>
    <col min="1753" max="1753" width="13.28515625" style="1" customWidth="1"/>
    <col min="1754" max="1754" width="15.28515625" style="1" customWidth="1"/>
    <col min="1755" max="1755" width="11.85546875" style="1" customWidth="1"/>
    <col min="1756" max="1756" width="14.85546875" style="1" customWidth="1"/>
    <col min="1757" max="1757" width="12.28515625" style="1" customWidth="1"/>
    <col min="1758" max="2000" width="8.85546875" style="1"/>
    <col min="2001" max="2001" width="13.140625" style="1" customWidth="1"/>
    <col min="2002" max="2005" width="8.85546875" style="1"/>
    <col min="2006" max="2006" width="13" style="1" customWidth="1"/>
    <col min="2007" max="2007" width="20" style="1" customWidth="1"/>
    <col min="2008" max="2008" width="21.5703125" style="1" customWidth="1"/>
    <col min="2009" max="2009" width="13.28515625" style="1" customWidth="1"/>
    <col min="2010" max="2010" width="15.28515625" style="1" customWidth="1"/>
    <col min="2011" max="2011" width="11.85546875" style="1" customWidth="1"/>
    <col min="2012" max="2012" width="14.85546875" style="1" customWidth="1"/>
    <col min="2013" max="2013" width="12.28515625" style="1" customWidth="1"/>
    <col min="2014" max="2256" width="8.85546875" style="1"/>
    <col min="2257" max="2257" width="13.140625" style="1" customWidth="1"/>
    <col min="2258" max="2261" width="8.85546875" style="1"/>
    <col min="2262" max="2262" width="13" style="1" customWidth="1"/>
    <col min="2263" max="2263" width="20" style="1" customWidth="1"/>
    <col min="2264" max="2264" width="21.5703125" style="1" customWidth="1"/>
    <col min="2265" max="2265" width="13.28515625" style="1" customWidth="1"/>
    <col min="2266" max="2266" width="15.28515625" style="1" customWidth="1"/>
    <col min="2267" max="2267" width="11.85546875" style="1" customWidth="1"/>
    <col min="2268" max="2268" width="14.85546875" style="1" customWidth="1"/>
    <col min="2269" max="2269" width="12.28515625" style="1" customWidth="1"/>
    <col min="2270" max="2512" width="8.85546875" style="1"/>
    <col min="2513" max="2513" width="13.140625" style="1" customWidth="1"/>
    <col min="2514" max="2517" width="8.85546875" style="1"/>
    <col min="2518" max="2518" width="13" style="1" customWidth="1"/>
    <col min="2519" max="2519" width="20" style="1" customWidth="1"/>
    <col min="2520" max="2520" width="21.5703125" style="1" customWidth="1"/>
    <col min="2521" max="2521" width="13.28515625" style="1" customWidth="1"/>
    <col min="2522" max="2522" width="15.28515625" style="1" customWidth="1"/>
    <col min="2523" max="2523" width="11.85546875" style="1" customWidth="1"/>
    <col min="2524" max="2524" width="14.85546875" style="1" customWidth="1"/>
    <col min="2525" max="2525" width="12.28515625" style="1" customWidth="1"/>
    <col min="2526" max="2768" width="8.85546875" style="1"/>
    <col min="2769" max="2769" width="13.140625" style="1" customWidth="1"/>
    <col min="2770" max="2773" width="8.85546875" style="1"/>
    <col min="2774" max="2774" width="13" style="1" customWidth="1"/>
    <col min="2775" max="2775" width="20" style="1" customWidth="1"/>
    <col min="2776" max="2776" width="21.5703125" style="1" customWidth="1"/>
    <col min="2777" max="2777" width="13.28515625" style="1" customWidth="1"/>
    <col min="2778" max="2778" width="15.28515625" style="1" customWidth="1"/>
    <col min="2779" max="2779" width="11.85546875" style="1" customWidth="1"/>
    <col min="2780" max="2780" width="14.85546875" style="1" customWidth="1"/>
    <col min="2781" max="2781" width="12.28515625" style="1" customWidth="1"/>
    <col min="2782" max="3024" width="8.85546875" style="1"/>
    <col min="3025" max="3025" width="13.140625" style="1" customWidth="1"/>
    <col min="3026" max="3029" width="8.85546875" style="1"/>
    <col min="3030" max="3030" width="13" style="1" customWidth="1"/>
    <col min="3031" max="3031" width="20" style="1" customWidth="1"/>
    <col min="3032" max="3032" width="21.5703125" style="1" customWidth="1"/>
    <col min="3033" max="3033" width="13.28515625" style="1" customWidth="1"/>
    <col min="3034" max="3034" width="15.28515625" style="1" customWidth="1"/>
    <col min="3035" max="3035" width="11.85546875" style="1" customWidth="1"/>
    <col min="3036" max="3036" width="14.85546875" style="1" customWidth="1"/>
    <col min="3037" max="3037" width="12.28515625" style="1" customWidth="1"/>
    <col min="3038" max="3280" width="8.85546875" style="1"/>
    <col min="3281" max="3281" width="13.140625" style="1" customWidth="1"/>
    <col min="3282" max="3285" width="8.85546875" style="1"/>
    <col min="3286" max="3286" width="13" style="1" customWidth="1"/>
    <col min="3287" max="3287" width="20" style="1" customWidth="1"/>
    <col min="3288" max="3288" width="21.5703125" style="1" customWidth="1"/>
    <col min="3289" max="3289" width="13.28515625" style="1" customWidth="1"/>
    <col min="3290" max="3290" width="15.28515625" style="1" customWidth="1"/>
    <col min="3291" max="3291" width="11.85546875" style="1" customWidth="1"/>
    <col min="3292" max="3292" width="14.85546875" style="1" customWidth="1"/>
    <col min="3293" max="3293" width="12.28515625" style="1" customWidth="1"/>
    <col min="3294" max="3536" width="8.85546875" style="1"/>
    <col min="3537" max="3537" width="13.140625" style="1" customWidth="1"/>
    <col min="3538" max="3541" width="8.85546875" style="1"/>
    <col min="3542" max="3542" width="13" style="1" customWidth="1"/>
    <col min="3543" max="3543" width="20" style="1" customWidth="1"/>
    <col min="3544" max="3544" width="21.5703125" style="1" customWidth="1"/>
    <col min="3545" max="3545" width="13.28515625" style="1" customWidth="1"/>
    <col min="3546" max="3546" width="15.28515625" style="1" customWidth="1"/>
    <col min="3547" max="3547" width="11.85546875" style="1" customWidth="1"/>
    <col min="3548" max="3548" width="14.85546875" style="1" customWidth="1"/>
    <col min="3549" max="3549" width="12.28515625" style="1" customWidth="1"/>
    <col min="3550" max="3792" width="8.85546875" style="1"/>
    <col min="3793" max="3793" width="13.140625" style="1" customWidth="1"/>
    <col min="3794" max="3797" width="8.85546875" style="1"/>
    <col min="3798" max="3798" width="13" style="1" customWidth="1"/>
    <col min="3799" max="3799" width="20" style="1" customWidth="1"/>
    <col min="3800" max="3800" width="21.5703125" style="1" customWidth="1"/>
    <col min="3801" max="3801" width="13.28515625" style="1" customWidth="1"/>
    <col min="3802" max="3802" width="15.28515625" style="1" customWidth="1"/>
    <col min="3803" max="3803" width="11.85546875" style="1" customWidth="1"/>
    <col min="3804" max="3804" width="14.85546875" style="1" customWidth="1"/>
    <col min="3805" max="3805" width="12.28515625" style="1" customWidth="1"/>
    <col min="3806" max="4048" width="8.85546875" style="1"/>
    <col min="4049" max="4049" width="13.140625" style="1" customWidth="1"/>
    <col min="4050" max="4053" width="8.85546875" style="1"/>
    <col min="4054" max="4054" width="13" style="1" customWidth="1"/>
    <col min="4055" max="4055" width="20" style="1" customWidth="1"/>
    <col min="4056" max="4056" width="21.5703125" style="1" customWidth="1"/>
    <col min="4057" max="4057" width="13.28515625" style="1" customWidth="1"/>
    <col min="4058" max="4058" width="15.28515625" style="1" customWidth="1"/>
    <col min="4059" max="4059" width="11.85546875" style="1" customWidth="1"/>
    <col min="4060" max="4060" width="14.85546875" style="1" customWidth="1"/>
    <col min="4061" max="4061" width="12.28515625" style="1" customWidth="1"/>
    <col min="4062" max="4304" width="8.85546875" style="1"/>
    <col min="4305" max="4305" width="13.140625" style="1" customWidth="1"/>
    <col min="4306" max="4309" width="8.85546875" style="1"/>
    <col min="4310" max="4310" width="13" style="1" customWidth="1"/>
    <col min="4311" max="4311" width="20" style="1" customWidth="1"/>
    <col min="4312" max="4312" width="21.5703125" style="1" customWidth="1"/>
    <col min="4313" max="4313" width="13.28515625" style="1" customWidth="1"/>
    <col min="4314" max="4314" width="15.28515625" style="1" customWidth="1"/>
    <col min="4315" max="4315" width="11.85546875" style="1" customWidth="1"/>
    <col min="4316" max="4316" width="14.85546875" style="1" customWidth="1"/>
    <col min="4317" max="4317" width="12.28515625" style="1" customWidth="1"/>
    <col min="4318" max="4560" width="8.85546875" style="1"/>
    <col min="4561" max="4561" width="13.140625" style="1" customWidth="1"/>
    <col min="4562" max="4565" width="8.85546875" style="1"/>
    <col min="4566" max="4566" width="13" style="1" customWidth="1"/>
    <col min="4567" max="4567" width="20" style="1" customWidth="1"/>
    <col min="4568" max="4568" width="21.5703125" style="1" customWidth="1"/>
    <col min="4569" max="4569" width="13.28515625" style="1" customWidth="1"/>
    <col min="4570" max="4570" width="15.28515625" style="1" customWidth="1"/>
    <col min="4571" max="4571" width="11.85546875" style="1" customWidth="1"/>
    <col min="4572" max="4572" width="14.85546875" style="1" customWidth="1"/>
    <col min="4573" max="4573" width="12.28515625" style="1" customWidth="1"/>
    <col min="4574" max="4816" width="8.85546875" style="1"/>
    <col min="4817" max="4817" width="13.140625" style="1" customWidth="1"/>
    <col min="4818" max="4821" width="8.85546875" style="1"/>
    <col min="4822" max="4822" width="13" style="1" customWidth="1"/>
    <col min="4823" max="4823" width="20" style="1" customWidth="1"/>
    <col min="4824" max="4824" width="21.5703125" style="1" customWidth="1"/>
    <col min="4825" max="4825" width="13.28515625" style="1" customWidth="1"/>
    <col min="4826" max="4826" width="15.28515625" style="1" customWidth="1"/>
    <col min="4827" max="4827" width="11.85546875" style="1" customWidth="1"/>
    <col min="4828" max="4828" width="14.85546875" style="1" customWidth="1"/>
    <col min="4829" max="4829" width="12.28515625" style="1" customWidth="1"/>
    <col min="4830" max="5072" width="8.85546875" style="1"/>
    <col min="5073" max="5073" width="13.140625" style="1" customWidth="1"/>
    <col min="5074" max="5077" width="8.85546875" style="1"/>
    <col min="5078" max="5078" width="13" style="1" customWidth="1"/>
    <col min="5079" max="5079" width="20" style="1" customWidth="1"/>
    <col min="5080" max="5080" width="21.5703125" style="1" customWidth="1"/>
    <col min="5081" max="5081" width="13.28515625" style="1" customWidth="1"/>
    <col min="5082" max="5082" width="15.28515625" style="1" customWidth="1"/>
    <col min="5083" max="5083" width="11.85546875" style="1" customWidth="1"/>
    <col min="5084" max="5084" width="14.85546875" style="1" customWidth="1"/>
    <col min="5085" max="5085" width="12.28515625" style="1" customWidth="1"/>
    <col min="5086" max="5328" width="8.85546875" style="1"/>
    <col min="5329" max="5329" width="13.140625" style="1" customWidth="1"/>
    <col min="5330" max="5333" width="8.85546875" style="1"/>
    <col min="5334" max="5334" width="13" style="1" customWidth="1"/>
    <col min="5335" max="5335" width="20" style="1" customWidth="1"/>
    <col min="5336" max="5336" width="21.5703125" style="1" customWidth="1"/>
    <col min="5337" max="5337" width="13.28515625" style="1" customWidth="1"/>
    <col min="5338" max="5338" width="15.28515625" style="1" customWidth="1"/>
    <col min="5339" max="5339" width="11.85546875" style="1" customWidth="1"/>
    <col min="5340" max="5340" width="14.85546875" style="1" customWidth="1"/>
    <col min="5341" max="5341" width="12.28515625" style="1" customWidth="1"/>
    <col min="5342" max="5584" width="8.85546875" style="1"/>
    <col min="5585" max="5585" width="13.140625" style="1" customWidth="1"/>
    <col min="5586" max="5589" width="8.85546875" style="1"/>
    <col min="5590" max="5590" width="13" style="1" customWidth="1"/>
    <col min="5591" max="5591" width="20" style="1" customWidth="1"/>
    <col min="5592" max="5592" width="21.5703125" style="1" customWidth="1"/>
    <col min="5593" max="5593" width="13.28515625" style="1" customWidth="1"/>
    <col min="5594" max="5594" width="15.28515625" style="1" customWidth="1"/>
    <col min="5595" max="5595" width="11.85546875" style="1" customWidth="1"/>
    <col min="5596" max="5596" width="14.85546875" style="1" customWidth="1"/>
    <col min="5597" max="5597" width="12.28515625" style="1" customWidth="1"/>
    <col min="5598" max="5840" width="8.85546875" style="1"/>
    <col min="5841" max="5841" width="13.140625" style="1" customWidth="1"/>
    <col min="5842" max="5845" width="8.85546875" style="1"/>
    <col min="5846" max="5846" width="13" style="1" customWidth="1"/>
    <col min="5847" max="5847" width="20" style="1" customWidth="1"/>
    <col min="5848" max="5848" width="21.5703125" style="1" customWidth="1"/>
    <col min="5849" max="5849" width="13.28515625" style="1" customWidth="1"/>
    <col min="5850" max="5850" width="15.28515625" style="1" customWidth="1"/>
    <col min="5851" max="5851" width="11.85546875" style="1" customWidth="1"/>
    <col min="5852" max="5852" width="14.85546875" style="1" customWidth="1"/>
    <col min="5853" max="5853" width="12.28515625" style="1" customWidth="1"/>
    <col min="5854" max="6096" width="8.85546875" style="1"/>
    <col min="6097" max="6097" width="13.140625" style="1" customWidth="1"/>
    <col min="6098" max="6101" width="8.85546875" style="1"/>
    <col min="6102" max="6102" width="13" style="1" customWidth="1"/>
    <col min="6103" max="6103" width="20" style="1" customWidth="1"/>
    <col min="6104" max="6104" width="21.5703125" style="1" customWidth="1"/>
    <col min="6105" max="6105" width="13.28515625" style="1" customWidth="1"/>
    <col min="6106" max="6106" width="15.28515625" style="1" customWidth="1"/>
    <col min="6107" max="6107" width="11.85546875" style="1" customWidth="1"/>
    <col min="6108" max="6108" width="14.85546875" style="1" customWidth="1"/>
    <col min="6109" max="6109" width="12.28515625" style="1" customWidth="1"/>
    <col min="6110" max="6352" width="8.85546875" style="1"/>
    <col min="6353" max="6353" width="13.140625" style="1" customWidth="1"/>
    <col min="6354" max="6357" width="8.85546875" style="1"/>
    <col min="6358" max="6358" width="13" style="1" customWidth="1"/>
    <col min="6359" max="6359" width="20" style="1" customWidth="1"/>
    <col min="6360" max="6360" width="21.5703125" style="1" customWidth="1"/>
    <col min="6361" max="6361" width="13.28515625" style="1" customWidth="1"/>
    <col min="6362" max="6362" width="15.28515625" style="1" customWidth="1"/>
    <col min="6363" max="6363" width="11.85546875" style="1" customWidth="1"/>
    <col min="6364" max="6364" width="14.85546875" style="1" customWidth="1"/>
    <col min="6365" max="6365" width="12.28515625" style="1" customWidth="1"/>
    <col min="6366" max="6608" width="8.85546875" style="1"/>
    <col min="6609" max="6609" width="13.140625" style="1" customWidth="1"/>
    <col min="6610" max="6613" width="8.85546875" style="1"/>
    <col min="6614" max="6614" width="13" style="1" customWidth="1"/>
    <col min="6615" max="6615" width="20" style="1" customWidth="1"/>
    <col min="6616" max="6616" width="21.5703125" style="1" customWidth="1"/>
    <col min="6617" max="6617" width="13.28515625" style="1" customWidth="1"/>
    <col min="6618" max="6618" width="15.28515625" style="1" customWidth="1"/>
    <col min="6619" max="6619" width="11.85546875" style="1" customWidth="1"/>
    <col min="6620" max="6620" width="14.85546875" style="1" customWidth="1"/>
    <col min="6621" max="6621" width="12.28515625" style="1" customWidth="1"/>
    <col min="6622" max="6864" width="8.85546875" style="1"/>
    <col min="6865" max="6865" width="13.140625" style="1" customWidth="1"/>
    <col min="6866" max="6869" width="8.85546875" style="1"/>
    <col min="6870" max="6870" width="13" style="1" customWidth="1"/>
    <col min="6871" max="6871" width="20" style="1" customWidth="1"/>
    <col min="6872" max="6872" width="21.5703125" style="1" customWidth="1"/>
    <col min="6873" max="6873" width="13.28515625" style="1" customWidth="1"/>
    <col min="6874" max="6874" width="15.28515625" style="1" customWidth="1"/>
    <col min="6875" max="6875" width="11.85546875" style="1" customWidth="1"/>
    <col min="6876" max="6876" width="14.85546875" style="1" customWidth="1"/>
    <col min="6877" max="6877" width="12.28515625" style="1" customWidth="1"/>
    <col min="6878" max="7120" width="8.85546875" style="1"/>
    <col min="7121" max="7121" width="13.140625" style="1" customWidth="1"/>
    <col min="7122" max="7125" width="8.85546875" style="1"/>
    <col min="7126" max="7126" width="13" style="1" customWidth="1"/>
    <col min="7127" max="7127" width="20" style="1" customWidth="1"/>
    <col min="7128" max="7128" width="21.5703125" style="1" customWidth="1"/>
    <col min="7129" max="7129" width="13.28515625" style="1" customWidth="1"/>
    <col min="7130" max="7130" width="15.28515625" style="1" customWidth="1"/>
    <col min="7131" max="7131" width="11.85546875" style="1" customWidth="1"/>
    <col min="7132" max="7132" width="14.85546875" style="1" customWidth="1"/>
    <col min="7133" max="7133" width="12.28515625" style="1" customWidth="1"/>
    <col min="7134" max="7376" width="8.85546875" style="1"/>
    <col min="7377" max="7377" width="13.140625" style="1" customWidth="1"/>
    <col min="7378" max="7381" width="8.85546875" style="1"/>
    <col min="7382" max="7382" width="13" style="1" customWidth="1"/>
    <col min="7383" max="7383" width="20" style="1" customWidth="1"/>
    <col min="7384" max="7384" width="21.5703125" style="1" customWidth="1"/>
    <col min="7385" max="7385" width="13.28515625" style="1" customWidth="1"/>
    <col min="7386" max="7386" width="15.28515625" style="1" customWidth="1"/>
    <col min="7387" max="7387" width="11.85546875" style="1" customWidth="1"/>
    <col min="7388" max="7388" width="14.85546875" style="1" customWidth="1"/>
    <col min="7389" max="7389" width="12.28515625" style="1" customWidth="1"/>
    <col min="7390" max="7632" width="8.85546875" style="1"/>
    <col min="7633" max="7633" width="13.140625" style="1" customWidth="1"/>
    <col min="7634" max="7637" width="8.85546875" style="1"/>
    <col min="7638" max="7638" width="13" style="1" customWidth="1"/>
    <col min="7639" max="7639" width="20" style="1" customWidth="1"/>
    <col min="7640" max="7640" width="21.5703125" style="1" customWidth="1"/>
    <col min="7641" max="7641" width="13.28515625" style="1" customWidth="1"/>
    <col min="7642" max="7642" width="15.28515625" style="1" customWidth="1"/>
    <col min="7643" max="7643" width="11.85546875" style="1" customWidth="1"/>
    <col min="7644" max="7644" width="14.85546875" style="1" customWidth="1"/>
    <col min="7645" max="7645" width="12.28515625" style="1" customWidth="1"/>
    <col min="7646" max="7888" width="8.85546875" style="1"/>
    <col min="7889" max="7889" width="13.140625" style="1" customWidth="1"/>
    <col min="7890" max="7893" width="8.85546875" style="1"/>
    <col min="7894" max="7894" width="13" style="1" customWidth="1"/>
    <col min="7895" max="7895" width="20" style="1" customWidth="1"/>
    <col min="7896" max="7896" width="21.5703125" style="1" customWidth="1"/>
    <col min="7897" max="7897" width="13.28515625" style="1" customWidth="1"/>
    <col min="7898" max="7898" width="15.28515625" style="1" customWidth="1"/>
    <col min="7899" max="7899" width="11.85546875" style="1" customWidth="1"/>
    <col min="7900" max="7900" width="14.85546875" style="1" customWidth="1"/>
    <col min="7901" max="7901" width="12.28515625" style="1" customWidth="1"/>
    <col min="7902" max="8144" width="8.85546875" style="1"/>
    <col min="8145" max="8145" width="13.140625" style="1" customWidth="1"/>
    <col min="8146" max="8149" width="8.85546875" style="1"/>
    <col min="8150" max="8150" width="13" style="1" customWidth="1"/>
    <col min="8151" max="8151" width="20" style="1" customWidth="1"/>
    <col min="8152" max="8152" width="21.5703125" style="1" customWidth="1"/>
    <col min="8153" max="8153" width="13.28515625" style="1" customWidth="1"/>
    <col min="8154" max="8154" width="15.28515625" style="1" customWidth="1"/>
    <col min="8155" max="8155" width="11.85546875" style="1" customWidth="1"/>
    <col min="8156" max="8156" width="14.85546875" style="1" customWidth="1"/>
    <col min="8157" max="8157" width="12.28515625" style="1" customWidth="1"/>
    <col min="8158" max="8400" width="8.85546875" style="1"/>
    <col min="8401" max="8401" width="13.140625" style="1" customWidth="1"/>
    <col min="8402" max="8405" width="8.85546875" style="1"/>
    <col min="8406" max="8406" width="13" style="1" customWidth="1"/>
    <col min="8407" max="8407" width="20" style="1" customWidth="1"/>
    <col min="8408" max="8408" width="21.5703125" style="1" customWidth="1"/>
    <col min="8409" max="8409" width="13.28515625" style="1" customWidth="1"/>
    <col min="8410" max="8410" width="15.28515625" style="1" customWidth="1"/>
    <col min="8411" max="8411" width="11.85546875" style="1" customWidth="1"/>
    <col min="8412" max="8412" width="14.85546875" style="1" customWidth="1"/>
    <col min="8413" max="8413" width="12.28515625" style="1" customWidth="1"/>
    <col min="8414" max="8656" width="8.85546875" style="1"/>
    <col min="8657" max="8657" width="13.140625" style="1" customWidth="1"/>
    <col min="8658" max="8661" width="8.85546875" style="1"/>
    <col min="8662" max="8662" width="13" style="1" customWidth="1"/>
    <col min="8663" max="8663" width="20" style="1" customWidth="1"/>
    <col min="8664" max="8664" width="21.5703125" style="1" customWidth="1"/>
    <col min="8665" max="8665" width="13.28515625" style="1" customWidth="1"/>
    <col min="8666" max="8666" width="15.28515625" style="1" customWidth="1"/>
    <col min="8667" max="8667" width="11.85546875" style="1" customWidth="1"/>
    <col min="8668" max="8668" width="14.85546875" style="1" customWidth="1"/>
    <col min="8669" max="8669" width="12.28515625" style="1" customWidth="1"/>
    <col min="8670" max="8912" width="8.85546875" style="1"/>
    <col min="8913" max="8913" width="13.140625" style="1" customWidth="1"/>
    <col min="8914" max="8917" width="8.85546875" style="1"/>
    <col min="8918" max="8918" width="13" style="1" customWidth="1"/>
    <col min="8919" max="8919" width="20" style="1" customWidth="1"/>
    <col min="8920" max="8920" width="21.5703125" style="1" customWidth="1"/>
    <col min="8921" max="8921" width="13.28515625" style="1" customWidth="1"/>
    <col min="8922" max="8922" width="15.28515625" style="1" customWidth="1"/>
    <col min="8923" max="8923" width="11.85546875" style="1" customWidth="1"/>
    <col min="8924" max="8924" width="14.85546875" style="1" customWidth="1"/>
    <col min="8925" max="8925" width="12.28515625" style="1" customWidth="1"/>
    <col min="8926" max="9168" width="8.85546875" style="1"/>
    <col min="9169" max="9169" width="13.140625" style="1" customWidth="1"/>
    <col min="9170" max="9173" width="8.85546875" style="1"/>
    <col min="9174" max="9174" width="13" style="1" customWidth="1"/>
    <col min="9175" max="9175" width="20" style="1" customWidth="1"/>
    <col min="9176" max="9176" width="21.5703125" style="1" customWidth="1"/>
    <col min="9177" max="9177" width="13.28515625" style="1" customWidth="1"/>
    <col min="9178" max="9178" width="15.28515625" style="1" customWidth="1"/>
    <col min="9179" max="9179" width="11.85546875" style="1" customWidth="1"/>
    <col min="9180" max="9180" width="14.85546875" style="1" customWidth="1"/>
    <col min="9181" max="9181" width="12.28515625" style="1" customWidth="1"/>
    <col min="9182" max="9424" width="8.85546875" style="1"/>
    <col min="9425" max="9425" width="13.140625" style="1" customWidth="1"/>
    <col min="9426" max="9429" width="8.85546875" style="1"/>
    <col min="9430" max="9430" width="13" style="1" customWidth="1"/>
    <col min="9431" max="9431" width="20" style="1" customWidth="1"/>
    <col min="9432" max="9432" width="21.5703125" style="1" customWidth="1"/>
    <col min="9433" max="9433" width="13.28515625" style="1" customWidth="1"/>
    <col min="9434" max="9434" width="15.28515625" style="1" customWidth="1"/>
    <col min="9435" max="9435" width="11.85546875" style="1" customWidth="1"/>
    <col min="9436" max="9436" width="14.85546875" style="1" customWidth="1"/>
    <col min="9437" max="9437" width="12.28515625" style="1" customWidth="1"/>
    <col min="9438" max="9680" width="8.85546875" style="1"/>
    <col min="9681" max="9681" width="13.140625" style="1" customWidth="1"/>
    <col min="9682" max="9685" width="8.85546875" style="1"/>
    <col min="9686" max="9686" width="13" style="1" customWidth="1"/>
    <col min="9687" max="9687" width="20" style="1" customWidth="1"/>
    <col min="9688" max="9688" width="21.5703125" style="1" customWidth="1"/>
    <col min="9689" max="9689" width="13.28515625" style="1" customWidth="1"/>
    <col min="9690" max="9690" width="15.28515625" style="1" customWidth="1"/>
    <col min="9691" max="9691" width="11.85546875" style="1" customWidth="1"/>
    <col min="9692" max="9692" width="14.85546875" style="1" customWidth="1"/>
    <col min="9693" max="9693" width="12.28515625" style="1" customWidth="1"/>
    <col min="9694" max="9936" width="8.85546875" style="1"/>
    <col min="9937" max="9937" width="13.140625" style="1" customWidth="1"/>
    <col min="9938" max="9941" width="8.85546875" style="1"/>
    <col min="9942" max="9942" width="13" style="1" customWidth="1"/>
    <col min="9943" max="9943" width="20" style="1" customWidth="1"/>
    <col min="9944" max="9944" width="21.5703125" style="1" customWidth="1"/>
    <col min="9945" max="9945" width="13.28515625" style="1" customWidth="1"/>
    <col min="9946" max="9946" width="15.28515625" style="1" customWidth="1"/>
    <col min="9947" max="9947" width="11.85546875" style="1" customWidth="1"/>
    <col min="9948" max="9948" width="14.85546875" style="1" customWidth="1"/>
    <col min="9949" max="9949" width="12.28515625" style="1" customWidth="1"/>
    <col min="9950" max="10192" width="8.85546875" style="1"/>
    <col min="10193" max="10193" width="13.140625" style="1" customWidth="1"/>
    <col min="10194" max="10197" width="8.85546875" style="1"/>
    <col min="10198" max="10198" width="13" style="1" customWidth="1"/>
    <col min="10199" max="10199" width="20" style="1" customWidth="1"/>
    <col min="10200" max="10200" width="21.5703125" style="1" customWidth="1"/>
    <col min="10201" max="10201" width="13.28515625" style="1" customWidth="1"/>
    <col min="10202" max="10202" width="15.28515625" style="1" customWidth="1"/>
    <col min="10203" max="10203" width="11.85546875" style="1" customWidth="1"/>
    <col min="10204" max="10204" width="14.85546875" style="1" customWidth="1"/>
    <col min="10205" max="10205" width="12.28515625" style="1" customWidth="1"/>
    <col min="10206" max="10448" width="8.85546875" style="1"/>
    <col min="10449" max="10449" width="13.140625" style="1" customWidth="1"/>
    <col min="10450" max="10453" width="8.85546875" style="1"/>
    <col min="10454" max="10454" width="13" style="1" customWidth="1"/>
    <col min="10455" max="10455" width="20" style="1" customWidth="1"/>
    <col min="10456" max="10456" width="21.5703125" style="1" customWidth="1"/>
    <col min="10457" max="10457" width="13.28515625" style="1" customWidth="1"/>
    <col min="10458" max="10458" width="15.28515625" style="1" customWidth="1"/>
    <col min="10459" max="10459" width="11.85546875" style="1" customWidth="1"/>
    <col min="10460" max="10460" width="14.85546875" style="1" customWidth="1"/>
    <col min="10461" max="10461" width="12.28515625" style="1" customWidth="1"/>
    <col min="10462" max="10704" width="8.85546875" style="1"/>
    <col min="10705" max="10705" width="13.140625" style="1" customWidth="1"/>
    <col min="10706" max="10709" width="8.85546875" style="1"/>
    <col min="10710" max="10710" width="13" style="1" customWidth="1"/>
    <col min="10711" max="10711" width="20" style="1" customWidth="1"/>
    <col min="10712" max="10712" width="21.5703125" style="1" customWidth="1"/>
    <col min="10713" max="10713" width="13.28515625" style="1" customWidth="1"/>
    <col min="10714" max="10714" width="15.28515625" style="1" customWidth="1"/>
    <col min="10715" max="10715" width="11.85546875" style="1" customWidth="1"/>
    <col min="10716" max="10716" width="14.85546875" style="1" customWidth="1"/>
    <col min="10717" max="10717" width="12.28515625" style="1" customWidth="1"/>
    <col min="10718" max="10960" width="8.85546875" style="1"/>
    <col min="10961" max="10961" width="13.140625" style="1" customWidth="1"/>
    <col min="10962" max="10965" width="8.85546875" style="1"/>
    <col min="10966" max="10966" width="13" style="1" customWidth="1"/>
    <col min="10967" max="10967" width="20" style="1" customWidth="1"/>
    <col min="10968" max="10968" width="21.5703125" style="1" customWidth="1"/>
    <col min="10969" max="10969" width="13.28515625" style="1" customWidth="1"/>
    <col min="10970" max="10970" width="15.28515625" style="1" customWidth="1"/>
    <col min="10971" max="10971" width="11.85546875" style="1" customWidth="1"/>
    <col min="10972" max="10972" width="14.85546875" style="1" customWidth="1"/>
    <col min="10973" max="10973" width="12.28515625" style="1" customWidth="1"/>
    <col min="10974" max="11216" width="8.85546875" style="1"/>
    <col min="11217" max="11217" width="13.140625" style="1" customWidth="1"/>
    <col min="11218" max="11221" width="8.85546875" style="1"/>
    <col min="11222" max="11222" width="13" style="1" customWidth="1"/>
    <col min="11223" max="11223" width="20" style="1" customWidth="1"/>
    <col min="11224" max="11224" width="21.5703125" style="1" customWidth="1"/>
    <col min="11225" max="11225" width="13.28515625" style="1" customWidth="1"/>
    <col min="11226" max="11226" width="15.28515625" style="1" customWidth="1"/>
    <col min="11227" max="11227" width="11.85546875" style="1" customWidth="1"/>
    <col min="11228" max="11228" width="14.85546875" style="1" customWidth="1"/>
    <col min="11229" max="11229" width="12.28515625" style="1" customWidth="1"/>
    <col min="11230" max="11472" width="8.85546875" style="1"/>
    <col min="11473" max="11473" width="13.140625" style="1" customWidth="1"/>
    <col min="11474" max="11477" width="8.85546875" style="1"/>
    <col min="11478" max="11478" width="13" style="1" customWidth="1"/>
    <col min="11479" max="11479" width="20" style="1" customWidth="1"/>
    <col min="11480" max="11480" width="21.5703125" style="1" customWidth="1"/>
    <col min="11481" max="11481" width="13.28515625" style="1" customWidth="1"/>
    <col min="11482" max="11482" width="15.28515625" style="1" customWidth="1"/>
    <col min="11483" max="11483" width="11.85546875" style="1" customWidth="1"/>
    <col min="11484" max="11484" width="14.85546875" style="1" customWidth="1"/>
    <col min="11485" max="11485" width="12.28515625" style="1" customWidth="1"/>
    <col min="11486" max="11728" width="8.85546875" style="1"/>
    <col min="11729" max="11729" width="13.140625" style="1" customWidth="1"/>
    <col min="11730" max="11733" width="8.85546875" style="1"/>
    <col min="11734" max="11734" width="13" style="1" customWidth="1"/>
    <col min="11735" max="11735" width="20" style="1" customWidth="1"/>
    <col min="11736" max="11736" width="21.5703125" style="1" customWidth="1"/>
    <col min="11737" max="11737" width="13.28515625" style="1" customWidth="1"/>
    <col min="11738" max="11738" width="15.28515625" style="1" customWidth="1"/>
    <col min="11739" max="11739" width="11.85546875" style="1" customWidth="1"/>
    <col min="11740" max="11740" width="14.85546875" style="1" customWidth="1"/>
    <col min="11741" max="11741" width="12.28515625" style="1" customWidth="1"/>
    <col min="11742" max="11984" width="8.85546875" style="1"/>
    <col min="11985" max="11985" width="13.140625" style="1" customWidth="1"/>
    <col min="11986" max="11989" width="8.85546875" style="1"/>
    <col min="11990" max="11990" width="13" style="1" customWidth="1"/>
    <col min="11991" max="11991" width="20" style="1" customWidth="1"/>
    <col min="11992" max="11992" width="21.5703125" style="1" customWidth="1"/>
    <col min="11993" max="11993" width="13.28515625" style="1" customWidth="1"/>
    <col min="11994" max="11994" width="15.28515625" style="1" customWidth="1"/>
    <col min="11995" max="11995" width="11.85546875" style="1" customWidth="1"/>
    <col min="11996" max="11996" width="14.85546875" style="1" customWidth="1"/>
    <col min="11997" max="11997" width="12.28515625" style="1" customWidth="1"/>
    <col min="11998" max="12240" width="8.85546875" style="1"/>
    <col min="12241" max="12241" width="13.140625" style="1" customWidth="1"/>
    <col min="12242" max="12245" width="8.85546875" style="1"/>
    <col min="12246" max="12246" width="13" style="1" customWidth="1"/>
    <col min="12247" max="12247" width="20" style="1" customWidth="1"/>
    <col min="12248" max="12248" width="21.5703125" style="1" customWidth="1"/>
    <col min="12249" max="12249" width="13.28515625" style="1" customWidth="1"/>
    <col min="12250" max="12250" width="15.28515625" style="1" customWidth="1"/>
    <col min="12251" max="12251" width="11.85546875" style="1" customWidth="1"/>
    <col min="12252" max="12252" width="14.85546875" style="1" customWidth="1"/>
    <col min="12253" max="12253" width="12.28515625" style="1" customWidth="1"/>
    <col min="12254" max="12496" width="8.85546875" style="1"/>
    <col min="12497" max="12497" width="13.140625" style="1" customWidth="1"/>
    <col min="12498" max="12501" width="8.85546875" style="1"/>
    <col min="12502" max="12502" width="13" style="1" customWidth="1"/>
    <col min="12503" max="12503" width="20" style="1" customWidth="1"/>
    <col min="12504" max="12504" width="21.5703125" style="1" customWidth="1"/>
    <col min="12505" max="12505" width="13.28515625" style="1" customWidth="1"/>
    <col min="12506" max="12506" width="15.28515625" style="1" customWidth="1"/>
    <col min="12507" max="12507" width="11.85546875" style="1" customWidth="1"/>
    <col min="12508" max="12508" width="14.85546875" style="1" customWidth="1"/>
    <col min="12509" max="12509" width="12.28515625" style="1" customWidth="1"/>
    <col min="12510" max="12752" width="8.85546875" style="1"/>
    <col min="12753" max="12753" width="13.140625" style="1" customWidth="1"/>
    <col min="12754" max="12757" width="8.85546875" style="1"/>
    <col min="12758" max="12758" width="13" style="1" customWidth="1"/>
    <col min="12759" max="12759" width="20" style="1" customWidth="1"/>
    <col min="12760" max="12760" width="21.5703125" style="1" customWidth="1"/>
    <col min="12761" max="12761" width="13.28515625" style="1" customWidth="1"/>
    <col min="12762" max="12762" width="15.28515625" style="1" customWidth="1"/>
    <col min="12763" max="12763" width="11.85546875" style="1" customWidth="1"/>
    <col min="12764" max="12764" width="14.85546875" style="1" customWidth="1"/>
    <col min="12765" max="12765" width="12.28515625" style="1" customWidth="1"/>
    <col min="12766" max="13008" width="8.85546875" style="1"/>
    <col min="13009" max="13009" width="13.140625" style="1" customWidth="1"/>
    <col min="13010" max="13013" width="8.85546875" style="1"/>
    <col min="13014" max="13014" width="13" style="1" customWidth="1"/>
    <col min="13015" max="13015" width="20" style="1" customWidth="1"/>
    <col min="13016" max="13016" width="21.5703125" style="1" customWidth="1"/>
    <col min="13017" max="13017" width="13.28515625" style="1" customWidth="1"/>
    <col min="13018" max="13018" width="15.28515625" style="1" customWidth="1"/>
    <col min="13019" max="13019" width="11.85546875" style="1" customWidth="1"/>
    <col min="13020" max="13020" width="14.85546875" style="1" customWidth="1"/>
    <col min="13021" max="13021" width="12.28515625" style="1" customWidth="1"/>
    <col min="13022" max="13264" width="8.85546875" style="1"/>
    <col min="13265" max="13265" width="13.140625" style="1" customWidth="1"/>
    <col min="13266" max="13269" width="8.85546875" style="1"/>
    <col min="13270" max="13270" width="13" style="1" customWidth="1"/>
    <col min="13271" max="13271" width="20" style="1" customWidth="1"/>
    <col min="13272" max="13272" width="21.5703125" style="1" customWidth="1"/>
    <col min="13273" max="13273" width="13.28515625" style="1" customWidth="1"/>
    <col min="13274" max="13274" width="15.28515625" style="1" customWidth="1"/>
    <col min="13275" max="13275" width="11.85546875" style="1" customWidth="1"/>
    <col min="13276" max="13276" width="14.85546875" style="1" customWidth="1"/>
    <col min="13277" max="13277" width="12.28515625" style="1" customWidth="1"/>
    <col min="13278" max="13520" width="8.85546875" style="1"/>
    <col min="13521" max="13521" width="13.140625" style="1" customWidth="1"/>
    <col min="13522" max="13525" width="8.85546875" style="1"/>
    <col min="13526" max="13526" width="13" style="1" customWidth="1"/>
    <col min="13527" max="13527" width="20" style="1" customWidth="1"/>
    <col min="13528" max="13528" width="21.5703125" style="1" customWidth="1"/>
    <col min="13529" max="13529" width="13.28515625" style="1" customWidth="1"/>
    <col min="13530" max="13530" width="15.28515625" style="1" customWidth="1"/>
    <col min="13531" max="13531" width="11.85546875" style="1" customWidth="1"/>
    <col min="13532" max="13532" width="14.85546875" style="1" customWidth="1"/>
    <col min="13533" max="13533" width="12.28515625" style="1" customWidth="1"/>
    <col min="13534" max="13776" width="8.85546875" style="1"/>
    <col min="13777" max="13777" width="13.140625" style="1" customWidth="1"/>
    <col min="13778" max="13781" width="8.85546875" style="1"/>
    <col min="13782" max="13782" width="13" style="1" customWidth="1"/>
    <col min="13783" max="13783" width="20" style="1" customWidth="1"/>
    <col min="13784" max="13784" width="21.5703125" style="1" customWidth="1"/>
    <col min="13785" max="13785" width="13.28515625" style="1" customWidth="1"/>
    <col min="13786" max="13786" width="15.28515625" style="1" customWidth="1"/>
    <col min="13787" max="13787" width="11.85546875" style="1" customWidth="1"/>
    <col min="13788" max="13788" width="14.85546875" style="1" customWidth="1"/>
    <col min="13789" max="13789" width="12.28515625" style="1" customWidth="1"/>
    <col min="13790" max="14032" width="8.85546875" style="1"/>
    <col min="14033" max="14033" width="13.140625" style="1" customWidth="1"/>
    <col min="14034" max="14037" width="8.85546875" style="1"/>
    <col min="14038" max="14038" width="13" style="1" customWidth="1"/>
    <col min="14039" max="14039" width="20" style="1" customWidth="1"/>
    <col min="14040" max="14040" width="21.5703125" style="1" customWidth="1"/>
    <col min="14041" max="14041" width="13.28515625" style="1" customWidth="1"/>
    <col min="14042" max="14042" width="15.28515625" style="1" customWidth="1"/>
    <col min="14043" max="14043" width="11.85546875" style="1" customWidth="1"/>
    <col min="14044" max="14044" width="14.85546875" style="1" customWidth="1"/>
    <col min="14045" max="14045" width="12.28515625" style="1" customWidth="1"/>
    <col min="14046" max="14288" width="8.85546875" style="1"/>
    <col min="14289" max="14289" width="13.140625" style="1" customWidth="1"/>
    <col min="14290" max="14293" width="8.85546875" style="1"/>
    <col min="14294" max="14294" width="13" style="1" customWidth="1"/>
    <col min="14295" max="14295" width="20" style="1" customWidth="1"/>
    <col min="14296" max="14296" width="21.5703125" style="1" customWidth="1"/>
    <col min="14297" max="14297" width="13.28515625" style="1" customWidth="1"/>
    <col min="14298" max="14298" width="15.28515625" style="1" customWidth="1"/>
    <col min="14299" max="14299" width="11.85546875" style="1" customWidth="1"/>
    <col min="14300" max="14300" width="14.85546875" style="1" customWidth="1"/>
    <col min="14301" max="14301" width="12.28515625" style="1" customWidth="1"/>
    <col min="14302" max="14544" width="8.85546875" style="1"/>
    <col min="14545" max="14545" width="13.140625" style="1" customWidth="1"/>
    <col min="14546" max="14549" width="8.85546875" style="1"/>
    <col min="14550" max="14550" width="13" style="1" customWidth="1"/>
    <col min="14551" max="14551" width="20" style="1" customWidth="1"/>
    <col min="14552" max="14552" width="21.5703125" style="1" customWidth="1"/>
    <col min="14553" max="14553" width="13.28515625" style="1" customWidth="1"/>
    <col min="14554" max="14554" width="15.28515625" style="1" customWidth="1"/>
    <col min="14555" max="14555" width="11.85546875" style="1" customWidth="1"/>
    <col min="14556" max="14556" width="14.85546875" style="1" customWidth="1"/>
    <col min="14557" max="14557" width="12.28515625" style="1" customWidth="1"/>
    <col min="14558" max="14800" width="8.85546875" style="1"/>
    <col min="14801" max="14801" width="13.140625" style="1" customWidth="1"/>
    <col min="14802" max="14805" width="8.85546875" style="1"/>
    <col min="14806" max="14806" width="13" style="1" customWidth="1"/>
    <col min="14807" max="14807" width="20" style="1" customWidth="1"/>
    <col min="14808" max="14808" width="21.5703125" style="1" customWidth="1"/>
    <col min="14809" max="14809" width="13.28515625" style="1" customWidth="1"/>
    <col min="14810" max="14810" width="15.28515625" style="1" customWidth="1"/>
    <col min="14811" max="14811" width="11.85546875" style="1" customWidth="1"/>
    <col min="14812" max="14812" width="14.85546875" style="1" customWidth="1"/>
    <col min="14813" max="14813" width="12.28515625" style="1" customWidth="1"/>
    <col min="14814" max="15056" width="8.85546875" style="1"/>
    <col min="15057" max="15057" width="13.140625" style="1" customWidth="1"/>
    <col min="15058" max="15061" width="8.85546875" style="1"/>
    <col min="15062" max="15062" width="13" style="1" customWidth="1"/>
    <col min="15063" max="15063" width="20" style="1" customWidth="1"/>
    <col min="15064" max="15064" width="21.5703125" style="1" customWidth="1"/>
    <col min="15065" max="15065" width="13.28515625" style="1" customWidth="1"/>
    <col min="15066" max="15066" width="15.28515625" style="1" customWidth="1"/>
    <col min="15067" max="15067" width="11.85546875" style="1" customWidth="1"/>
    <col min="15068" max="15068" width="14.85546875" style="1" customWidth="1"/>
    <col min="15069" max="15069" width="12.28515625" style="1" customWidth="1"/>
    <col min="15070" max="15312" width="8.85546875" style="1"/>
    <col min="15313" max="15313" width="13.140625" style="1" customWidth="1"/>
    <col min="15314" max="15317" width="8.85546875" style="1"/>
    <col min="15318" max="15318" width="13" style="1" customWidth="1"/>
    <col min="15319" max="15319" width="20" style="1" customWidth="1"/>
    <col min="15320" max="15320" width="21.5703125" style="1" customWidth="1"/>
    <col min="15321" max="15321" width="13.28515625" style="1" customWidth="1"/>
    <col min="15322" max="15322" width="15.28515625" style="1" customWidth="1"/>
    <col min="15323" max="15323" width="11.85546875" style="1" customWidth="1"/>
    <col min="15324" max="15324" width="14.85546875" style="1" customWidth="1"/>
    <col min="15325" max="15325" width="12.28515625" style="1" customWidth="1"/>
    <col min="15326" max="15568" width="8.85546875" style="1"/>
    <col min="15569" max="15569" width="13.140625" style="1" customWidth="1"/>
    <col min="15570" max="15573" width="8.85546875" style="1"/>
    <col min="15574" max="15574" width="13" style="1" customWidth="1"/>
    <col min="15575" max="15575" width="20" style="1" customWidth="1"/>
    <col min="15576" max="15576" width="21.5703125" style="1" customWidth="1"/>
    <col min="15577" max="15577" width="13.28515625" style="1" customWidth="1"/>
    <col min="15578" max="15578" width="15.28515625" style="1" customWidth="1"/>
    <col min="15579" max="15579" width="11.85546875" style="1" customWidth="1"/>
    <col min="15580" max="15580" width="14.85546875" style="1" customWidth="1"/>
    <col min="15581" max="15581" width="12.28515625" style="1" customWidth="1"/>
    <col min="15582" max="15824" width="8.85546875" style="1"/>
    <col min="15825" max="15825" width="13.140625" style="1" customWidth="1"/>
    <col min="15826" max="15829" width="8.85546875" style="1"/>
    <col min="15830" max="15830" width="13" style="1" customWidth="1"/>
    <col min="15831" max="15831" width="20" style="1" customWidth="1"/>
    <col min="15832" max="15832" width="21.5703125" style="1" customWidth="1"/>
    <col min="15833" max="15833" width="13.28515625" style="1" customWidth="1"/>
    <col min="15834" max="15834" width="15.28515625" style="1" customWidth="1"/>
    <col min="15835" max="15835" width="11.85546875" style="1" customWidth="1"/>
    <col min="15836" max="15836" width="14.85546875" style="1" customWidth="1"/>
    <col min="15837" max="15837" width="12.28515625" style="1" customWidth="1"/>
    <col min="15838" max="16080" width="8.85546875" style="1"/>
    <col min="16081" max="16081" width="13.140625" style="1" customWidth="1"/>
    <col min="16082" max="16085" width="8.85546875" style="1"/>
    <col min="16086" max="16086" width="13" style="1" customWidth="1"/>
    <col min="16087" max="16087" width="20" style="1" customWidth="1"/>
    <col min="16088" max="16088" width="21.5703125" style="1" customWidth="1"/>
    <col min="16089" max="16089" width="13.28515625" style="1" customWidth="1"/>
    <col min="16090" max="16090" width="15.28515625" style="1" customWidth="1"/>
    <col min="16091" max="16091" width="11.85546875" style="1" customWidth="1"/>
    <col min="16092" max="16092" width="14.85546875" style="1" customWidth="1"/>
    <col min="16093" max="16093" width="12.28515625" style="1" customWidth="1"/>
    <col min="16094" max="16348" width="8.85546875" style="1"/>
    <col min="16349" max="16384" width="9.140625" style="1" customWidth="1"/>
  </cols>
  <sheetData>
    <row r="1" spans="2:16" ht="13.5" customHeight="1">
      <c r="B1" s="14" t="s">
        <v>0</v>
      </c>
      <c r="J1" s="58">
        <v>46053</v>
      </c>
      <c r="K1" s="16"/>
    </row>
    <row r="2" spans="2:16" ht="13.5" customHeight="1">
      <c r="H2" s="17"/>
      <c r="I2" s="13"/>
      <c r="J2" s="13"/>
      <c r="K2" s="13"/>
      <c r="L2" s="13"/>
      <c r="M2" s="17"/>
    </row>
    <row r="3" spans="2:16" ht="13.15" customHeight="1">
      <c r="B3" s="18" t="s">
        <v>1</v>
      </c>
      <c r="E3" s="19"/>
      <c r="F3" s="19"/>
      <c r="G3" s="19"/>
      <c r="H3" s="28"/>
      <c r="I3" s="348" t="s">
        <v>2</v>
      </c>
      <c r="J3" s="348"/>
      <c r="K3" s="348"/>
      <c r="L3" s="348"/>
      <c r="M3" s="19"/>
    </row>
    <row r="4" spans="2:16" ht="13.5" customHeight="1">
      <c r="B4" s="18"/>
      <c r="E4" s="19"/>
      <c r="F4" s="19"/>
      <c r="G4" s="19"/>
      <c r="H4" s="64"/>
      <c r="I4" s="19"/>
      <c r="J4" s="19"/>
      <c r="K4" s="19"/>
      <c r="L4" s="19"/>
      <c r="M4" s="19"/>
    </row>
    <row r="5" spans="2:16" s="20" customFormat="1" ht="27.75" customHeight="1">
      <c r="B5" s="349" t="s">
        <v>3</v>
      </c>
      <c r="C5" s="349" t="s">
        <v>4</v>
      </c>
      <c r="D5" s="351" t="s">
        <v>5</v>
      </c>
      <c r="E5" s="352"/>
      <c r="F5" s="352"/>
      <c r="G5" s="352"/>
      <c r="H5" s="353"/>
      <c r="I5" s="354" t="s">
        <v>6</v>
      </c>
      <c r="J5" s="355"/>
      <c r="K5" s="355"/>
      <c r="L5" s="356"/>
      <c r="M5" s="332" t="s">
        <v>7</v>
      </c>
    </row>
    <row r="6" spans="2:16" s="21" customFormat="1" ht="64.5" customHeight="1">
      <c r="B6" s="350"/>
      <c r="C6" s="350"/>
      <c r="D6" s="4" t="s">
        <v>8</v>
      </c>
      <c r="E6" s="4" t="s">
        <v>9</v>
      </c>
      <c r="F6" s="4" t="s">
        <v>10</v>
      </c>
      <c r="G6" s="4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33"/>
    </row>
    <row r="7" spans="2:16">
      <c r="B7" s="8"/>
      <c r="C7" s="8"/>
      <c r="D7" s="174"/>
      <c r="E7" s="36"/>
      <c r="F7" s="36"/>
      <c r="G7" s="36"/>
      <c r="H7" s="37"/>
      <c r="I7" s="36"/>
      <c r="J7" s="36"/>
      <c r="K7" s="36"/>
      <c r="L7" s="38"/>
      <c r="M7" s="38"/>
    </row>
    <row r="8" spans="2:16">
      <c r="B8" s="160"/>
      <c r="C8" s="161" t="s">
        <v>17</v>
      </c>
      <c r="D8" s="162"/>
      <c r="E8" s="163"/>
      <c r="F8" s="163"/>
      <c r="G8" s="163"/>
      <c r="H8" s="164"/>
      <c r="I8" s="163"/>
      <c r="J8" s="163"/>
      <c r="K8" s="163"/>
      <c r="L8" s="165"/>
      <c r="M8" s="166"/>
    </row>
    <row r="9" spans="2:16">
      <c r="B9" s="167">
        <v>1</v>
      </c>
      <c r="C9" s="8" t="s">
        <v>18</v>
      </c>
      <c r="D9" s="9">
        <v>45261</v>
      </c>
      <c r="E9" s="23">
        <v>344855</v>
      </c>
      <c r="F9" s="36"/>
      <c r="G9" s="23"/>
      <c r="H9" s="29">
        <f>+E9+F9-G9</f>
        <v>344855</v>
      </c>
      <c r="I9" s="23">
        <f>'[1]Depreciation (Non vehicle) Dec'!$L$9</f>
        <v>239482.33333333331</v>
      </c>
      <c r="J9" s="23">
        <f>((H9/3)*1/12)</f>
        <v>9579.3055555555566</v>
      </c>
      <c r="K9" s="23">
        <v>0</v>
      </c>
      <c r="L9" s="24">
        <f>+I9+J9-K9</f>
        <v>249061.63888888888</v>
      </c>
      <c r="M9" s="168">
        <f>H9-L9</f>
        <v>95793.361111111124</v>
      </c>
    </row>
    <row r="10" spans="2:16">
      <c r="B10" s="167">
        <v>2</v>
      </c>
      <c r="C10" s="8" t="s">
        <v>19</v>
      </c>
      <c r="D10" s="9">
        <v>45373</v>
      </c>
      <c r="E10" s="155">
        <v>20000</v>
      </c>
      <c r="F10" s="154"/>
      <c r="G10" s="157"/>
      <c r="H10" s="29">
        <f>+E10-G10</f>
        <v>20000</v>
      </c>
      <c r="I10" s="23">
        <f>'[1]Depreciation (Non vehicle) Dec'!$L$10</f>
        <v>11666.66666666667</v>
      </c>
      <c r="J10" s="23">
        <f>((H10/3)*1/12)</f>
        <v>555.55555555555554</v>
      </c>
      <c r="K10" s="23">
        <v>0</v>
      </c>
      <c r="L10" s="24">
        <f t="shared" ref="L10:L14" si="0">+I10+J10-K10</f>
        <v>12222.222222222224</v>
      </c>
      <c r="M10" s="168">
        <f t="shared" ref="M10:M14" si="1">H10-L10</f>
        <v>7777.7777777777756</v>
      </c>
    </row>
    <row r="11" spans="2:16">
      <c r="B11" s="167">
        <v>3</v>
      </c>
      <c r="C11" s="8" t="s">
        <v>20</v>
      </c>
      <c r="D11" s="9">
        <v>45426</v>
      </c>
      <c r="E11" s="155">
        <v>7500</v>
      </c>
      <c r="F11" s="154"/>
      <c r="G11" s="157"/>
      <c r="H11" s="29">
        <f t="shared" ref="H11:H12" si="2">+E11-G11</f>
        <v>7500</v>
      </c>
      <c r="I11" s="23">
        <f>'[1]Depreciation (Non vehicle) Dec'!$L$11</f>
        <v>3958.333333333333</v>
      </c>
      <c r="J11" s="23">
        <f>((H11/3)*1/12)</f>
        <v>208.33333333333334</v>
      </c>
      <c r="K11" s="23">
        <v>0</v>
      </c>
      <c r="L11" s="24">
        <f t="shared" si="0"/>
        <v>4166.6666666666661</v>
      </c>
      <c r="M11" s="168">
        <f t="shared" si="1"/>
        <v>3333.3333333333339</v>
      </c>
    </row>
    <row r="12" spans="2:16">
      <c r="B12" s="167">
        <v>4</v>
      </c>
      <c r="C12" s="8" t="s">
        <v>21</v>
      </c>
      <c r="D12" s="9">
        <v>45581</v>
      </c>
      <c r="E12" s="156">
        <v>5891</v>
      </c>
      <c r="F12" s="154"/>
      <c r="G12" s="158"/>
      <c r="H12" s="29">
        <f t="shared" si="2"/>
        <v>5891</v>
      </c>
      <c r="I12" s="25">
        <f>'[1]Depreciation (Non vehicle) Dec'!$L$12</f>
        <v>2290.9444444444439</v>
      </c>
      <c r="J12" s="23">
        <f>((H12/3)*1/12)</f>
        <v>163.63888888888889</v>
      </c>
      <c r="K12" s="25">
        <v>0</v>
      </c>
      <c r="L12" s="24">
        <f t="shared" si="0"/>
        <v>2454.5833333333326</v>
      </c>
      <c r="M12" s="168">
        <f t="shared" si="1"/>
        <v>3436.4166666666674</v>
      </c>
    </row>
    <row r="13" spans="2:16">
      <c r="B13" s="167">
        <v>5</v>
      </c>
      <c r="C13" s="8" t="s">
        <v>22</v>
      </c>
      <c r="D13" s="9">
        <v>45646</v>
      </c>
      <c r="E13" s="275">
        <v>7500</v>
      </c>
      <c r="F13" s="276"/>
      <c r="G13" s="277"/>
      <c r="H13" s="29">
        <f>+E13-G13</f>
        <v>7500</v>
      </c>
      <c r="I13" s="25">
        <f>'[1]Depreciation (Non vehicle) Dec'!$L$13</f>
        <v>2500</v>
      </c>
      <c r="J13" s="23">
        <f>((H13/3)*1/12)</f>
        <v>208.33333333333334</v>
      </c>
      <c r="K13" s="25">
        <v>0</v>
      </c>
      <c r="L13" s="24">
        <f t="shared" si="0"/>
        <v>2708.3333333333335</v>
      </c>
      <c r="M13" s="168">
        <f t="shared" si="1"/>
        <v>4791.6666666666661</v>
      </c>
    </row>
    <row r="14" spans="2:16">
      <c r="B14" s="167">
        <v>6</v>
      </c>
      <c r="C14" s="8" t="s">
        <v>23</v>
      </c>
      <c r="D14" s="274">
        <v>45699</v>
      </c>
      <c r="E14" s="88">
        <v>3407</v>
      </c>
      <c r="F14" s="154"/>
      <c r="G14" s="88"/>
      <c r="H14" s="29">
        <f>+E14-G14</f>
        <v>3407</v>
      </c>
      <c r="I14" s="25">
        <f>'[1]Depreciation (Non vehicle) Dec'!$L$14</f>
        <v>946.38888888888903</v>
      </c>
      <c r="J14" s="23">
        <f>((H14/3)*1/12)</f>
        <v>94.6388888888889</v>
      </c>
      <c r="K14" s="25"/>
      <c r="L14" s="24">
        <f t="shared" si="0"/>
        <v>1041.0277777777778</v>
      </c>
      <c r="M14" s="168">
        <f t="shared" si="1"/>
        <v>2365.9722222222222</v>
      </c>
    </row>
    <row r="15" spans="2:16">
      <c r="B15" s="170"/>
      <c r="C15" s="295" t="s">
        <v>24</v>
      </c>
      <c r="D15" s="296" t="s">
        <v>25</v>
      </c>
      <c r="E15" s="171">
        <f t="shared" ref="E15:I15" si="3">SUM(E9:E14)</f>
        <v>389153</v>
      </c>
      <c r="F15" s="171">
        <f t="shared" si="3"/>
        <v>0</v>
      </c>
      <c r="G15" s="171">
        <f t="shared" si="3"/>
        <v>0</v>
      </c>
      <c r="H15" s="171">
        <f>SUM(H9:H14)</f>
        <v>389153</v>
      </c>
      <c r="I15" s="171">
        <f t="shared" si="3"/>
        <v>260844.66666666663</v>
      </c>
      <c r="J15" s="171">
        <f>SUM(J9:J14)</f>
        <v>10809.805555555557</v>
      </c>
      <c r="K15" s="171">
        <f t="shared" ref="K15:L15" si="4">SUM(K9:K14)</f>
        <v>0</v>
      </c>
      <c r="L15" s="297">
        <f t="shared" si="4"/>
        <v>271654.47222222213</v>
      </c>
      <c r="M15" s="298">
        <f>SUM(M9:M14)</f>
        <v>117498.5277777778</v>
      </c>
      <c r="P15" s="300"/>
    </row>
    <row r="16" spans="2:16">
      <c r="B16" s="299"/>
      <c r="C16" s="176"/>
      <c r="D16" s="177"/>
      <c r="E16" s="25"/>
      <c r="F16" s="25"/>
      <c r="G16" s="25"/>
      <c r="H16" s="30"/>
      <c r="I16" s="25"/>
      <c r="J16" s="25"/>
      <c r="K16" s="25"/>
      <c r="L16" s="26"/>
      <c r="M16" s="186"/>
    </row>
    <row r="17" spans="2:16">
      <c r="B17" s="167"/>
      <c r="C17" s="34" t="s">
        <v>26</v>
      </c>
      <c r="D17" s="9"/>
      <c r="E17" s="23"/>
      <c r="F17" s="23"/>
      <c r="G17" s="23"/>
      <c r="H17" s="29"/>
      <c r="I17" s="23"/>
      <c r="J17" s="23"/>
      <c r="K17" s="23"/>
      <c r="L17" s="24"/>
      <c r="M17" s="169"/>
    </row>
    <row r="18" spans="2:16">
      <c r="B18" s="167">
        <v>1</v>
      </c>
      <c r="C18" s="6" t="s">
        <v>27</v>
      </c>
      <c r="D18" s="9">
        <v>45292</v>
      </c>
      <c r="E18" s="23">
        <v>752267.99</v>
      </c>
      <c r="F18" s="23"/>
      <c r="G18" s="23"/>
      <c r="H18" s="29">
        <f t="shared" ref="H18" si="5">+E18+F18-G18</f>
        <v>752267.99</v>
      </c>
      <c r="I18" s="159">
        <f>'[1]Depreciation (Non vehicle) Dec'!$L$18</f>
        <v>543304.66333333333</v>
      </c>
      <c r="J18" s="23">
        <f>(H18/3)*1/12</f>
        <v>20896.333055555555</v>
      </c>
      <c r="K18" s="23"/>
      <c r="L18" s="33">
        <f t="shared" ref="L18" si="6">+I18+J18-K18</f>
        <v>564200.99638888892</v>
      </c>
      <c r="M18" s="168">
        <f>H18-L18</f>
        <v>188066.99361111107</v>
      </c>
      <c r="P18" s="300"/>
    </row>
    <row r="19" spans="2:16">
      <c r="B19" s="167"/>
      <c r="C19" s="6"/>
      <c r="D19" s="9"/>
      <c r="E19" s="23"/>
      <c r="F19" s="23"/>
      <c r="G19" s="23"/>
      <c r="H19" s="29"/>
      <c r="I19" s="23"/>
      <c r="J19" s="23"/>
      <c r="K19" s="23"/>
      <c r="L19" s="24"/>
      <c r="M19" s="169"/>
    </row>
    <row r="20" spans="2:16">
      <c r="B20" s="170"/>
      <c r="C20" s="295" t="s">
        <v>28</v>
      </c>
      <c r="D20" s="296" t="s">
        <v>25</v>
      </c>
      <c r="E20" s="171">
        <f>SUM(E18:E19)</f>
        <v>752267.99</v>
      </c>
      <c r="F20" s="171">
        <f t="shared" ref="F20:L20" si="7">SUM(F18:F19)</f>
        <v>0</v>
      </c>
      <c r="G20" s="171">
        <f t="shared" si="7"/>
        <v>0</v>
      </c>
      <c r="H20" s="171">
        <f t="shared" si="7"/>
        <v>752267.99</v>
      </c>
      <c r="I20" s="172">
        <f t="shared" si="7"/>
        <v>543304.66333333333</v>
      </c>
      <c r="J20" s="171">
        <f t="shared" si="7"/>
        <v>20896.333055555555</v>
      </c>
      <c r="K20" s="171">
        <f t="shared" si="7"/>
        <v>0</v>
      </c>
      <c r="L20" s="171">
        <f t="shared" si="7"/>
        <v>564200.99638888892</v>
      </c>
      <c r="M20" s="173">
        <f>SUM(M18:M19)</f>
        <v>188066.99361111107</v>
      </c>
    </row>
    <row r="21" spans="2:16" ht="13.5" thickBot="1">
      <c r="B21" s="176"/>
      <c r="C21" s="176"/>
      <c r="D21" s="184"/>
      <c r="E21" s="55"/>
      <c r="F21" s="55"/>
      <c r="G21" s="55"/>
      <c r="H21" s="56"/>
      <c r="I21" s="55"/>
      <c r="J21" s="55"/>
      <c r="K21" s="55"/>
      <c r="L21" s="57"/>
      <c r="M21" s="57"/>
    </row>
    <row r="22" spans="2:16">
      <c r="B22" s="160"/>
      <c r="C22" s="178" t="s">
        <v>29</v>
      </c>
      <c r="D22" s="162"/>
      <c r="E22" s="163"/>
      <c r="F22" s="163"/>
      <c r="G22" s="163"/>
      <c r="H22" s="164"/>
      <c r="I22" s="163"/>
      <c r="J22" s="163"/>
      <c r="K22" s="163"/>
      <c r="L22" s="165"/>
      <c r="M22" s="166"/>
    </row>
    <row r="23" spans="2:16">
      <c r="B23" s="167">
        <v>1</v>
      </c>
      <c r="C23" s="52" t="s">
        <v>30</v>
      </c>
      <c r="D23" s="9">
        <v>44269</v>
      </c>
      <c r="E23" s="36">
        <v>2474.29</v>
      </c>
      <c r="F23" s="36"/>
      <c r="G23" s="36">
        <v>0</v>
      </c>
      <c r="H23" s="37">
        <f t="shared" ref="H23:H33" si="8">+E23+F23-G23</f>
        <v>2474.29</v>
      </c>
      <c r="I23" s="36">
        <f>'[1]Depreciation (Non vehicle) Dec'!$L$23</f>
        <v>2376.7159999999999</v>
      </c>
      <c r="J23" s="36">
        <f>((E23*20%)/12)*1</f>
        <v>41.238166666666665</v>
      </c>
      <c r="K23" s="36">
        <v>0</v>
      </c>
      <c r="L23" s="38">
        <f>+I23+J23-K23</f>
        <v>2417.9541666666664</v>
      </c>
      <c r="M23" s="168">
        <f>H23-L23</f>
        <v>56.335833333333539</v>
      </c>
      <c r="P23" s="300"/>
    </row>
    <row r="24" spans="2:16">
      <c r="B24" s="167"/>
      <c r="C24" s="6"/>
      <c r="D24" s="9"/>
      <c r="E24" s="35">
        <f>SUM(E22:E23)</f>
        <v>2474.29</v>
      </c>
      <c r="F24" s="35">
        <f t="shared" ref="F24:L24" si="9">SUM(F22:F23)</f>
        <v>0</v>
      </c>
      <c r="G24" s="35">
        <f t="shared" si="9"/>
        <v>0</v>
      </c>
      <c r="H24" s="35">
        <f t="shared" si="9"/>
        <v>2474.29</v>
      </c>
      <c r="I24" s="35">
        <f t="shared" si="9"/>
        <v>2376.7159999999999</v>
      </c>
      <c r="J24" s="35">
        <f t="shared" si="9"/>
        <v>41.238166666666665</v>
      </c>
      <c r="K24" s="35">
        <f t="shared" si="9"/>
        <v>0</v>
      </c>
      <c r="L24" s="35">
        <f t="shared" si="9"/>
        <v>2417.9541666666664</v>
      </c>
      <c r="M24" s="179">
        <f>SUM(M22:M23)</f>
        <v>56.335833333333539</v>
      </c>
    </row>
    <row r="25" spans="2:16">
      <c r="B25" s="167"/>
      <c r="C25" s="53" t="s">
        <v>31</v>
      </c>
      <c r="D25" s="9"/>
      <c r="E25" s="55"/>
      <c r="F25" s="55"/>
      <c r="G25" s="55"/>
      <c r="H25" s="56"/>
      <c r="I25" s="55"/>
      <c r="J25" s="55"/>
      <c r="K25" s="55"/>
      <c r="L25" s="57"/>
      <c r="M25" s="180"/>
    </row>
    <row r="26" spans="2:16">
      <c r="B26" s="167">
        <v>2</v>
      </c>
      <c r="C26" s="47" t="s">
        <v>32</v>
      </c>
      <c r="D26" s="9">
        <v>45159</v>
      </c>
      <c r="E26" s="36">
        <v>1890</v>
      </c>
      <c r="F26" s="36"/>
      <c r="G26" s="36">
        <v>0</v>
      </c>
      <c r="H26" s="37">
        <f t="shared" si="8"/>
        <v>1890</v>
      </c>
      <c r="I26" s="36">
        <f>'[1]Depreciation (Non vehicle) Dec'!$L$26</f>
        <v>882</v>
      </c>
      <c r="J26" s="36">
        <f>((E26*20%)/12)*1</f>
        <v>31.5</v>
      </c>
      <c r="K26" s="36">
        <v>0</v>
      </c>
      <c r="L26" s="38">
        <f>+I26+J26-K26</f>
        <v>913.5</v>
      </c>
      <c r="M26" s="168">
        <f>H26-L26</f>
        <v>976.5</v>
      </c>
    </row>
    <row r="27" spans="2:16" ht="128.25" customHeight="1">
      <c r="B27" s="181">
        <v>3</v>
      </c>
      <c r="C27" s="54" t="s">
        <v>33</v>
      </c>
      <c r="D27" s="9">
        <v>45252</v>
      </c>
      <c r="E27" s="23">
        <v>60961</v>
      </c>
      <c r="F27" s="23"/>
      <c r="G27" s="23"/>
      <c r="H27" s="29">
        <f t="shared" si="8"/>
        <v>60961</v>
      </c>
      <c r="I27" s="23">
        <f>'[1]Depreciation (Non vehicle) Dec'!$L$27</f>
        <v>25400.400000000001</v>
      </c>
      <c r="J27" s="36">
        <f t="shared" ref="J27:J33" si="10">((E27*20%)/12)*1</f>
        <v>1016.0166666666668</v>
      </c>
      <c r="K27" s="23">
        <v>0</v>
      </c>
      <c r="L27" s="38">
        <f>+I27+J27-K27</f>
        <v>26416.416666666668</v>
      </c>
      <c r="M27" s="168">
        <f t="shared" ref="M27:M33" si="11">H27-L27</f>
        <v>34544.583333333328</v>
      </c>
    </row>
    <row r="28" spans="2:16" ht="49.5" customHeight="1">
      <c r="B28" s="181">
        <v>4</v>
      </c>
      <c r="C28" s="54" t="s">
        <v>34</v>
      </c>
      <c r="D28" s="9">
        <v>45255</v>
      </c>
      <c r="E28" s="23">
        <v>2780</v>
      </c>
      <c r="F28" s="23"/>
      <c r="G28" s="23"/>
      <c r="H28" s="29">
        <f t="shared" si="8"/>
        <v>2780</v>
      </c>
      <c r="I28" s="23">
        <f>'[1]Depreciation (Non vehicle) Dec'!$L$28</f>
        <v>1158</v>
      </c>
      <c r="J28" s="36">
        <f t="shared" si="10"/>
        <v>46.333333333333336</v>
      </c>
      <c r="K28" s="23">
        <v>0</v>
      </c>
      <c r="L28" s="38">
        <f t="shared" ref="L28:L33" si="12">+I28+J28-K28</f>
        <v>1204.3333333333333</v>
      </c>
      <c r="M28" s="168">
        <f t="shared" si="11"/>
        <v>1575.6666666666667</v>
      </c>
    </row>
    <row r="29" spans="2:16" ht="49.5" customHeight="1">
      <c r="B29" s="181">
        <v>5</v>
      </c>
      <c r="C29" s="54" t="s">
        <v>35</v>
      </c>
      <c r="D29" s="9">
        <v>45296</v>
      </c>
      <c r="E29" s="23">
        <v>7878.1</v>
      </c>
      <c r="F29" s="23"/>
      <c r="G29" s="23"/>
      <c r="H29" s="29">
        <f t="shared" si="8"/>
        <v>7878.1</v>
      </c>
      <c r="I29" s="23">
        <f>'[1]Depreciation (Non vehicle) Dec'!$L$29</f>
        <v>3019.938333333333</v>
      </c>
      <c r="J29" s="36">
        <f t="shared" si="10"/>
        <v>131.30166666666668</v>
      </c>
      <c r="K29" s="23"/>
      <c r="L29" s="38">
        <f t="shared" si="12"/>
        <v>3151.24</v>
      </c>
      <c r="M29" s="168">
        <f t="shared" si="11"/>
        <v>4726.8600000000006</v>
      </c>
    </row>
    <row r="30" spans="2:16" ht="33.75" customHeight="1">
      <c r="B30" s="181">
        <v>6</v>
      </c>
      <c r="C30" s="54" t="s">
        <v>36</v>
      </c>
      <c r="D30" s="9">
        <v>45301</v>
      </c>
      <c r="E30" s="23">
        <v>2900</v>
      </c>
      <c r="F30" s="23"/>
      <c r="G30" s="23"/>
      <c r="H30" s="29">
        <f t="shared" si="8"/>
        <v>2900</v>
      </c>
      <c r="I30" s="23">
        <f>'[1]Depreciation (Non vehicle) Dec'!$L$30</f>
        <v>1111.666666666667</v>
      </c>
      <c r="J30" s="36">
        <f t="shared" si="10"/>
        <v>48.333333333333336</v>
      </c>
      <c r="K30" s="23"/>
      <c r="L30" s="38">
        <f t="shared" si="12"/>
        <v>1160.0000000000002</v>
      </c>
      <c r="M30" s="168">
        <f t="shared" si="11"/>
        <v>1739.9999999999998</v>
      </c>
    </row>
    <row r="31" spans="2:16" ht="33.75" customHeight="1">
      <c r="B31" s="181">
        <v>7</v>
      </c>
      <c r="C31" s="54" t="s">
        <v>37</v>
      </c>
      <c r="D31" s="9">
        <v>45351</v>
      </c>
      <c r="E31" s="23">
        <v>1990</v>
      </c>
      <c r="F31" s="23"/>
      <c r="G31" s="23"/>
      <c r="H31" s="29">
        <v>1900</v>
      </c>
      <c r="I31" s="23">
        <f>'[1]Depreciation (Non vehicle) Dec'!$L$31</f>
        <v>729.66666666666663</v>
      </c>
      <c r="J31" s="36">
        <f t="shared" si="10"/>
        <v>33.166666666666664</v>
      </c>
      <c r="K31" s="23"/>
      <c r="L31" s="38">
        <f t="shared" si="12"/>
        <v>762.83333333333326</v>
      </c>
      <c r="M31" s="168">
        <f t="shared" si="11"/>
        <v>1137.1666666666667</v>
      </c>
    </row>
    <row r="32" spans="2:16" ht="33.75" customHeight="1">
      <c r="B32" s="181">
        <v>8</v>
      </c>
      <c r="C32" s="54" t="s">
        <v>38</v>
      </c>
      <c r="D32" s="9">
        <v>45351</v>
      </c>
      <c r="E32" s="23">
        <v>710</v>
      </c>
      <c r="F32" s="23"/>
      <c r="G32" s="23"/>
      <c r="H32" s="29">
        <f t="shared" si="8"/>
        <v>710</v>
      </c>
      <c r="I32" s="23">
        <f>'[1]Depreciation (Non vehicle) Dec'!$L$32</f>
        <v>260.33333333333343</v>
      </c>
      <c r="J32" s="36">
        <f t="shared" si="10"/>
        <v>11.833333333333334</v>
      </c>
      <c r="K32" s="23"/>
      <c r="L32" s="38">
        <f t="shared" si="12"/>
        <v>272.16666666666674</v>
      </c>
      <c r="M32" s="168">
        <f t="shared" si="11"/>
        <v>437.83333333333326</v>
      </c>
    </row>
    <row r="33" spans="2:16" ht="33.75" customHeight="1">
      <c r="B33" s="181">
        <v>9</v>
      </c>
      <c r="C33" s="54" t="s">
        <v>39</v>
      </c>
      <c r="D33" s="9">
        <v>45328</v>
      </c>
      <c r="E33" s="23">
        <v>714</v>
      </c>
      <c r="F33" s="23"/>
      <c r="G33" s="23"/>
      <c r="H33" s="29">
        <f t="shared" si="8"/>
        <v>714</v>
      </c>
      <c r="I33" s="23">
        <f>'[1]Depreciation (Non vehicle) Dec'!$L$33</f>
        <v>261.8</v>
      </c>
      <c r="J33" s="36">
        <f t="shared" si="10"/>
        <v>11.9</v>
      </c>
      <c r="K33" s="23"/>
      <c r="L33" s="38">
        <f t="shared" si="12"/>
        <v>273.7</v>
      </c>
      <c r="M33" s="168">
        <f t="shared" si="11"/>
        <v>440.3</v>
      </c>
    </row>
    <row r="34" spans="2:16">
      <c r="B34" s="167"/>
      <c r="C34" s="6"/>
      <c r="D34" s="9"/>
      <c r="E34" s="35">
        <f>SUM(E26:E33)</f>
        <v>79823.100000000006</v>
      </c>
      <c r="F34" s="35">
        <f t="shared" ref="F34:K34" si="13">SUM(F26:F33)</f>
        <v>0</v>
      </c>
      <c r="G34" s="35">
        <f t="shared" si="13"/>
        <v>0</v>
      </c>
      <c r="H34" s="35">
        <f>SUM(H26:H33)</f>
        <v>79733.100000000006</v>
      </c>
      <c r="I34" s="35">
        <f t="shared" si="13"/>
        <v>32823.805</v>
      </c>
      <c r="J34" s="35">
        <f>SUM(J26:J33)</f>
        <v>1330.3850000000002</v>
      </c>
      <c r="K34" s="35">
        <f t="shared" si="13"/>
        <v>0</v>
      </c>
      <c r="L34" s="35">
        <f>SUM(L26:L33)</f>
        <v>34154.189999999995</v>
      </c>
      <c r="M34" s="179">
        <f>SUM(M26:M33)</f>
        <v>45578.909999999996</v>
      </c>
    </row>
    <row r="35" spans="2:16">
      <c r="B35" s="167"/>
      <c r="C35" s="6"/>
      <c r="D35" s="9"/>
      <c r="E35" s="23"/>
      <c r="F35" s="23"/>
      <c r="G35" s="23"/>
      <c r="H35" s="29"/>
      <c r="I35" s="23"/>
      <c r="J35" s="23"/>
      <c r="K35" s="23"/>
      <c r="L35" s="24"/>
      <c r="M35" s="169"/>
    </row>
    <row r="36" spans="2:16">
      <c r="B36" s="170"/>
      <c r="C36" s="295" t="s">
        <v>40</v>
      </c>
      <c r="D36" s="296" t="s">
        <v>25</v>
      </c>
      <c r="E36" s="182">
        <f>+E24+E34</f>
        <v>82297.39</v>
      </c>
      <c r="F36" s="182">
        <f t="shared" ref="F36:I36" si="14">+F24+F34</f>
        <v>0</v>
      </c>
      <c r="G36" s="182">
        <f t="shared" si="14"/>
        <v>0</v>
      </c>
      <c r="H36" s="182">
        <f t="shared" si="14"/>
        <v>82207.39</v>
      </c>
      <c r="I36" s="182">
        <f t="shared" si="14"/>
        <v>35200.521000000001</v>
      </c>
      <c r="J36" s="182">
        <f>+J24+J34</f>
        <v>1371.623166666667</v>
      </c>
      <c r="K36" s="182">
        <f t="shared" ref="K36" si="15">+K24+K34</f>
        <v>0</v>
      </c>
      <c r="L36" s="183">
        <f>+L24+L34</f>
        <v>36572.144166666665</v>
      </c>
      <c r="M36" s="183">
        <f>+M24+M34</f>
        <v>45635.245833333327</v>
      </c>
      <c r="P36" s="300"/>
    </row>
    <row r="37" spans="2:16">
      <c r="B37" s="175"/>
      <c r="C37" s="175"/>
      <c r="D37" s="177"/>
      <c r="E37" s="25"/>
      <c r="F37" s="25"/>
      <c r="G37" s="25"/>
      <c r="H37" s="30"/>
      <c r="I37" s="25"/>
      <c r="J37" s="25"/>
      <c r="K37" s="25"/>
      <c r="L37" s="26"/>
      <c r="M37" s="26"/>
    </row>
    <row r="38" spans="2:16" ht="13.5" thickBot="1">
      <c r="B38" s="8"/>
      <c r="C38" s="8"/>
      <c r="D38" s="174"/>
      <c r="E38" s="36"/>
      <c r="F38" s="36"/>
      <c r="G38" s="36"/>
      <c r="H38" s="37"/>
      <c r="I38" s="36"/>
      <c r="J38" s="36"/>
      <c r="K38" s="36"/>
      <c r="L38" s="38"/>
      <c r="M38" s="38"/>
    </row>
    <row r="39" spans="2:16">
      <c r="B39" s="160"/>
      <c r="C39" s="185" t="s">
        <v>41</v>
      </c>
      <c r="D39" s="162"/>
      <c r="E39" s="163"/>
      <c r="F39" s="163"/>
      <c r="G39" s="163"/>
      <c r="H39" s="164"/>
      <c r="I39" s="163"/>
      <c r="J39" s="163"/>
      <c r="K39" s="163"/>
      <c r="L39" s="165"/>
      <c r="M39" s="166"/>
    </row>
    <row r="40" spans="2:16">
      <c r="B40" s="167"/>
      <c r="C40" s="51" t="s">
        <v>42</v>
      </c>
      <c r="D40" s="9"/>
      <c r="E40" s="23"/>
      <c r="F40" s="23"/>
      <c r="G40" s="23"/>
      <c r="H40" s="29"/>
      <c r="I40" s="23"/>
      <c r="J40" s="23"/>
      <c r="K40" s="23"/>
      <c r="L40" s="24"/>
      <c r="M40" s="169"/>
    </row>
    <row r="41" spans="2:16">
      <c r="B41" s="167">
        <v>1</v>
      </c>
      <c r="C41" s="52" t="s">
        <v>43</v>
      </c>
      <c r="D41" s="32" t="s">
        <v>44</v>
      </c>
      <c r="E41" s="23">
        <v>914</v>
      </c>
      <c r="F41" s="23"/>
      <c r="G41" s="23"/>
      <c r="H41" s="33">
        <f>+E41+F41-G41</f>
        <v>914</v>
      </c>
      <c r="I41" s="23">
        <f>'[1]Depreciation (Non vehicle) Dec'!$L$41</f>
        <v>563.4666666666667</v>
      </c>
      <c r="J41" s="23">
        <f>((E41*20%)/12)*1</f>
        <v>15.233333333333334</v>
      </c>
      <c r="K41" s="23">
        <v>0</v>
      </c>
      <c r="L41" s="24">
        <f t="shared" ref="L41" si="16">+I41+J41-K41</f>
        <v>578.70000000000005</v>
      </c>
      <c r="M41" s="169">
        <f>H41-L41</f>
        <v>335.29999999999995</v>
      </c>
    </row>
    <row r="42" spans="2:16">
      <c r="B42" s="167">
        <v>2</v>
      </c>
      <c r="C42" s="52" t="s">
        <v>45</v>
      </c>
      <c r="D42" s="9">
        <v>44245</v>
      </c>
      <c r="E42" s="23">
        <v>1297</v>
      </c>
      <c r="F42" s="23"/>
      <c r="G42" s="23">
        <v>0</v>
      </c>
      <c r="H42" s="29">
        <f>+E42+F42-G42</f>
        <v>1297</v>
      </c>
      <c r="I42" s="23">
        <f>'[1]Depreciation (Non vehicle) Dec'!$L$42</f>
        <v>1262.733333333334</v>
      </c>
      <c r="J42" s="23">
        <f>((E42*20%)/12)*1</f>
        <v>21.616666666666671</v>
      </c>
      <c r="K42" s="23">
        <v>0</v>
      </c>
      <c r="L42" s="24">
        <f>+I42+J42-K42</f>
        <v>1284.3500000000006</v>
      </c>
      <c r="M42" s="169">
        <f t="shared" ref="M42" si="17">H42-L42</f>
        <v>12.649999999999409</v>
      </c>
    </row>
    <row r="43" spans="2:16">
      <c r="B43" s="167"/>
      <c r="C43" s="52"/>
      <c r="D43" s="9"/>
      <c r="E43" s="35">
        <f>SUM(E41:E42)</f>
        <v>2211</v>
      </c>
      <c r="F43" s="35">
        <f>SUM(F41:F42)</f>
        <v>0</v>
      </c>
      <c r="G43" s="35">
        <f>SUM(G41:G42)</f>
        <v>0</v>
      </c>
      <c r="H43" s="35">
        <f>SUM(H41:H42)</f>
        <v>2211</v>
      </c>
      <c r="I43" s="35">
        <f>SUM(I41:I42)</f>
        <v>1826.2000000000007</v>
      </c>
      <c r="J43" s="35">
        <f>SUM(J41:J42)</f>
        <v>36.850000000000009</v>
      </c>
      <c r="K43" s="35">
        <f>SUM(K41:K42)</f>
        <v>0</v>
      </c>
      <c r="L43" s="35">
        <f>SUM(L41:L42)</f>
        <v>1863.0500000000006</v>
      </c>
      <c r="M43" s="179">
        <f>SUM(M41:M42)</f>
        <v>347.94999999999936</v>
      </c>
    </row>
    <row r="44" spans="2:16">
      <c r="B44" s="167"/>
      <c r="C44" s="45" t="s">
        <v>46</v>
      </c>
      <c r="D44" s="9"/>
      <c r="E44" s="23"/>
      <c r="F44" s="23"/>
      <c r="G44" s="23"/>
      <c r="H44" s="29"/>
      <c r="I44" s="23"/>
      <c r="J44" s="23"/>
      <c r="K44" s="23"/>
      <c r="L44" s="24"/>
      <c r="M44" s="169"/>
    </row>
    <row r="45" spans="2:16">
      <c r="B45" s="167"/>
      <c r="C45" s="46" t="s">
        <v>42</v>
      </c>
      <c r="D45" s="9"/>
      <c r="E45" s="23"/>
      <c r="F45" s="23"/>
      <c r="G45" s="23"/>
      <c r="H45" s="29"/>
      <c r="I45" s="23"/>
      <c r="J45" s="23"/>
      <c r="K45" s="23"/>
      <c r="L45" s="24"/>
      <c r="M45" s="169"/>
    </row>
    <row r="46" spans="2:16">
      <c r="B46" s="167">
        <v>1</v>
      </c>
      <c r="C46" s="47" t="s">
        <v>47</v>
      </c>
      <c r="D46" s="9">
        <v>45082</v>
      </c>
      <c r="E46" s="23">
        <v>2856</v>
      </c>
      <c r="F46" s="23"/>
      <c r="G46" s="23"/>
      <c r="H46" s="29">
        <f>+E46+F46-G46</f>
        <v>2856</v>
      </c>
      <c r="I46" s="23">
        <f>'[1]Depreciation (Non vehicle) Dec'!$L$50</f>
        <v>1475.6</v>
      </c>
      <c r="J46" s="23">
        <f>((E46*20%)/12)*1</f>
        <v>47.6</v>
      </c>
      <c r="K46" s="23"/>
      <c r="L46" s="24">
        <f t="shared" ref="L46:L51" si="18">+I46+J46-K46</f>
        <v>1523.1999999999998</v>
      </c>
      <c r="M46" s="169">
        <f>H46-L46</f>
        <v>1332.8000000000002</v>
      </c>
    </row>
    <row r="47" spans="2:16">
      <c r="B47" s="167">
        <v>2</v>
      </c>
      <c r="C47" s="47" t="s">
        <v>48</v>
      </c>
      <c r="D47" s="9">
        <v>45255</v>
      </c>
      <c r="E47" s="23">
        <v>180</v>
      </c>
      <c r="F47" s="23"/>
      <c r="G47" s="23"/>
      <c r="H47" s="29">
        <f t="shared" ref="H47:H49" si="19">+E47+F47-G47</f>
        <v>180</v>
      </c>
      <c r="I47" s="23">
        <f>'[1]Depreciation (Non vehicle) Dec'!$L$51</f>
        <v>75</v>
      </c>
      <c r="J47" s="23">
        <f>((E47*20%)/12)*1</f>
        <v>3</v>
      </c>
      <c r="K47" s="23"/>
      <c r="L47" s="24">
        <f t="shared" si="18"/>
        <v>78</v>
      </c>
      <c r="M47" s="169">
        <f t="shared" ref="M47:M51" si="20">H47-L47</f>
        <v>102</v>
      </c>
    </row>
    <row r="48" spans="2:16">
      <c r="B48" s="167">
        <v>3</v>
      </c>
      <c r="C48" s="47" t="s">
        <v>49</v>
      </c>
      <c r="D48" s="9">
        <v>45255</v>
      </c>
      <c r="E48" s="36">
        <v>950</v>
      </c>
      <c r="F48" s="36"/>
      <c r="G48" s="36"/>
      <c r="H48" s="37">
        <f t="shared" si="19"/>
        <v>950</v>
      </c>
      <c r="I48" s="36">
        <f>'[1]Depreciation (Non vehicle) Dec'!$L$52</f>
        <v>395.83333333333343</v>
      </c>
      <c r="J48" s="23">
        <f>((E48*20%)/12)*1</f>
        <v>15.833333333333334</v>
      </c>
      <c r="K48" s="36"/>
      <c r="L48" s="38">
        <f t="shared" si="18"/>
        <v>411.66666666666674</v>
      </c>
      <c r="M48" s="169">
        <f t="shared" si="20"/>
        <v>538.33333333333326</v>
      </c>
    </row>
    <row r="49" spans="2:13">
      <c r="B49" s="167">
        <v>4</v>
      </c>
      <c r="C49" s="47" t="s">
        <v>50</v>
      </c>
      <c r="D49" s="9">
        <v>45824</v>
      </c>
      <c r="E49" s="36">
        <v>3808.57</v>
      </c>
      <c r="F49" s="36"/>
      <c r="G49" s="36"/>
      <c r="H49" s="37">
        <f t="shared" si="19"/>
        <v>3808.57</v>
      </c>
      <c r="I49" s="36">
        <f>'[1]Depreciation (Non vehicle) Dec'!$L$53</f>
        <v>380.85700000000003</v>
      </c>
      <c r="J49" s="23">
        <f>((E49*20%)/12)*1</f>
        <v>63.476166666666671</v>
      </c>
      <c r="K49" s="36"/>
      <c r="L49" s="38">
        <f t="shared" si="18"/>
        <v>444.33316666666667</v>
      </c>
      <c r="M49" s="169">
        <f t="shared" si="20"/>
        <v>3364.2368333333334</v>
      </c>
    </row>
    <row r="50" spans="2:13">
      <c r="B50" s="167"/>
      <c r="C50" s="46" t="s">
        <v>51</v>
      </c>
      <c r="D50" s="9"/>
      <c r="E50" s="36"/>
      <c r="F50" s="36"/>
      <c r="G50" s="36"/>
      <c r="H50" s="37"/>
      <c r="I50" s="36"/>
      <c r="J50" s="23"/>
      <c r="K50" s="36"/>
      <c r="L50" s="38"/>
      <c r="M50" s="169">
        <f t="shared" si="20"/>
        <v>0</v>
      </c>
    </row>
    <row r="51" spans="2:13">
      <c r="B51" s="167">
        <v>1</v>
      </c>
      <c r="C51" s="47" t="s">
        <v>52</v>
      </c>
      <c r="D51" s="9">
        <v>45316</v>
      </c>
      <c r="E51" s="36">
        <v>3046.67</v>
      </c>
      <c r="F51" s="36"/>
      <c r="G51" s="36"/>
      <c r="H51" s="37">
        <f>+E51-G51</f>
        <v>3046.67</v>
      </c>
      <c r="I51" s="36">
        <f>'[1]Depreciation (Non vehicle) Dec'!$L$55</f>
        <v>1218.6679999999999</v>
      </c>
      <c r="J51" s="23">
        <f>((E51*20%)/12)*1</f>
        <v>50.777833333333341</v>
      </c>
      <c r="K51" s="36"/>
      <c r="L51" s="38">
        <f t="shared" si="18"/>
        <v>1269.4458333333332</v>
      </c>
      <c r="M51" s="169">
        <f t="shared" si="20"/>
        <v>1777.2241666666669</v>
      </c>
    </row>
    <row r="52" spans="2:13">
      <c r="B52" s="167"/>
      <c r="C52" s="47"/>
      <c r="D52" s="9"/>
      <c r="E52" s="35">
        <f>SUM(E46:E51)</f>
        <v>10841.24</v>
      </c>
      <c r="F52" s="35">
        <f t="shared" ref="F52:K52" si="21">SUM(F46:F51)</f>
        <v>0</v>
      </c>
      <c r="G52" s="35">
        <f t="shared" si="21"/>
        <v>0</v>
      </c>
      <c r="H52" s="35">
        <f>SUM(H46:H51)</f>
        <v>10841.24</v>
      </c>
      <c r="I52" s="35">
        <f t="shared" si="21"/>
        <v>3545.958333333333</v>
      </c>
      <c r="J52" s="35">
        <f t="shared" si="21"/>
        <v>180.68733333333336</v>
      </c>
      <c r="K52" s="35">
        <f t="shared" si="21"/>
        <v>0</v>
      </c>
      <c r="L52" s="35">
        <f>SUM(L46:L51)</f>
        <v>3726.6456666666663</v>
      </c>
      <c r="M52" s="179">
        <f>SUM(M46:M51)</f>
        <v>7114.5943333333335</v>
      </c>
    </row>
    <row r="53" spans="2:13">
      <c r="B53" s="167"/>
      <c r="C53" s="46" t="s">
        <v>53</v>
      </c>
      <c r="D53" s="9"/>
      <c r="E53" s="25"/>
      <c r="F53" s="25"/>
      <c r="G53" s="25"/>
      <c r="H53" s="30"/>
      <c r="I53" s="25"/>
      <c r="J53" s="25"/>
      <c r="K53" s="25"/>
      <c r="L53" s="26"/>
      <c r="M53" s="186"/>
    </row>
    <row r="54" spans="2:13">
      <c r="B54" s="167">
        <v>1</v>
      </c>
      <c r="C54" s="48" t="s">
        <v>54</v>
      </c>
      <c r="D54" s="9">
        <v>45266</v>
      </c>
      <c r="E54" s="23">
        <v>12000</v>
      </c>
      <c r="F54" s="23">
        <v>0</v>
      </c>
      <c r="G54" s="23"/>
      <c r="H54" s="29">
        <f t="shared" ref="H54:H57" si="22">+E54+F54-G54</f>
        <v>12000</v>
      </c>
      <c r="I54" s="23">
        <f>'[1]Depreciation (Non vehicle) Dec'!$L$58</f>
        <v>4800</v>
      </c>
      <c r="J54" s="23">
        <f>((E54*20%)/12)*1</f>
        <v>200</v>
      </c>
      <c r="K54" s="23"/>
      <c r="L54" s="24">
        <f t="shared" ref="L54:L57" si="23">+I54+J54-K54</f>
        <v>5000</v>
      </c>
      <c r="M54" s="169">
        <f>H54-L54</f>
        <v>7000</v>
      </c>
    </row>
    <row r="55" spans="2:13">
      <c r="B55" s="167">
        <v>2</v>
      </c>
      <c r="C55" s="48" t="s">
        <v>55</v>
      </c>
      <c r="D55" s="9">
        <v>45301</v>
      </c>
      <c r="E55" s="23">
        <v>3400</v>
      </c>
      <c r="F55" s="23"/>
      <c r="G55" s="23"/>
      <c r="H55" s="29">
        <f t="shared" si="22"/>
        <v>3400</v>
      </c>
      <c r="I55" s="23">
        <f>'[1]Depreciation (Non vehicle) Dec'!$L$59</f>
        <v>1303.333333333333</v>
      </c>
      <c r="J55" s="23">
        <f>((E55*20%)/12)*1</f>
        <v>56.666666666666664</v>
      </c>
      <c r="K55" s="23"/>
      <c r="L55" s="24">
        <f t="shared" si="23"/>
        <v>1359.9999999999998</v>
      </c>
      <c r="M55" s="169">
        <f t="shared" ref="M55:M57" si="24">H55-L55</f>
        <v>2040.0000000000002</v>
      </c>
    </row>
    <row r="56" spans="2:13">
      <c r="B56" s="167">
        <v>3</v>
      </c>
      <c r="C56" s="301" t="s">
        <v>56</v>
      </c>
      <c r="D56" s="9">
        <v>45301</v>
      </c>
      <c r="E56" s="23">
        <v>2700</v>
      </c>
      <c r="F56" s="23"/>
      <c r="G56" s="23"/>
      <c r="H56" s="29">
        <f t="shared" si="22"/>
        <v>2700</v>
      </c>
      <c r="I56" s="23">
        <f>'[1]Depreciation (Non vehicle) Dec'!$L$60</f>
        <v>1035</v>
      </c>
      <c r="J56" s="23">
        <f>((E56*20%)/12)*1</f>
        <v>45</v>
      </c>
      <c r="K56" s="23"/>
      <c r="L56" s="24">
        <f t="shared" si="23"/>
        <v>1080</v>
      </c>
      <c r="M56" s="169">
        <f t="shared" si="24"/>
        <v>1620</v>
      </c>
    </row>
    <row r="57" spans="2:13">
      <c r="B57" s="167">
        <v>4</v>
      </c>
      <c r="C57" s="48" t="s">
        <v>57</v>
      </c>
      <c r="D57" s="9">
        <v>45302</v>
      </c>
      <c r="E57" s="23">
        <v>1600</v>
      </c>
      <c r="F57" s="23"/>
      <c r="G57" s="23"/>
      <c r="H57" s="29">
        <f t="shared" si="22"/>
        <v>1600</v>
      </c>
      <c r="I57" s="23">
        <f>'[1]Depreciation (Non vehicle) Dec'!$L$61</f>
        <v>613.33333333333326</v>
      </c>
      <c r="J57" s="23">
        <f>((E57*20%)/12)*1</f>
        <v>26.666666666666668</v>
      </c>
      <c r="K57" s="23"/>
      <c r="L57" s="24">
        <f t="shared" si="23"/>
        <v>639.99999999999989</v>
      </c>
      <c r="M57" s="169">
        <f t="shared" si="24"/>
        <v>960.00000000000011</v>
      </c>
    </row>
    <row r="58" spans="2:13">
      <c r="B58" s="167"/>
      <c r="C58" s="49"/>
      <c r="D58" s="9"/>
      <c r="E58" s="35">
        <f>SUM(E54:E57)</f>
        <v>19700</v>
      </c>
      <c r="F58" s="35">
        <f t="shared" ref="F58:K58" si="25">SUM(F54:F57)</f>
        <v>0</v>
      </c>
      <c r="G58" s="35">
        <f t="shared" si="25"/>
        <v>0</v>
      </c>
      <c r="H58" s="35">
        <f t="shared" si="25"/>
        <v>19700</v>
      </c>
      <c r="I58" s="35">
        <f t="shared" si="25"/>
        <v>7751.6666666666661</v>
      </c>
      <c r="J58" s="35">
        <f>SUM(J54:J57)</f>
        <v>328.33333333333337</v>
      </c>
      <c r="K58" s="35">
        <f t="shared" si="25"/>
        <v>0</v>
      </c>
      <c r="L58" s="35">
        <f>SUM(L54:L57)</f>
        <v>8080</v>
      </c>
      <c r="M58" s="179">
        <f>SUM(M54:M57)</f>
        <v>11620</v>
      </c>
    </row>
    <row r="59" spans="2:13">
      <c r="B59" s="167"/>
      <c r="C59" s="49"/>
      <c r="D59" s="9"/>
      <c r="E59" s="26"/>
      <c r="F59" s="26"/>
      <c r="G59" s="26"/>
      <c r="H59" s="26"/>
      <c r="I59" s="26"/>
      <c r="J59" s="26"/>
      <c r="K59" s="26"/>
      <c r="L59" s="26"/>
      <c r="M59" s="186"/>
    </row>
    <row r="60" spans="2:13">
      <c r="B60" s="167"/>
      <c r="C60" s="46" t="s">
        <v>58</v>
      </c>
      <c r="D60" s="9"/>
      <c r="E60" s="26"/>
      <c r="F60" s="26"/>
      <c r="G60" s="26"/>
      <c r="H60" s="26"/>
      <c r="I60" s="26"/>
      <c r="J60" s="26"/>
      <c r="K60" s="26"/>
      <c r="L60" s="26"/>
      <c r="M60" s="186"/>
    </row>
    <row r="61" spans="2:13">
      <c r="B61" s="167">
        <v>1</v>
      </c>
      <c r="C61" s="49" t="s">
        <v>59</v>
      </c>
      <c r="D61" s="9">
        <v>45268</v>
      </c>
      <c r="E61" s="23">
        <v>5395</v>
      </c>
      <c r="F61" s="23">
        <v>0</v>
      </c>
      <c r="G61" s="23"/>
      <c r="H61" s="37">
        <f t="shared" ref="H61" si="26">+E61+F61-G61</f>
        <v>5395</v>
      </c>
      <c r="I61" s="23">
        <f>'[1]Depreciation (Non vehicle) Dec'!$L$65</f>
        <v>2158</v>
      </c>
      <c r="J61" s="36">
        <f>((E61*20%)/12)*1</f>
        <v>89.916666666666671</v>
      </c>
      <c r="K61" s="23"/>
      <c r="L61" s="38">
        <f t="shared" ref="L61" si="27">+I61+J61-K61</f>
        <v>2247.9166666666665</v>
      </c>
      <c r="M61" s="168">
        <f>H61-L61</f>
        <v>3147.0833333333335</v>
      </c>
    </row>
    <row r="62" spans="2:13">
      <c r="B62" s="167"/>
      <c r="C62" s="49"/>
      <c r="D62" s="9"/>
      <c r="E62" s="35">
        <f>SUM(E61)</f>
        <v>5395</v>
      </c>
      <c r="F62" s="35">
        <f t="shared" ref="F62:K62" si="28">SUM(F61)</f>
        <v>0</v>
      </c>
      <c r="G62" s="35">
        <f t="shared" si="28"/>
        <v>0</v>
      </c>
      <c r="H62" s="35">
        <f t="shared" si="28"/>
        <v>5395</v>
      </c>
      <c r="I62" s="35">
        <f t="shared" si="28"/>
        <v>2158</v>
      </c>
      <c r="J62" s="35">
        <f>SUM(J61)</f>
        <v>89.916666666666671</v>
      </c>
      <c r="K62" s="35">
        <f t="shared" si="28"/>
        <v>0</v>
      </c>
      <c r="L62" s="35">
        <f>SUM(L61)</f>
        <v>2247.9166666666665</v>
      </c>
      <c r="M62" s="179">
        <f>SUM(M61)</f>
        <v>3147.0833333333335</v>
      </c>
    </row>
    <row r="63" spans="2:13">
      <c r="B63" s="167"/>
      <c r="C63" s="46" t="s">
        <v>60</v>
      </c>
      <c r="D63" s="9"/>
      <c r="E63" s="26"/>
      <c r="F63" s="26"/>
      <c r="G63" s="26"/>
      <c r="H63" s="26"/>
      <c r="I63" s="26"/>
      <c r="J63" s="26"/>
      <c r="K63" s="26"/>
      <c r="L63" s="26"/>
      <c r="M63" s="186"/>
    </row>
    <row r="64" spans="2:13">
      <c r="B64" s="167">
        <v>1</v>
      </c>
      <c r="C64" s="49" t="s">
        <v>61</v>
      </c>
      <c r="D64" s="9">
        <v>45316</v>
      </c>
      <c r="E64" s="25">
        <v>1520</v>
      </c>
      <c r="F64" s="25"/>
      <c r="G64" s="26"/>
      <c r="H64" s="37">
        <f t="shared" ref="H64:H72" si="29">+E64+F64-G64</f>
        <v>1520</v>
      </c>
      <c r="I64" s="25">
        <f>'[1]Depreciation (Non vehicle) Dec'!$L$68</f>
        <v>582.66666666666663</v>
      </c>
      <c r="J64" s="25">
        <f>(E64*20%/12)*1</f>
        <v>25.333333333333332</v>
      </c>
      <c r="K64" s="26"/>
      <c r="L64" s="38">
        <f t="shared" ref="L64:L72" si="30">+I64+J64-K64</f>
        <v>608</v>
      </c>
      <c r="M64" s="168">
        <f>H64-L64</f>
        <v>912</v>
      </c>
    </row>
    <row r="65" spans="2:13">
      <c r="B65" s="167">
        <v>2</v>
      </c>
      <c r="C65" s="49" t="s">
        <v>62</v>
      </c>
      <c r="D65" s="9">
        <v>45316</v>
      </c>
      <c r="E65" s="25">
        <v>1520</v>
      </c>
      <c r="F65" s="25"/>
      <c r="G65" s="26"/>
      <c r="H65" s="37">
        <f t="shared" si="29"/>
        <v>1520</v>
      </c>
      <c r="I65" s="25">
        <f>'[1]Depreciation (Non vehicle) Dec'!$L$69</f>
        <v>582.66666666666663</v>
      </c>
      <c r="J65" s="25">
        <f>(E65*20%/12)*1</f>
        <v>25.333333333333332</v>
      </c>
      <c r="K65" s="26"/>
      <c r="L65" s="38">
        <f t="shared" si="30"/>
        <v>608</v>
      </c>
      <c r="M65" s="168">
        <f t="shared" ref="M65:M72" si="31">H65-L65</f>
        <v>912</v>
      </c>
    </row>
    <row r="66" spans="2:13">
      <c r="B66" s="167">
        <v>3</v>
      </c>
      <c r="C66" s="49" t="s">
        <v>63</v>
      </c>
      <c r="D66" s="9">
        <v>45316</v>
      </c>
      <c r="E66" s="25">
        <v>1520</v>
      </c>
      <c r="F66" s="25"/>
      <c r="G66" s="26"/>
      <c r="H66" s="37">
        <f t="shared" si="29"/>
        <v>1520</v>
      </c>
      <c r="I66" s="25">
        <f>'[1]Depreciation (Non vehicle) Dec'!$L$70</f>
        <v>582.66666666666663</v>
      </c>
      <c r="J66" s="25">
        <f>(E66*20%/12)*1</f>
        <v>25.333333333333332</v>
      </c>
      <c r="K66" s="26"/>
      <c r="L66" s="38">
        <f t="shared" si="30"/>
        <v>608</v>
      </c>
      <c r="M66" s="168">
        <f t="shared" si="31"/>
        <v>912</v>
      </c>
    </row>
    <row r="67" spans="2:13">
      <c r="B67" s="167">
        <v>4</v>
      </c>
      <c r="C67" s="49" t="s">
        <v>64</v>
      </c>
      <c r="D67" s="9">
        <v>45316</v>
      </c>
      <c r="E67" s="25">
        <v>1520</v>
      </c>
      <c r="F67" s="25"/>
      <c r="G67" s="26"/>
      <c r="H67" s="37">
        <f t="shared" si="29"/>
        <v>1520</v>
      </c>
      <c r="I67" s="25">
        <f>'[1]Depreciation (Non vehicle) Dec'!$L$71</f>
        <v>582.66666666666663</v>
      </c>
      <c r="J67" s="25">
        <f>(E67*20%/12)*1</f>
        <v>25.333333333333332</v>
      </c>
      <c r="K67" s="26"/>
      <c r="L67" s="38">
        <f t="shared" si="30"/>
        <v>608</v>
      </c>
      <c r="M67" s="168">
        <f t="shared" si="31"/>
        <v>912</v>
      </c>
    </row>
    <row r="68" spans="2:13">
      <c r="B68" s="167">
        <v>5</v>
      </c>
      <c r="C68" s="49" t="s">
        <v>65</v>
      </c>
      <c r="D68" s="9">
        <v>45316</v>
      </c>
      <c r="E68" s="25">
        <v>1520</v>
      </c>
      <c r="F68" s="25"/>
      <c r="G68" s="26"/>
      <c r="H68" s="37">
        <f t="shared" si="29"/>
        <v>1520</v>
      </c>
      <c r="I68" s="25">
        <f>'[1]Depreciation (Non vehicle) Dec'!$L$72</f>
        <v>582.66666666666663</v>
      </c>
      <c r="J68" s="25">
        <f>(E68*20%/12)*1</f>
        <v>25.333333333333332</v>
      </c>
      <c r="K68" s="26"/>
      <c r="L68" s="38">
        <f t="shared" si="30"/>
        <v>608</v>
      </c>
      <c r="M68" s="168">
        <f t="shared" si="31"/>
        <v>912</v>
      </c>
    </row>
    <row r="69" spans="2:13">
      <c r="B69" s="167">
        <v>6</v>
      </c>
      <c r="C69" s="49" t="s">
        <v>66</v>
      </c>
      <c r="D69" s="9">
        <v>45316</v>
      </c>
      <c r="E69" s="25">
        <v>1520</v>
      </c>
      <c r="F69" s="25"/>
      <c r="G69" s="26"/>
      <c r="H69" s="37">
        <f t="shared" si="29"/>
        <v>1520</v>
      </c>
      <c r="I69" s="25">
        <f>'[1]Depreciation (Non vehicle) Dec'!$L$73</f>
        <v>582.66666666666663</v>
      </c>
      <c r="J69" s="25">
        <f>(E69*20%/12)*1</f>
        <v>25.333333333333332</v>
      </c>
      <c r="K69" s="26"/>
      <c r="L69" s="38">
        <f t="shared" si="30"/>
        <v>608</v>
      </c>
      <c r="M69" s="168">
        <f t="shared" si="31"/>
        <v>912</v>
      </c>
    </row>
    <row r="70" spans="2:13">
      <c r="B70" s="167">
        <v>7</v>
      </c>
      <c r="C70" s="49" t="s">
        <v>67</v>
      </c>
      <c r="D70" s="9">
        <v>45731</v>
      </c>
      <c r="E70" s="25">
        <v>10140.950000000001</v>
      </c>
      <c r="F70" s="25"/>
      <c r="G70" s="26"/>
      <c r="H70" s="37">
        <f>+E70+F70-G70</f>
        <v>10140.950000000001</v>
      </c>
      <c r="I70" s="25">
        <f>'[1]Depreciation (Non vehicle) Dec'!$L$74</f>
        <v>1521.1424999999999</v>
      </c>
      <c r="J70" s="25">
        <f>(E70*20%/12)*1</f>
        <v>169.01583333333335</v>
      </c>
      <c r="K70" s="26"/>
      <c r="L70" s="38">
        <f t="shared" si="30"/>
        <v>1690.1583333333333</v>
      </c>
      <c r="M70" s="168">
        <f t="shared" si="31"/>
        <v>8450.7916666666679</v>
      </c>
    </row>
    <row r="71" spans="2:13">
      <c r="B71" s="167">
        <v>8</v>
      </c>
      <c r="C71" s="49" t="s">
        <v>68</v>
      </c>
      <c r="D71" s="9">
        <v>45731</v>
      </c>
      <c r="E71" s="25">
        <v>5064.76</v>
      </c>
      <c r="F71" s="25"/>
      <c r="G71" s="26"/>
      <c r="H71" s="37">
        <f t="shared" si="29"/>
        <v>5064.76</v>
      </c>
      <c r="I71" s="25">
        <f>'[1]Depreciation (Non vehicle) Dec'!$L$75</f>
        <v>759.71400000000006</v>
      </c>
      <c r="J71" s="25">
        <f>(E71*20%/12)*1</f>
        <v>84.412666666666681</v>
      </c>
      <c r="K71" s="26"/>
      <c r="L71" s="38">
        <f t="shared" si="30"/>
        <v>844.12666666666678</v>
      </c>
      <c r="M71" s="168">
        <f t="shared" si="31"/>
        <v>4220.6333333333332</v>
      </c>
    </row>
    <row r="72" spans="2:13">
      <c r="B72" s="167">
        <v>9</v>
      </c>
      <c r="C72" s="49" t="s">
        <v>69</v>
      </c>
      <c r="D72" s="9">
        <v>45812</v>
      </c>
      <c r="E72" s="25">
        <v>6040</v>
      </c>
      <c r="F72" s="25"/>
      <c r="G72" s="26"/>
      <c r="H72" s="37">
        <f t="shared" si="29"/>
        <v>6040</v>
      </c>
      <c r="I72" s="25">
        <f>'[1]Depreciation (Non vehicle) Dec'!$L$76</f>
        <v>906</v>
      </c>
      <c r="J72" s="25">
        <f>(E72*20%/12)*1</f>
        <v>100.66666666666667</v>
      </c>
      <c r="K72" s="26"/>
      <c r="L72" s="38">
        <f t="shared" si="30"/>
        <v>1006.6666666666666</v>
      </c>
      <c r="M72" s="168">
        <f t="shared" si="31"/>
        <v>5033.333333333333</v>
      </c>
    </row>
    <row r="73" spans="2:13">
      <c r="B73" s="167">
        <v>10</v>
      </c>
      <c r="C73" s="49" t="s">
        <v>70</v>
      </c>
      <c r="D73" s="9">
        <v>46004</v>
      </c>
      <c r="E73" s="25">
        <v>4760.95</v>
      </c>
      <c r="F73" s="25"/>
      <c r="G73" s="26"/>
      <c r="H73" s="37">
        <f>+E73+F73-G73</f>
        <v>4760.95</v>
      </c>
      <c r="I73" s="25">
        <f>'[1]Depreciation (Non vehicle) Dec'!$L$77</f>
        <v>714.14250000000004</v>
      </c>
      <c r="J73" s="25">
        <f>(E73*20%/12)*1</f>
        <v>79.349166666666676</v>
      </c>
      <c r="K73" s="26"/>
      <c r="L73" s="38">
        <f t="shared" ref="L73" si="32">+I73+J73-K73</f>
        <v>793.49166666666667</v>
      </c>
      <c r="M73" s="168">
        <f t="shared" ref="M73" si="33">H73-L73</f>
        <v>3967.458333333333</v>
      </c>
    </row>
    <row r="74" spans="2:13">
      <c r="B74" s="167"/>
      <c r="C74" s="47"/>
      <c r="D74" s="9"/>
      <c r="E74" s="35">
        <f>SUM(E64:E72)</f>
        <v>30365.71</v>
      </c>
      <c r="F74" s="35">
        <f t="shared" ref="F74:M74" si="34">SUM(F64:F72)</f>
        <v>0</v>
      </c>
      <c r="G74" s="35">
        <f t="shared" si="34"/>
        <v>0</v>
      </c>
      <c r="H74" s="35">
        <f>SUM(H64:H73)</f>
        <v>35126.659999999996</v>
      </c>
      <c r="I74" s="35">
        <f t="shared" si="34"/>
        <v>6682.8564999999999</v>
      </c>
      <c r="J74" s="35">
        <f t="shared" si="34"/>
        <v>506.09516666666673</v>
      </c>
      <c r="K74" s="35">
        <f t="shared" si="34"/>
        <v>0</v>
      </c>
      <c r="L74" s="35">
        <f t="shared" si="34"/>
        <v>7188.9516666666668</v>
      </c>
      <c r="M74" s="179">
        <f t="shared" si="34"/>
        <v>23176.758333333335</v>
      </c>
    </row>
    <row r="75" spans="2:13">
      <c r="B75" s="167"/>
      <c r="C75" s="46" t="s">
        <v>71</v>
      </c>
      <c r="D75" s="9"/>
      <c r="E75" s="36"/>
      <c r="F75" s="36"/>
      <c r="G75" s="36"/>
      <c r="H75" s="37"/>
      <c r="I75" s="36"/>
      <c r="J75" s="36"/>
      <c r="K75" s="36"/>
      <c r="L75" s="38"/>
      <c r="M75" s="168"/>
    </row>
    <row r="76" spans="2:13">
      <c r="B76" s="167">
        <v>1</v>
      </c>
      <c r="C76" s="47" t="s">
        <v>72</v>
      </c>
      <c r="D76" s="9">
        <v>45197</v>
      </c>
      <c r="E76" s="23">
        <v>3904</v>
      </c>
      <c r="F76" s="23"/>
      <c r="G76" s="23"/>
      <c r="H76" s="29">
        <f t="shared" ref="H76:H82" si="35">+E76+F76-G76</f>
        <v>3904</v>
      </c>
      <c r="I76" s="23">
        <f>'[1]Depreciation (Non vehicle) Dec'!$L$80</f>
        <v>1756.8</v>
      </c>
      <c r="J76" s="36">
        <f>((E76*20%)/12)*1</f>
        <v>65.066666666666677</v>
      </c>
      <c r="K76" s="23"/>
      <c r="L76" s="24">
        <f t="shared" ref="L76:L81" si="36">+I76+J76-K76</f>
        <v>1821.8666666666666</v>
      </c>
      <c r="M76" s="169">
        <f t="shared" ref="M76:M81" si="37">H76-L76</f>
        <v>2082.1333333333332</v>
      </c>
    </row>
    <row r="77" spans="2:13">
      <c r="B77" s="167">
        <v>2</v>
      </c>
      <c r="C77" s="47" t="s">
        <v>73</v>
      </c>
      <c r="D77" s="9">
        <v>45197</v>
      </c>
      <c r="E77" s="23">
        <v>2761</v>
      </c>
      <c r="F77" s="23"/>
      <c r="G77" s="23"/>
      <c r="H77" s="29">
        <f t="shared" si="35"/>
        <v>2761</v>
      </c>
      <c r="I77" s="23">
        <f>'[1]Depreciation (Non vehicle) Dec'!$L$81</f>
        <v>1242.45</v>
      </c>
      <c r="J77" s="36">
        <f>((E77*20%)/12)*1</f>
        <v>46.016666666666673</v>
      </c>
      <c r="K77" s="23"/>
      <c r="L77" s="24">
        <f t="shared" si="36"/>
        <v>1288.4666666666667</v>
      </c>
      <c r="M77" s="169">
        <f t="shared" si="37"/>
        <v>1472.5333333333333</v>
      </c>
    </row>
    <row r="78" spans="2:13">
      <c r="B78" s="167">
        <v>3</v>
      </c>
      <c r="C78" s="47" t="s">
        <v>74</v>
      </c>
      <c r="D78" s="9">
        <v>45215</v>
      </c>
      <c r="E78" s="23">
        <v>4380</v>
      </c>
      <c r="F78" s="23"/>
      <c r="G78" s="23"/>
      <c r="H78" s="29">
        <f t="shared" si="35"/>
        <v>4380</v>
      </c>
      <c r="I78" s="23">
        <f>'[1]Depreciation (Non vehicle) Dec'!$L$82</f>
        <v>1898</v>
      </c>
      <c r="J78" s="36">
        <f>((E78*20%)/12)*1</f>
        <v>73</v>
      </c>
      <c r="K78" s="23"/>
      <c r="L78" s="24">
        <f t="shared" si="36"/>
        <v>1971</v>
      </c>
      <c r="M78" s="169">
        <f>H78-L78</f>
        <v>2409</v>
      </c>
    </row>
    <row r="79" spans="2:13">
      <c r="B79" s="167">
        <v>4</v>
      </c>
      <c r="C79" s="47" t="s">
        <v>75</v>
      </c>
      <c r="D79" s="9">
        <v>45215</v>
      </c>
      <c r="E79" s="23">
        <v>4380</v>
      </c>
      <c r="F79" s="23"/>
      <c r="G79" s="23"/>
      <c r="H79" s="29">
        <f t="shared" si="35"/>
        <v>4380</v>
      </c>
      <c r="I79" s="23">
        <f>'[1]Depreciation (Non vehicle) Dec'!$L$83</f>
        <v>1898</v>
      </c>
      <c r="J79" s="36">
        <f>((E79*20%)/12)*1</f>
        <v>73</v>
      </c>
      <c r="K79" s="23"/>
      <c r="L79" s="24">
        <f t="shared" si="36"/>
        <v>1971</v>
      </c>
      <c r="M79" s="169">
        <f t="shared" si="37"/>
        <v>2409</v>
      </c>
    </row>
    <row r="80" spans="2:13">
      <c r="B80" s="167">
        <v>5</v>
      </c>
      <c r="C80" s="47" t="s">
        <v>76</v>
      </c>
      <c r="D80" s="9">
        <v>45237</v>
      </c>
      <c r="E80" s="23">
        <v>4142.8500000000004</v>
      </c>
      <c r="F80" s="23"/>
      <c r="G80" s="23"/>
      <c r="H80" s="29">
        <f t="shared" si="35"/>
        <v>4142.8500000000004</v>
      </c>
      <c r="I80" s="23">
        <f>'[1]Depreciation (Non vehicle) Dec'!$L$84</f>
        <v>1726.1875</v>
      </c>
      <c r="J80" s="36">
        <f>((E80*20%)/12)*1</f>
        <v>69.047500000000014</v>
      </c>
      <c r="K80" s="23"/>
      <c r="L80" s="24">
        <f t="shared" si="36"/>
        <v>1795.2350000000001</v>
      </c>
      <c r="M80" s="169">
        <f t="shared" si="37"/>
        <v>2347.6150000000002</v>
      </c>
    </row>
    <row r="81" spans="2:13">
      <c r="B81" s="167">
        <v>6</v>
      </c>
      <c r="C81" s="47" t="s">
        <v>77</v>
      </c>
      <c r="D81" s="9">
        <v>45237</v>
      </c>
      <c r="E81" s="23">
        <v>4142.8599999999997</v>
      </c>
      <c r="F81" s="23"/>
      <c r="G81" s="23"/>
      <c r="H81" s="29">
        <f t="shared" si="35"/>
        <v>4142.8599999999997</v>
      </c>
      <c r="I81" s="23">
        <f>'[1]Depreciation (Non vehicle) Dec'!$L$85</f>
        <v>1726.1916666666671</v>
      </c>
      <c r="J81" s="36">
        <f>((E81*20%)/12)*1</f>
        <v>69.047666666666672</v>
      </c>
      <c r="K81" s="23"/>
      <c r="L81" s="24">
        <f t="shared" si="36"/>
        <v>1795.2393333333337</v>
      </c>
      <c r="M81" s="169">
        <f t="shared" si="37"/>
        <v>2347.6206666666658</v>
      </c>
    </row>
    <row r="82" spans="2:13">
      <c r="B82" s="167"/>
      <c r="C82" s="47"/>
      <c r="D82" s="9"/>
      <c r="E82" s="23"/>
      <c r="F82" s="23"/>
      <c r="G82" s="23"/>
      <c r="H82" s="29">
        <f t="shared" si="35"/>
        <v>0</v>
      </c>
      <c r="I82" s="23"/>
      <c r="J82" s="23"/>
      <c r="K82" s="23"/>
      <c r="L82" s="24"/>
      <c r="M82" s="169"/>
    </row>
    <row r="83" spans="2:13">
      <c r="B83" s="167"/>
      <c r="C83" s="47"/>
      <c r="D83" s="6"/>
      <c r="E83" s="39">
        <f t="shared" ref="E83:M83" si="38">SUM(E76:E82)</f>
        <v>23710.71</v>
      </c>
      <c r="F83" s="39">
        <f t="shared" si="38"/>
        <v>0</v>
      </c>
      <c r="G83" s="39">
        <f t="shared" si="38"/>
        <v>0</v>
      </c>
      <c r="H83" s="39">
        <f t="shared" si="38"/>
        <v>23710.71</v>
      </c>
      <c r="I83" s="39">
        <f t="shared" si="38"/>
        <v>10247.629166666668</v>
      </c>
      <c r="J83" s="39">
        <f t="shared" si="38"/>
        <v>395.17850000000004</v>
      </c>
      <c r="K83" s="39">
        <f t="shared" si="38"/>
        <v>0</v>
      </c>
      <c r="L83" s="39">
        <f t="shared" si="38"/>
        <v>10642.807666666666</v>
      </c>
      <c r="M83" s="187">
        <f t="shared" si="38"/>
        <v>13067.902333333332</v>
      </c>
    </row>
    <row r="84" spans="2:13">
      <c r="B84" s="167"/>
      <c r="C84" s="45" t="s">
        <v>78</v>
      </c>
      <c r="D84" s="6"/>
      <c r="E84" s="40"/>
      <c r="F84" s="40"/>
      <c r="G84" s="40"/>
      <c r="H84" s="40"/>
      <c r="I84" s="40"/>
      <c r="J84" s="40"/>
      <c r="K84" s="40"/>
      <c r="L84" s="40"/>
      <c r="M84" s="188"/>
    </row>
    <row r="85" spans="2:13">
      <c r="B85" s="167">
        <v>1</v>
      </c>
      <c r="C85" s="47" t="s">
        <v>79</v>
      </c>
      <c r="D85" s="7">
        <v>45240</v>
      </c>
      <c r="E85" s="41">
        <v>1075</v>
      </c>
      <c r="F85" s="41">
        <v>0</v>
      </c>
      <c r="G85" s="41"/>
      <c r="H85" s="42">
        <f t="shared" ref="H85:H87" si="39">+E85+F85-G85</f>
        <v>1075</v>
      </c>
      <c r="I85" s="41">
        <f>'[1]Depreciation (Non vehicle) Dec'!$L$89</f>
        <v>475</v>
      </c>
      <c r="J85" s="36">
        <f>((E85*20%)/12)*1</f>
        <v>17.916666666666668</v>
      </c>
      <c r="K85" s="41"/>
      <c r="L85" s="24">
        <f t="shared" ref="L85:L88" si="40">+I85+J85-K85</f>
        <v>492.91666666666669</v>
      </c>
      <c r="M85" s="169">
        <f>H85-L85</f>
        <v>582.08333333333326</v>
      </c>
    </row>
    <row r="86" spans="2:13">
      <c r="B86" s="167">
        <v>2</v>
      </c>
      <c r="C86" s="49" t="s">
        <v>80</v>
      </c>
      <c r="D86" s="7">
        <v>45771</v>
      </c>
      <c r="E86" s="281">
        <v>904</v>
      </c>
      <c r="F86" s="281"/>
      <c r="G86" s="281"/>
      <c r="H86" s="42">
        <f t="shared" si="39"/>
        <v>904</v>
      </c>
      <c r="I86" s="281">
        <f>'[1]Depreciation (Non vehicle) Dec'!$L$90</f>
        <v>120.5333333333333</v>
      </c>
      <c r="J86" s="36">
        <f>((E86*20%)/12)*1</f>
        <v>15.066666666666668</v>
      </c>
      <c r="K86" s="281"/>
      <c r="L86" s="24">
        <f t="shared" si="40"/>
        <v>135.59999999999997</v>
      </c>
      <c r="M86" s="169">
        <f t="shared" ref="M86:M88" si="41">H86-L86</f>
        <v>768.40000000000009</v>
      </c>
    </row>
    <row r="87" spans="2:13">
      <c r="B87" s="167">
        <v>3</v>
      </c>
      <c r="C87" s="49" t="s">
        <v>81</v>
      </c>
      <c r="D87" s="7">
        <v>45772</v>
      </c>
      <c r="E87" s="281">
        <v>904</v>
      </c>
      <c r="F87" s="281"/>
      <c r="G87" s="281"/>
      <c r="H87" s="42">
        <f t="shared" si="39"/>
        <v>904</v>
      </c>
      <c r="I87" s="281">
        <f>'[1]Depreciation (Non vehicle) Dec'!$L$91</f>
        <v>120.5333333333333</v>
      </c>
      <c r="J87" s="36">
        <f>((E87*20%)/12)*1</f>
        <v>15.066666666666668</v>
      </c>
      <c r="K87" s="281"/>
      <c r="L87" s="24">
        <f t="shared" si="40"/>
        <v>135.59999999999997</v>
      </c>
      <c r="M87" s="169">
        <f t="shared" si="41"/>
        <v>768.40000000000009</v>
      </c>
    </row>
    <row r="88" spans="2:13">
      <c r="B88" s="167"/>
      <c r="C88" s="273"/>
      <c r="D88" s="9"/>
      <c r="E88" s="25"/>
      <c r="F88" s="25"/>
      <c r="G88" s="26"/>
      <c r="H88" s="37"/>
      <c r="I88" s="25"/>
      <c r="J88" s="36"/>
      <c r="K88" s="26"/>
      <c r="L88" s="24"/>
      <c r="M88" s="169"/>
    </row>
    <row r="89" spans="2:13">
      <c r="B89" s="167"/>
      <c r="C89" s="47"/>
      <c r="D89" s="6"/>
      <c r="E89" s="39">
        <f>SUM(E85:E88)</f>
        <v>2883</v>
      </c>
      <c r="F89" s="39">
        <f t="shared" ref="F89:M89" si="42">SUM(F85:F88)</f>
        <v>0</v>
      </c>
      <c r="G89" s="39">
        <f t="shared" si="42"/>
        <v>0</v>
      </c>
      <c r="H89" s="39">
        <f t="shared" si="42"/>
        <v>2883</v>
      </c>
      <c r="I89" s="39">
        <f t="shared" si="42"/>
        <v>716.06666666666661</v>
      </c>
      <c r="J89" s="39">
        <f t="shared" si="42"/>
        <v>48.050000000000004</v>
      </c>
      <c r="K89" s="39">
        <f t="shared" si="42"/>
        <v>0</v>
      </c>
      <c r="L89" s="39">
        <f t="shared" si="42"/>
        <v>764.11666666666656</v>
      </c>
      <c r="M89" s="187">
        <f t="shared" si="42"/>
        <v>2118.8833333333332</v>
      </c>
    </row>
    <row r="90" spans="2:13">
      <c r="B90" s="167"/>
      <c r="C90" s="46" t="s">
        <v>82</v>
      </c>
      <c r="D90" s="6"/>
      <c r="E90" s="6"/>
      <c r="F90" s="6"/>
      <c r="G90" s="6"/>
      <c r="H90" s="6"/>
      <c r="I90" s="6"/>
      <c r="J90" s="6"/>
      <c r="K90" s="6"/>
      <c r="L90" s="6"/>
      <c r="M90" s="189"/>
    </row>
    <row r="91" spans="2:13">
      <c r="B91" s="167">
        <v>1</v>
      </c>
      <c r="C91" s="47" t="s">
        <v>83</v>
      </c>
      <c r="D91" s="9">
        <v>45077</v>
      </c>
      <c r="E91" s="23">
        <v>1380</v>
      </c>
      <c r="F91" s="23"/>
      <c r="G91" s="23"/>
      <c r="H91" s="29">
        <f>+E91+F91-G91</f>
        <v>1380</v>
      </c>
      <c r="I91" s="23">
        <f>'[1]Depreciation (Non vehicle) Dec'!$L$95</f>
        <v>713</v>
      </c>
      <c r="J91" s="36">
        <f>((E91*20%)/12)*1</f>
        <v>23</v>
      </c>
      <c r="K91" s="23"/>
      <c r="L91" s="24">
        <f>+I91+J91-K91</f>
        <v>736</v>
      </c>
      <c r="M91" s="169">
        <f>H91-L91</f>
        <v>644</v>
      </c>
    </row>
    <row r="92" spans="2:13">
      <c r="B92" s="167">
        <v>2</v>
      </c>
      <c r="C92" s="50" t="s">
        <v>84</v>
      </c>
      <c r="D92" s="9">
        <v>45085</v>
      </c>
      <c r="E92" s="23">
        <v>2298</v>
      </c>
      <c r="F92" s="23"/>
      <c r="G92" s="23"/>
      <c r="H92" s="29">
        <f>+E92+F92-G92</f>
        <v>2298</v>
      </c>
      <c r="I92" s="23">
        <f>'[1]Depreciation (Non vehicle) Dec'!$L$96</f>
        <v>1149.2</v>
      </c>
      <c r="J92" s="36">
        <f>((E92*20%)/12)*1</f>
        <v>38.300000000000004</v>
      </c>
      <c r="K92" s="23"/>
      <c r="L92" s="24">
        <f>+I92+J92-K92</f>
        <v>1187.5</v>
      </c>
      <c r="M92" s="169">
        <f>H92-L92</f>
        <v>1110.5</v>
      </c>
    </row>
    <row r="93" spans="2:13">
      <c r="B93" s="167">
        <v>3</v>
      </c>
      <c r="C93" s="47" t="s">
        <v>85</v>
      </c>
      <c r="D93" s="9">
        <v>45296</v>
      </c>
      <c r="E93" s="23">
        <v>2160</v>
      </c>
      <c r="F93" s="23"/>
      <c r="G93" s="23"/>
      <c r="H93" s="29">
        <f>+E93+F93-G93</f>
        <v>2160</v>
      </c>
      <c r="I93" s="23">
        <f>'[1]Depreciation (Non vehicle) Dec'!$L$97</f>
        <v>828</v>
      </c>
      <c r="J93" s="36">
        <f>((E93*20%)/12)*1</f>
        <v>36</v>
      </c>
      <c r="K93" s="23"/>
      <c r="L93" s="24">
        <f>+I93+J93-K93</f>
        <v>864</v>
      </c>
      <c r="M93" s="169">
        <f>H93-L93</f>
        <v>1296</v>
      </c>
    </row>
    <row r="94" spans="2:13">
      <c r="B94" s="167">
        <v>4</v>
      </c>
      <c r="C94" s="47" t="s">
        <v>86</v>
      </c>
      <c r="D94" s="9">
        <v>45402</v>
      </c>
      <c r="E94" s="23">
        <v>2189.5100000000002</v>
      </c>
      <c r="F94" s="23"/>
      <c r="G94" s="23"/>
      <c r="H94" s="29">
        <f>+E94+F94-G94</f>
        <v>2189.5100000000002</v>
      </c>
      <c r="I94" s="23">
        <f>'[1]Depreciation (Non vehicle) Dec'!$L$98</f>
        <v>729.83666666666682</v>
      </c>
      <c r="J94" s="36">
        <f>((E94*20%)/12)*1</f>
        <v>36.491833333333339</v>
      </c>
      <c r="K94" s="23"/>
      <c r="L94" s="24">
        <f>+I94+J94-K94</f>
        <v>766.32850000000019</v>
      </c>
      <c r="M94" s="169">
        <f>H94-L94</f>
        <v>1423.1815000000001</v>
      </c>
    </row>
    <row r="95" spans="2:13">
      <c r="B95" s="167">
        <v>5</v>
      </c>
      <c r="C95" s="47" t="s">
        <v>87</v>
      </c>
      <c r="D95" s="9">
        <v>45726</v>
      </c>
      <c r="E95" s="23">
        <v>2657.36</v>
      </c>
      <c r="F95" s="23"/>
      <c r="G95" s="23"/>
      <c r="H95" s="29">
        <f>+E95+F95-G95</f>
        <v>2657.36</v>
      </c>
      <c r="I95" s="23">
        <f>'[1]Depreciation (Non vehicle) Dec'!$J$99</f>
        <v>398.60399999999998</v>
      </c>
      <c r="J95" s="36">
        <f>((E95*20%)/12)*1</f>
        <v>44.289333333333339</v>
      </c>
      <c r="K95" s="23"/>
      <c r="L95" s="24">
        <f>+I95+J95-K95</f>
        <v>442.89333333333332</v>
      </c>
      <c r="M95" s="169">
        <f>H95-L95</f>
        <v>2214.4666666666667</v>
      </c>
    </row>
    <row r="96" spans="2:13">
      <c r="B96" s="167"/>
      <c r="C96" s="47"/>
      <c r="D96" s="9"/>
      <c r="E96" s="35">
        <f>SUM(E91:E94)</f>
        <v>8027.51</v>
      </c>
      <c r="F96" s="35">
        <f t="shared" ref="F96:G96" si="43">SUM(F91:F94)</f>
        <v>0</v>
      </c>
      <c r="G96" s="35">
        <f t="shared" si="43"/>
        <v>0</v>
      </c>
      <c r="H96" s="35">
        <f>SUM(H91:H95)</f>
        <v>10684.87</v>
      </c>
      <c r="I96" s="35">
        <f t="shared" ref="I96:M96" si="44">SUM(I91:I95)</f>
        <v>3818.6406666666667</v>
      </c>
      <c r="J96" s="35">
        <f>SUM(J91:J95)</f>
        <v>178.08116666666669</v>
      </c>
      <c r="K96" s="35">
        <f t="shared" si="44"/>
        <v>0</v>
      </c>
      <c r="L96" s="35">
        <f>SUM(L91:L95)</f>
        <v>3996.7218333333335</v>
      </c>
      <c r="M96" s="179">
        <f t="shared" si="44"/>
        <v>6688.1481666666677</v>
      </c>
    </row>
    <row r="97" spans="2:13">
      <c r="B97" s="167"/>
      <c r="C97" s="46" t="s">
        <v>88</v>
      </c>
      <c r="D97" s="9"/>
      <c r="E97" s="23"/>
      <c r="F97" s="23"/>
      <c r="G97" s="23"/>
      <c r="H97" s="29"/>
      <c r="I97" s="23"/>
      <c r="J97" s="23"/>
      <c r="K97" s="23"/>
      <c r="L97" s="24"/>
      <c r="M97" s="169"/>
    </row>
    <row r="98" spans="2:13">
      <c r="B98" s="167">
        <v>1</v>
      </c>
      <c r="C98" s="47" t="s">
        <v>89</v>
      </c>
      <c r="D98" s="9">
        <v>45077</v>
      </c>
      <c r="E98" s="23">
        <v>1580</v>
      </c>
      <c r="F98" s="23"/>
      <c r="G98" s="23"/>
      <c r="H98" s="29">
        <f t="shared" ref="H98:H101" si="45">+E98+F98-G98</f>
        <v>1580</v>
      </c>
      <c r="I98" s="23">
        <f>'[1]Depreciation (Non vehicle) Dec'!$L$102</f>
        <v>816.33333333333314</v>
      </c>
      <c r="J98" s="36">
        <f>((E98*20%)/12)*1</f>
        <v>26.333333333333332</v>
      </c>
      <c r="K98" s="23"/>
      <c r="L98" s="24">
        <f t="shared" ref="L98:L101" si="46">+I98+J98-K98</f>
        <v>842.66666666666652</v>
      </c>
      <c r="M98" s="169">
        <f>H98-L98</f>
        <v>737.33333333333348</v>
      </c>
    </row>
    <row r="99" spans="2:13">
      <c r="B99" s="167">
        <v>2</v>
      </c>
      <c r="C99" s="47" t="s">
        <v>90</v>
      </c>
      <c r="D99" s="9">
        <v>45077</v>
      </c>
      <c r="E99" s="23">
        <v>2050</v>
      </c>
      <c r="F99" s="23"/>
      <c r="G99" s="23"/>
      <c r="H99" s="29">
        <f t="shared" si="45"/>
        <v>2050</v>
      </c>
      <c r="I99" s="23">
        <f>'[1]Depreciation (Non vehicle) Dec'!$L$103</f>
        <v>1059.166666666667</v>
      </c>
      <c r="J99" s="36">
        <f>((E99*20%)/12)*1</f>
        <v>34.166666666666664</v>
      </c>
      <c r="K99" s="23"/>
      <c r="L99" s="24">
        <f t="shared" si="46"/>
        <v>1093.3333333333337</v>
      </c>
      <c r="M99" s="169">
        <f>H99-L99</f>
        <v>956.66666666666629</v>
      </c>
    </row>
    <row r="100" spans="2:13">
      <c r="B100" s="167">
        <v>3</v>
      </c>
      <c r="C100" s="47" t="s">
        <v>91</v>
      </c>
      <c r="D100" s="9">
        <v>45816</v>
      </c>
      <c r="E100" s="23">
        <v>1237.1400000000001</v>
      </c>
      <c r="F100" s="23"/>
      <c r="G100" s="23"/>
      <c r="H100" s="29">
        <f t="shared" si="45"/>
        <v>1237.1400000000001</v>
      </c>
      <c r="I100" s="23">
        <f>'[1]Depreciation (Non vehicle) Dec'!$L$104</f>
        <v>123.714</v>
      </c>
      <c r="J100" s="36">
        <f>((E100*20%)/12)*1</f>
        <v>20.619000000000003</v>
      </c>
      <c r="K100" s="23"/>
      <c r="L100" s="24">
        <f t="shared" si="46"/>
        <v>144.333</v>
      </c>
      <c r="M100" s="169">
        <f t="shared" ref="M100:M101" si="47">H100-L100</f>
        <v>1092.807</v>
      </c>
    </row>
    <row r="101" spans="2:13">
      <c r="B101" s="167">
        <v>4</v>
      </c>
      <c r="C101" s="47" t="s">
        <v>92</v>
      </c>
      <c r="D101" s="303">
        <v>45816</v>
      </c>
      <c r="E101" s="304">
        <v>1190.48</v>
      </c>
      <c r="F101" s="304"/>
      <c r="G101" s="304"/>
      <c r="H101" s="305">
        <f t="shared" si="45"/>
        <v>1190.48</v>
      </c>
      <c r="I101" s="304">
        <f>'[1]Depreciation (Non vehicle) Dec'!$L$105</f>
        <v>119.048</v>
      </c>
      <c r="J101" s="306">
        <f>((E101*20%)/12)*1</f>
        <v>19.841333333333335</v>
      </c>
      <c r="K101" s="304"/>
      <c r="L101" s="307">
        <f t="shared" si="46"/>
        <v>138.88933333333333</v>
      </c>
      <c r="M101" s="308">
        <f t="shared" si="47"/>
        <v>1051.5906666666667</v>
      </c>
    </row>
    <row r="102" spans="2:13">
      <c r="B102" s="167"/>
      <c r="C102" s="47"/>
      <c r="D102" s="9"/>
      <c r="E102" s="35">
        <f>SUM(E98:E101)</f>
        <v>6057.6200000000008</v>
      </c>
      <c r="F102" s="35">
        <f t="shared" ref="F102:M102" si="48">SUM(F98:F101)</f>
        <v>0</v>
      </c>
      <c r="G102" s="35">
        <f t="shared" si="48"/>
        <v>0</v>
      </c>
      <c r="H102" s="35">
        <f t="shared" si="48"/>
        <v>6057.6200000000008</v>
      </c>
      <c r="I102" s="35">
        <f t="shared" si="48"/>
        <v>2118.2619999999997</v>
      </c>
      <c r="J102" s="35">
        <f>SUM(J98:J101)</f>
        <v>100.96033333333334</v>
      </c>
      <c r="K102" s="35">
        <f t="shared" si="48"/>
        <v>0</v>
      </c>
      <c r="L102" s="35">
        <f t="shared" si="48"/>
        <v>2219.2223333333336</v>
      </c>
      <c r="M102" s="179">
        <f t="shared" si="48"/>
        <v>3838.3976666666667</v>
      </c>
    </row>
    <row r="103" spans="2:13">
      <c r="B103" s="167"/>
      <c r="C103" s="46" t="s">
        <v>93</v>
      </c>
      <c r="D103" s="44"/>
      <c r="E103" s="9"/>
      <c r="F103" s="9"/>
      <c r="G103" s="9"/>
      <c r="H103" s="9"/>
      <c r="I103" s="9"/>
      <c r="J103" s="9"/>
      <c r="K103" s="9"/>
      <c r="L103" s="9"/>
      <c r="M103" s="190"/>
    </row>
    <row r="104" spans="2:13" ht="14.45" customHeight="1">
      <c r="B104" s="167">
        <v>1</v>
      </c>
      <c r="C104" s="47" t="s">
        <v>94</v>
      </c>
      <c r="D104" s="334">
        <v>45077</v>
      </c>
      <c r="E104" s="323">
        <f>2980*2</f>
        <v>5960</v>
      </c>
      <c r="F104" s="345"/>
      <c r="G104" s="329"/>
      <c r="H104" s="337">
        <f t="shared" ref="H104" si="49">+E104+F104-G104</f>
        <v>5960</v>
      </c>
      <c r="I104" s="339">
        <f>'[1]Depreciation (Non vehicle) Dec'!$L$108</f>
        <v>3079.333333333333</v>
      </c>
      <c r="J104" s="323">
        <f>((E104*20%)/12)*1</f>
        <v>99.333333333333329</v>
      </c>
      <c r="K104" s="329"/>
      <c r="L104" s="325">
        <f t="shared" ref="L104" si="50">+I104+J104-K104</f>
        <v>3178.6666666666665</v>
      </c>
      <c r="M104" s="343">
        <f>H104-L104</f>
        <v>2781.3333333333335</v>
      </c>
    </row>
    <row r="105" spans="2:13">
      <c r="B105" s="167">
        <v>2</v>
      </c>
      <c r="C105" s="47" t="s">
        <v>95</v>
      </c>
      <c r="D105" s="335"/>
      <c r="E105" s="336"/>
      <c r="F105" s="346"/>
      <c r="G105" s="341"/>
      <c r="H105" s="338"/>
      <c r="I105" s="340"/>
      <c r="J105" s="336"/>
      <c r="K105" s="341"/>
      <c r="L105" s="342"/>
      <c r="M105" s="344"/>
    </row>
    <row r="106" spans="2:13">
      <c r="B106" s="167">
        <v>3</v>
      </c>
      <c r="C106" s="47" t="s">
        <v>96</v>
      </c>
      <c r="D106" s="9">
        <v>45077</v>
      </c>
      <c r="E106" s="23">
        <v>1380</v>
      </c>
      <c r="F106" s="23"/>
      <c r="G106" s="23"/>
      <c r="H106" s="29">
        <f t="shared" ref="H106:H108" si="51">+E106+F106-G106</f>
        <v>1380</v>
      </c>
      <c r="I106" s="23">
        <f>'[1]Depreciation (Non vehicle) Dec'!$L$110</f>
        <v>713</v>
      </c>
      <c r="J106" s="36">
        <f>((E106*20%)/12)*1</f>
        <v>23</v>
      </c>
      <c r="K106" s="23"/>
      <c r="L106" s="24">
        <f t="shared" ref="L106:L108" si="52">+I106+J106-K106</f>
        <v>736</v>
      </c>
      <c r="M106" s="169">
        <f>H106-L106</f>
        <v>644</v>
      </c>
    </row>
    <row r="107" spans="2:13">
      <c r="B107" s="167">
        <v>4</v>
      </c>
      <c r="C107" s="47" t="s">
        <v>97</v>
      </c>
      <c r="D107" s="9">
        <v>45077</v>
      </c>
      <c r="E107" s="23">
        <v>350</v>
      </c>
      <c r="F107" s="23"/>
      <c r="G107" s="23"/>
      <c r="H107" s="29">
        <f t="shared" si="51"/>
        <v>350</v>
      </c>
      <c r="I107" s="23">
        <f>'[1]Depreciation (Non vehicle) Dec'!$L$111</f>
        <v>180.83333333333329</v>
      </c>
      <c r="J107" s="36">
        <f>((E107*20%)/12)*1</f>
        <v>5.833333333333333</v>
      </c>
      <c r="K107" s="23"/>
      <c r="L107" s="24">
        <f>+I107+J107-K107</f>
        <v>186.66666666666663</v>
      </c>
      <c r="M107" s="169">
        <f>H107-L107</f>
        <v>163.33333333333337</v>
      </c>
    </row>
    <row r="108" spans="2:13" ht="14.45" customHeight="1">
      <c r="B108" s="167">
        <v>5</v>
      </c>
      <c r="C108" s="47" t="s">
        <v>98</v>
      </c>
      <c r="D108" s="334">
        <v>45159</v>
      </c>
      <c r="E108" s="323">
        <v>4020</v>
      </c>
      <c r="F108" s="323"/>
      <c r="G108" s="323"/>
      <c r="H108" s="337">
        <f t="shared" si="51"/>
        <v>4020</v>
      </c>
      <c r="I108" s="323">
        <f>'[1]Depreciation (Non vehicle) Dec'!$L$112</f>
        <v>1876</v>
      </c>
      <c r="J108" s="329">
        <f>((E108*20%)/12)*1</f>
        <v>67</v>
      </c>
      <c r="K108" s="323"/>
      <c r="L108" s="325">
        <f t="shared" si="52"/>
        <v>1943</v>
      </c>
      <c r="M108" s="343">
        <f>H108-L108</f>
        <v>2077</v>
      </c>
    </row>
    <row r="109" spans="2:13">
      <c r="B109" s="167">
        <v>6</v>
      </c>
      <c r="C109" s="47" t="s">
        <v>99</v>
      </c>
      <c r="D109" s="335"/>
      <c r="E109" s="336"/>
      <c r="F109" s="336"/>
      <c r="G109" s="336"/>
      <c r="H109" s="338"/>
      <c r="I109" s="324"/>
      <c r="J109" s="330"/>
      <c r="K109" s="324"/>
      <c r="L109" s="326"/>
      <c r="M109" s="344"/>
    </row>
    <row r="110" spans="2:13">
      <c r="B110" s="167">
        <v>7</v>
      </c>
      <c r="C110" s="47" t="s">
        <v>100</v>
      </c>
      <c r="D110" s="334">
        <v>45259</v>
      </c>
      <c r="E110" s="323">
        <v>1800</v>
      </c>
      <c r="F110" s="323"/>
      <c r="G110" s="323"/>
      <c r="H110" s="320">
        <f>+E110+F110-G110</f>
        <v>1800</v>
      </c>
      <c r="I110" s="327">
        <f>'[1]Depreciation (Non vehicle) Dec'!$L$114</f>
        <v>750</v>
      </c>
      <c r="J110" s="331">
        <f>((E110*20%)/12)*1</f>
        <v>30</v>
      </c>
      <c r="K110" s="327"/>
      <c r="L110" s="328">
        <f>+I110+J110-K110</f>
        <v>780</v>
      </c>
      <c r="M110" s="317">
        <f>H110-L110</f>
        <v>1020</v>
      </c>
    </row>
    <row r="111" spans="2:13">
      <c r="B111" s="167">
        <v>8</v>
      </c>
      <c r="C111" s="47" t="s">
        <v>101</v>
      </c>
      <c r="D111" s="347"/>
      <c r="E111" s="324"/>
      <c r="F111" s="324"/>
      <c r="G111" s="324"/>
      <c r="H111" s="321"/>
      <c r="I111" s="327"/>
      <c r="J111" s="331"/>
      <c r="K111" s="327"/>
      <c r="L111" s="328"/>
      <c r="M111" s="318"/>
    </row>
    <row r="112" spans="2:13">
      <c r="B112" s="167">
        <v>9</v>
      </c>
      <c r="C112" s="47" t="s">
        <v>102</v>
      </c>
      <c r="D112" s="335"/>
      <c r="E112" s="336"/>
      <c r="F112" s="336"/>
      <c r="G112" s="336"/>
      <c r="H112" s="322"/>
      <c r="I112" s="327"/>
      <c r="J112" s="331"/>
      <c r="K112" s="327"/>
      <c r="L112" s="328"/>
      <c r="M112" s="319"/>
    </row>
    <row r="113" spans="2:16">
      <c r="B113" s="167">
        <v>10</v>
      </c>
      <c r="C113" s="47" t="s">
        <v>103</v>
      </c>
      <c r="D113" s="334">
        <v>45601</v>
      </c>
      <c r="E113" s="86">
        <v>1808.48</v>
      </c>
      <c r="F113" s="86"/>
      <c r="G113" s="86"/>
      <c r="H113" s="91">
        <f>+E113-G113</f>
        <v>1808.48</v>
      </c>
      <c r="I113" s="88">
        <f>'[1]Depreciation (Non vehicle) Dec'!$L$117</f>
        <v>391.83733333333339</v>
      </c>
      <c r="J113" s="88">
        <f>((E113*20%)/12)*1</f>
        <v>30.141333333333336</v>
      </c>
      <c r="K113" s="89"/>
      <c r="L113" s="90">
        <f>+I113+J113-K113</f>
        <v>421.97866666666675</v>
      </c>
      <c r="M113" s="192">
        <f>H113-L113</f>
        <v>1386.5013333333332</v>
      </c>
    </row>
    <row r="114" spans="2:16">
      <c r="B114" s="167">
        <v>11</v>
      </c>
      <c r="C114" s="47" t="s">
        <v>104</v>
      </c>
      <c r="D114" s="335"/>
      <c r="E114" s="86">
        <v>1808.48</v>
      </c>
      <c r="F114" s="86"/>
      <c r="G114" s="86"/>
      <c r="H114" s="91">
        <f>+E114-G114</f>
        <v>1808.48</v>
      </c>
      <c r="I114" s="88">
        <f>'[1]Depreciation (Non vehicle) Dec'!$L$118</f>
        <v>391.83733333333339</v>
      </c>
      <c r="J114" s="88">
        <f>((E114*20%)/12)*1</f>
        <v>30.141333333333336</v>
      </c>
      <c r="K114" s="89"/>
      <c r="L114" s="90">
        <f>+I114+J114-K114</f>
        <v>421.97866666666675</v>
      </c>
      <c r="M114" s="192">
        <f>H114-L114</f>
        <v>1386.5013333333332</v>
      </c>
    </row>
    <row r="115" spans="2:16">
      <c r="B115" s="167"/>
      <c r="C115" s="47"/>
      <c r="D115" s="85"/>
      <c r="E115" s="86"/>
      <c r="F115" s="86"/>
      <c r="G115" s="86"/>
      <c r="H115" s="22"/>
      <c r="I115" s="86"/>
      <c r="J115" s="86"/>
      <c r="K115" s="86"/>
      <c r="L115" s="87"/>
      <c r="M115" s="191"/>
    </row>
    <row r="116" spans="2:16">
      <c r="B116" s="167"/>
      <c r="C116" s="6"/>
      <c r="D116" s="9"/>
      <c r="E116" s="35">
        <f t="shared" ref="E116:F116" si="53">SUM(E104:E112)</f>
        <v>13510</v>
      </c>
      <c r="F116" s="35">
        <f t="shared" si="53"/>
        <v>0</v>
      </c>
      <c r="G116" s="35">
        <f>SUM(G104:G112)</f>
        <v>0</v>
      </c>
      <c r="H116" s="35">
        <f>SUM(H104:H114)</f>
        <v>17126.96</v>
      </c>
      <c r="I116" s="35">
        <f>SUM(I104:I115)</f>
        <v>7382.8413333333319</v>
      </c>
      <c r="J116" s="35">
        <f t="shared" ref="J116:K116" si="54">SUM(J104:J115)</f>
        <v>285.44933333333336</v>
      </c>
      <c r="K116" s="35">
        <f t="shared" si="54"/>
        <v>0</v>
      </c>
      <c r="L116" s="35">
        <f>SUM(L104:L115)</f>
        <v>7668.2906666666668</v>
      </c>
      <c r="M116" s="179">
        <f>SUM(M104:M115)</f>
        <v>9458.6693333333333</v>
      </c>
    </row>
    <row r="117" spans="2:16">
      <c r="B117" s="167"/>
      <c r="C117" s="8"/>
      <c r="D117" s="9"/>
      <c r="E117" s="25"/>
      <c r="F117" s="25"/>
      <c r="G117" s="25"/>
      <c r="H117" s="30"/>
      <c r="I117" s="25"/>
      <c r="J117" s="25"/>
      <c r="K117" s="25"/>
      <c r="L117" s="26"/>
      <c r="M117" s="186"/>
    </row>
    <row r="118" spans="2:16">
      <c r="B118" s="167"/>
      <c r="C118" s="8"/>
      <c r="D118" s="9"/>
      <c r="E118" s="25"/>
      <c r="F118" s="25"/>
      <c r="G118" s="25"/>
      <c r="H118" s="30"/>
      <c r="I118" s="25"/>
      <c r="J118" s="25"/>
      <c r="K118" s="25"/>
      <c r="L118" s="26"/>
      <c r="M118" s="186"/>
    </row>
    <row r="119" spans="2:16">
      <c r="B119" s="170"/>
      <c r="C119" s="295" t="s">
        <v>105</v>
      </c>
      <c r="D119" s="296" t="s">
        <v>25</v>
      </c>
      <c r="E119" s="171">
        <f>E52+E83+E89+E96+E102+E58+E62+E74+E43+E116</f>
        <v>122701.79000000001</v>
      </c>
      <c r="F119" s="171">
        <f t="shared" ref="F119:M119" si="55">F52+F83+F89+F96+F102+F58+F62+F74+F43+F116</f>
        <v>0</v>
      </c>
      <c r="G119" s="171">
        <f t="shared" si="55"/>
        <v>0</v>
      </c>
      <c r="H119" s="171">
        <f t="shared" si="55"/>
        <v>133737.06</v>
      </c>
      <c r="I119" s="171">
        <f t="shared" si="55"/>
        <v>46248.121333333329</v>
      </c>
      <c r="J119" s="171">
        <f t="shared" si="55"/>
        <v>2149.6018333333336</v>
      </c>
      <c r="K119" s="171">
        <f t="shared" si="55"/>
        <v>0</v>
      </c>
      <c r="L119" s="171">
        <f t="shared" si="55"/>
        <v>48397.72316666667</v>
      </c>
      <c r="M119" s="173">
        <f t="shared" si="55"/>
        <v>80578.386833333338</v>
      </c>
      <c r="O119" s="70">
        <v>47697.19</v>
      </c>
      <c r="P119" s="302">
        <f>O119-L119</f>
        <v>-700.53316666666797</v>
      </c>
    </row>
    <row r="120" spans="2:16">
      <c r="B120" s="175"/>
      <c r="C120" s="176"/>
      <c r="D120" s="177"/>
      <c r="E120" s="26"/>
      <c r="F120" s="26"/>
      <c r="G120" s="26"/>
      <c r="H120" s="43"/>
      <c r="I120" s="43"/>
      <c r="J120" s="43"/>
      <c r="K120" s="43"/>
      <c r="L120" s="43"/>
      <c r="M120" s="43"/>
    </row>
    <row r="121" spans="2:16">
      <c r="B121" s="6"/>
      <c r="C121" s="6"/>
      <c r="D121" s="7"/>
      <c r="E121" s="23"/>
      <c r="F121" s="23"/>
      <c r="G121" s="23"/>
      <c r="H121" s="29"/>
      <c r="I121" s="23"/>
      <c r="J121" s="24"/>
      <c r="K121" s="23"/>
      <c r="L121" s="24"/>
      <c r="M121" s="24"/>
    </row>
    <row r="122" spans="2:16">
      <c r="B122" s="6"/>
      <c r="C122" s="6"/>
      <c r="D122" s="7"/>
      <c r="E122" s="27">
        <f>E119+E34+E15+E20+E24</f>
        <v>1346420.17</v>
      </c>
      <c r="F122" s="27">
        <f t="shared" ref="F122:M122" si="56">F119+F34+F15+F20+F24</f>
        <v>0</v>
      </c>
      <c r="G122" s="27">
        <f t="shared" si="56"/>
        <v>0</v>
      </c>
      <c r="H122" s="27">
        <f t="shared" si="56"/>
        <v>1357365.44</v>
      </c>
      <c r="I122" s="27">
        <f t="shared" si="56"/>
        <v>885597.97233333334</v>
      </c>
      <c r="J122" s="27">
        <f t="shared" si="56"/>
        <v>35227.363611111119</v>
      </c>
      <c r="K122" s="27">
        <f t="shared" si="56"/>
        <v>0</v>
      </c>
      <c r="L122" s="27">
        <f t="shared" si="56"/>
        <v>920825.33594444441</v>
      </c>
      <c r="M122" s="27">
        <f t="shared" si="56"/>
        <v>431779.15405555553</v>
      </c>
    </row>
    <row r="123" spans="2:16">
      <c r="D123" s="271"/>
      <c r="E123" s="272"/>
      <c r="F123" s="272"/>
      <c r="G123" s="272"/>
      <c r="H123" s="17"/>
      <c r="I123" s="272"/>
      <c r="J123" s="272"/>
      <c r="K123" s="272"/>
      <c r="L123" s="272"/>
      <c r="M123" s="272"/>
    </row>
    <row r="124" spans="2:16">
      <c r="C124" s="12" t="s">
        <v>106</v>
      </c>
      <c r="E124" s="15"/>
      <c r="H124" s="15">
        <f>82207.11+389153+128976.41+752267.99</f>
        <v>1352604.51</v>
      </c>
      <c r="L124" s="15">
        <f>47697.19+36572+564199.67+271655</f>
        <v>920123.8600000001</v>
      </c>
      <c r="M124" s="15">
        <f>+H124-L124</f>
        <v>432480.64999999991</v>
      </c>
    </row>
    <row r="125" spans="2:16">
      <c r="C125" s="12"/>
      <c r="L125" s="15"/>
    </row>
    <row r="126" spans="2:16">
      <c r="C126" s="12" t="s">
        <v>107</v>
      </c>
      <c r="E126" s="15"/>
      <c r="H126" s="15">
        <f>H122-H124</f>
        <v>4760.9299999999348</v>
      </c>
      <c r="I126" s="15"/>
      <c r="L126" s="15">
        <f>L122-L124</f>
        <v>701.47594444430433</v>
      </c>
      <c r="M126" s="15">
        <f>+M124-M122</f>
        <v>701.49594444438117</v>
      </c>
    </row>
    <row r="127" spans="2:16">
      <c r="C127" s="12"/>
      <c r="L127" s="15"/>
    </row>
    <row r="128" spans="2:16">
      <c r="C128" s="12"/>
    </row>
    <row r="129" spans="8:13">
      <c r="H129" s="31"/>
      <c r="I129" s="11"/>
      <c r="J129" s="10"/>
      <c r="K129" s="10"/>
      <c r="L129" s="11"/>
      <c r="M129" s="1"/>
    </row>
    <row r="130" spans="8:13">
      <c r="H130" s="1"/>
      <c r="I130" s="1"/>
      <c r="J130" s="1"/>
      <c r="K130" s="1"/>
      <c r="L130" s="1"/>
      <c r="M130" s="1"/>
    </row>
    <row r="131" spans="8:13" ht="12.75" customHeight="1">
      <c r="H131" s="2"/>
      <c r="L131" s="15"/>
      <c r="M131" s="1"/>
    </row>
    <row r="132" spans="8:13" ht="12.75" customHeight="1">
      <c r="H132" s="2"/>
      <c r="L132" s="15"/>
      <c r="M132" s="1"/>
    </row>
  </sheetData>
  <mergeCells count="37">
    <mergeCell ref="I3:L3"/>
    <mergeCell ref="B5:B6"/>
    <mergeCell ref="C5:C6"/>
    <mergeCell ref="D5:H5"/>
    <mergeCell ref="I5:L5"/>
    <mergeCell ref="D113:D114"/>
    <mergeCell ref="D104:D105"/>
    <mergeCell ref="E104:E105"/>
    <mergeCell ref="F104:F105"/>
    <mergeCell ref="G104:G105"/>
    <mergeCell ref="D110:D112"/>
    <mergeCell ref="E110:E112"/>
    <mergeCell ref="F110:F112"/>
    <mergeCell ref="G110:G112"/>
    <mergeCell ref="M5:M6"/>
    <mergeCell ref="D108:D109"/>
    <mergeCell ref="E108:E109"/>
    <mergeCell ref="F108:F109"/>
    <mergeCell ref="G108:G109"/>
    <mergeCell ref="H108:H109"/>
    <mergeCell ref="I104:I105"/>
    <mergeCell ref="J104:J105"/>
    <mergeCell ref="K104:K105"/>
    <mergeCell ref="L104:L105"/>
    <mergeCell ref="M104:M105"/>
    <mergeCell ref="M108:M109"/>
    <mergeCell ref="H104:H105"/>
    <mergeCell ref="M110:M112"/>
    <mergeCell ref="H110:H112"/>
    <mergeCell ref="I108:I109"/>
    <mergeCell ref="K108:K109"/>
    <mergeCell ref="L108:L109"/>
    <mergeCell ref="I110:I112"/>
    <mergeCell ref="K110:K112"/>
    <mergeCell ref="L110:L112"/>
    <mergeCell ref="J108:J109"/>
    <mergeCell ref="J110:J112"/>
  </mergeCells>
  <conditionalFormatting sqref="C19:C20 C17">
    <cfRule type="duplicateValues" dxfId="60" priority="25"/>
  </conditionalFormatting>
  <conditionalFormatting sqref="C39">
    <cfRule type="duplicateValues" dxfId="59" priority="16"/>
  </conditionalFormatting>
  <conditionalFormatting sqref="C41">
    <cfRule type="duplicateValues" dxfId="58" priority="24"/>
  </conditionalFormatting>
  <conditionalFormatting sqref="C42">
    <cfRule type="duplicateValues" dxfId="57" priority="23"/>
  </conditionalFormatting>
  <conditionalFormatting sqref="C44">
    <cfRule type="duplicateValues" dxfId="56" priority="15"/>
  </conditionalFormatting>
  <conditionalFormatting sqref="C46">
    <cfRule type="duplicateValues" dxfId="55" priority="21"/>
  </conditionalFormatting>
  <conditionalFormatting sqref="C47">
    <cfRule type="duplicateValues" dxfId="54" priority="20"/>
  </conditionalFormatting>
  <conditionalFormatting sqref="C48:C49">
    <cfRule type="duplicateValues" dxfId="53" priority="19"/>
  </conditionalFormatting>
  <conditionalFormatting sqref="C76">
    <cfRule type="duplicateValues" dxfId="52" priority="12"/>
  </conditionalFormatting>
  <conditionalFormatting sqref="C77">
    <cfRule type="duplicateValues" dxfId="51" priority="11"/>
  </conditionalFormatting>
  <conditionalFormatting sqref="C78:C79">
    <cfRule type="duplicateValues" dxfId="50" priority="10"/>
  </conditionalFormatting>
  <conditionalFormatting sqref="C80:C81">
    <cfRule type="duplicateValues" dxfId="49" priority="9"/>
  </conditionalFormatting>
  <conditionalFormatting sqref="C88">
    <cfRule type="duplicateValues" dxfId="48" priority="165"/>
  </conditionalFormatting>
  <conditionalFormatting sqref="C91">
    <cfRule type="duplicateValues" dxfId="47" priority="6"/>
  </conditionalFormatting>
  <conditionalFormatting sqref="C92">
    <cfRule type="duplicateValues" dxfId="46" priority="5"/>
  </conditionalFormatting>
  <conditionalFormatting sqref="C93:C96 C58:C75 C21:C38 C102 C82 C116:C120 C51:C53 C7:C16">
    <cfRule type="duplicateValues" dxfId="45" priority="28"/>
  </conditionalFormatting>
  <conditionalFormatting sqref="C97">
    <cfRule type="duplicateValues" dxfId="44" priority="8"/>
  </conditionalFormatting>
  <conditionalFormatting sqref="C98">
    <cfRule type="duplicateValues" dxfId="43" priority="14"/>
  </conditionalFormatting>
  <conditionalFormatting sqref="C99:C101">
    <cfRule type="duplicateValues" dxfId="42" priority="13"/>
  </conditionalFormatting>
  <conditionalFormatting sqref="C121:C1048576 C1:C5">
    <cfRule type="duplicateValues" dxfId="41" priority="27"/>
  </conditionalFormatting>
  <conditionalFormatting sqref="C103:D103 C104:C115">
    <cfRule type="duplicateValues" dxfId="40" priority="7"/>
  </conditionalFormatting>
  <conditionalFormatting sqref="C43">
    <cfRule type="duplicateValues" dxfId="39" priority="187"/>
  </conditionalFormatting>
  <pageMargins left="0.7" right="0.7" top="0.75" bottom="0.75" header="0.3" footer="0.3"/>
  <pageSetup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9BFA2-6CF5-4957-BDDF-A33CA795BBD3}">
  <sheetPr>
    <pageSetUpPr fitToPage="1"/>
  </sheetPr>
  <dimension ref="A1:CI58"/>
  <sheetViews>
    <sheetView zoomScaleNormal="98" workbookViewId="0">
      <pane xSplit="6" ySplit="2" topLeftCell="G3" activePane="bottomRight" state="frozen"/>
      <selection pane="bottomRight" activeCell="L6" sqref="L6:L35"/>
      <selection pane="bottomLeft" activeCell="A3" sqref="A3"/>
      <selection pane="topRight" activeCell="F1" sqref="F1"/>
    </sheetView>
  </sheetViews>
  <sheetFormatPr defaultColWidth="9.140625" defaultRowHeight="12.75" customHeight="1"/>
  <cols>
    <col min="1" max="1" width="5.85546875" style="1" bestFit="1" customWidth="1"/>
    <col min="2" max="2" width="30.5703125" style="1" customWidth="1"/>
    <col min="3" max="3" width="16.85546875" style="1" customWidth="1"/>
    <col min="4" max="4" width="12.42578125" style="1" customWidth="1"/>
    <col min="5" max="5" width="11.85546875" style="1" customWidth="1"/>
    <col min="6" max="6" width="11.85546875" style="2" customWidth="1"/>
    <col min="7" max="8" width="12.5703125" style="2" customWidth="1"/>
    <col min="9" max="9" width="15.7109375" style="2" customWidth="1"/>
    <col min="10" max="11" width="12.28515625" style="2" customWidth="1"/>
    <col min="12" max="12" width="15.7109375" style="2" customWidth="1"/>
    <col min="13" max="13" width="14.5703125" style="1" customWidth="1"/>
    <col min="14" max="14" width="13.140625" style="1" customWidth="1"/>
    <col min="15" max="15" width="14.5703125" style="1" customWidth="1"/>
    <col min="16" max="16" width="16.7109375" style="1" customWidth="1"/>
    <col min="17" max="19" width="12.85546875" style="1" customWidth="1"/>
    <col min="20" max="20" width="13.42578125" style="1" customWidth="1"/>
    <col min="21" max="21" width="13.7109375" style="1" customWidth="1"/>
    <col min="22" max="27" width="16.140625" style="1" customWidth="1"/>
    <col min="28" max="28" width="17.42578125" style="1" customWidth="1"/>
    <col min="29" max="29" width="18" style="1" customWidth="1"/>
    <col min="30" max="30" width="30.7109375" style="1" customWidth="1"/>
    <col min="31" max="31" width="19.7109375" style="1" customWidth="1"/>
    <col min="32" max="32" width="15" style="310" customWidth="1"/>
    <col min="33" max="33" width="10.42578125" style="310" bestFit="1" customWidth="1"/>
    <col min="34" max="87" width="9.140625" style="310"/>
    <col min="88" max="16384" width="9.140625" style="1"/>
  </cols>
  <sheetData>
    <row r="1" spans="1:87" ht="24" customHeight="1">
      <c r="I1" s="357" t="s">
        <v>108</v>
      </c>
      <c r="J1" s="358"/>
      <c r="K1" s="358"/>
      <c r="L1" s="359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1"/>
    </row>
    <row r="2" spans="1:87" s="21" customFormat="1" ht="51" customHeight="1">
      <c r="A2" s="59" t="s">
        <v>109</v>
      </c>
      <c r="B2" s="59" t="s">
        <v>110</v>
      </c>
      <c r="C2" s="59" t="s">
        <v>111</v>
      </c>
      <c r="D2" s="59" t="s">
        <v>112</v>
      </c>
      <c r="E2" s="61" t="s">
        <v>113</v>
      </c>
      <c r="F2" s="62" t="s">
        <v>114</v>
      </c>
      <c r="G2" s="63" t="s">
        <v>115</v>
      </c>
      <c r="H2" s="61" t="s">
        <v>116</v>
      </c>
      <c r="I2" s="282" t="s">
        <v>117</v>
      </c>
      <c r="J2" s="140" t="s">
        <v>118</v>
      </c>
      <c r="K2" s="140" t="s">
        <v>119</v>
      </c>
      <c r="L2" s="141" t="s">
        <v>120</v>
      </c>
      <c r="M2" s="119" t="s">
        <v>121</v>
      </c>
      <c r="N2" s="62" t="s">
        <v>122</v>
      </c>
      <c r="O2" s="270" t="s">
        <v>123</v>
      </c>
      <c r="P2" s="268">
        <v>46023</v>
      </c>
      <c r="Q2" s="67">
        <v>46054</v>
      </c>
      <c r="R2" s="67">
        <v>46082</v>
      </c>
      <c r="S2" s="67">
        <v>46113</v>
      </c>
      <c r="T2" s="67">
        <v>46143</v>
      </c>
      <c r="U2" s="67">
        <v>46174</v>
      </c>
      <c r="V2" s="67">
        <v>46204</v>
      </c>
      <c r="W2" s="67">
        <v>46235</v>
      </c>
      <c r="X2" s="67">
        <v>46266</v>
      </c>
      <c r="Y2" s="67">
        <v>46296</v>
      </c>
      <c r="Z2" s="67">
        <v>46327</v>
      </c>
      <c r="AA2" s="67">
        <v>46357</v>
      </c>
      <c r="AB2" s="67" t="s">
        <v>124</v>
      </c>
      <c r="AC2" s="66" t="s">
        <v>125</v>
      </c>
      <c r="AD2" s="66" t="s">
        <v>126</v>
      </c>
      <c r="AE2" s="65" t="s">
        <v>127</v>
      </c>
      <c r="AF2" s="311" t="s">
        <v>128</v>
      </c>
      <c r="AG2" s="311"/>
      <c r="AH2" s="311"/>
      <c r="AI2" s="311"/>
      <c r="AJ2" s="311"/>
      <c r="AK2" s="311"/>
      <c r="AL2" s="311"/>
      <c r="AM2" s="311"/>
      <c r="AN2" s="311"/>
      <c r="AO2" s="311"/>
      <c r="AP2" s="311"/>
      <c r="AQ2" s="311"/>
      <c r="AR2" s="311"/>
      <c r="AS2" s="311"/>
      <c r="AT2" s="311"/>
      <c r="AU2" s="311"/>
      <c r="AV2" s="311"/>
      <c r="AW2" s="311"/>
      <c r="AX2" s="311"/>
      <c r="AY2" s="311"/>
      <c r="AZ2" s="311"/>
      <c r="BA2" s="311"/>
      <c r="BB2" s="311"/>
      <c r="BC2" s="311"/>
      <c r="BD2" s="311"/>
      <c r="BE2" s="311"/>
      <c r="BF2" s="311"/>
      <c r="BG2" s="311"/>
      <c r="BH2" s="311"/>
      <c r="BI2" s="311"/>
      <c r="BJ2" s="311"/>
      <c r="BK2" s="311"/>
      <c r="BL2" s="311"/>
      <c r="BM2" s="311"/>
      <c r="BN2" s="311"/>
      <c r="BO2" s="311"/>
      <c r="BP2" s="311"/>
      <c r="BQ2" s="311"/>
      <c r="BR2" s="311"/>
      <c r="BS2" s="311"/>
      <c r="BT2" s="311"/>
      <c r="BU2" s="311"/>
      <c r="BV2" s="311"/>
      <c r="BW2" s="311"/>
      <c r="BX2" s="311"/>
      <c r="BY2" s="311"/>
      <c r="BZ2" s="311"/>
      <c r="CA2" s="311"/>
      <c r="CB2" s="311"/>
      <c r="CC2" s="311"/>
      <c r="CD2" s="311"/>
      <c r="CE2" s="311"/>
      <c r="CF2" s="311"/>
      <c r="CG2" s="311"/>
      <c r="CH2" s="311"/>
      <c r="CI2" s="311"/>
    </row>
    <row r="3" spans="1:87">
      <c r="A3" s="73"/>
      <c r="B3" s="68"/>
      <c r="C3" s="68"/>
      <c r="D3" s="72"/>
      <c r="E3" s="72"/>
      <c r="F3" s="79"/>
      <c r="G3" s="79"/>
      <c r="H3" s="116"/>
      <c r="I3" s="109"/>
      <c r="J3" s="79"/>
      <c r="K3" s="79"/>
      <c r="L3" s="110"/>
      <c r="M3" s="120"/>
      <c r="N3" s="79"/>
      <c r="O3" s="26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80"/>
      <c r="AC3" s="80"/>
      <c r="AD3" s="81"/>
      <c r="AE3" s="80">
        <f>L3-AD3</f>
        <v>0</v>
      </c>
    </row>
    <row r="4" spans="1:87">
      <c r="A4" s="74"/>
      <c r="B4" s="68"/>
      <c r="C4" s="68"/>
      <c r="D4" s="72"/>
      <c r="E4" s="72"/>
      <c r="F4" s="79"/>
      <c r="G4" s="79"/>
      <c r="H4" s="116"/>
      <c r="I4" s="109"/>
      <c r="J4" s="79"/>
      <c r="K4" s="79"/>
      <c r="L4" s="110"/>
      <c r="M4" s="120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80"/>
      <c r="AC4" s="80"/>
      <c r="AD4" s="81"/>
      <c r="AE4" s="80">
        <f>L4-AD4</f>
        <v>0</v>
      </c>
    </row>
    <row r="5" spans="1:87">
      <c r="A5" s="75"/>
      <c r="B5" s="82" t="s">
        <v>129</v>
      </c>
      <c r="C5" s="68"/>
      <c r="D5" s="72"/>
      <c r="E5" s="72"/>
      <c r="F5" s="79"/>
      <c r="G5" s="79"/>
      <c r="H5" s="116"/>
      <c r="I5" s="109"/>
      <c r="J5" s="79"/>
      <c r="K5" s="79"/>
      <c r="L5" s="110"/>
      <c r="M5" s="120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80"/>
      <c r="AC5" s="80"/>
      <c r="AD5" s="81"/>
      <c r="AE5" s="80">
        <f>L5-AD5</f>
        <v>0</v>
      </c>
    </row>
    <row r="6" spans="1:87" s="284" customFormat="1">
      <c r="A6" s="283">
        <v>1</v>
      </c>
      <c r="B6" s="93" t="s">
        <v>130</v>
      </c>
      <c r="C6" s="93" t="s">
        <v>131</v>
      </c>
      <c r="D6" s="94">
        <v>44769</v>
      </c>
      <c r="E6" s="94"/>
      <c r="F6" s="92">
        <v>532380.94999999995</v>
      </c>
      <c r="G6" s="92">
        <f>F6*30%</f>
        <v>159714.28499999997</v>
      </c>
      <c r="H6" s="107">
        <f>F6*70%</f>
        <v>372666.66499999992</v>
      </c>
      <c r="I6" s="111">
        <v>532380.94999999995</v>
      </c>
      <c r="J6" s="92"/>
      <c r="K6" s="92"/>
      <c r="L6" s="112">
        <f>I6+J6-K6</f>
        <v>532380.94999999995</v>
      </c>
      <c r="M6" s="108">
        <f>F6*30%</f>
        <v>159714.28499999997</v>
      </c>
      <c r="N6" s="92">
        <f>H6/36</f>
        <v>10351.851805555554</v>
      </c>
      <c r="O6" s="92">
        <v>372666.74263888889</v>
      </c>
      <c r="P6" s="309">
        <v>0</v>
      </c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6">
        <f>SUM(P6:AA6)</f>
        <v>0</v>
      </c>
      <c r="AC6" s="96"/>
      <c r="AD6" s="97">
        <f>O6+AB6-AC6</f>
        <v>372666.74263888889</v>
      </c>
      <c r="AE6" s="97">
        <f>L6-AD6</f>
        <v>159714.20736111107</v>
      </c>
      <c r="AF6" s="312">
        <f>AE6-G6</f>
        <v>-7.7638888906221837E-2</v>
      </c>
      <c r="AG6" s="310"/>
      <c r="AH6" s="310"/>
      <c r="AI6" s="310"/>
      <c r="AJ6" s="310"/>
      <c r="AK6" s="310"/>
      <c r="AL6" s="310"/>
      <c r="AM6" s="310"/>
      <c r="AN6" s="310"/>
      <c r="AO6" s="310"/>
      <c r="AP6" s="310"/>
      <c r="AQ6" s="310"/>
      <c r="AR6" s="310"/>
      <c r="AS6" s="310"/>
      <c r="AT6" s="310"/>
      <c r="AU6" s="310"/>
      <c r="AV6" s="310"/>
      <c r="AW6" s="310"/>
      <c r="AX6" s="310"/>
      <c r="AY6" s="310"/>
      <c r="AZ6" s="310"/>
      <c r="BA6" s="310"/>
      <c r="BB6" s="310"/>
      <c r="BC6" s="310"/>
      <c r="BD6" s="310"/>
      <c r="BE6" s="310"/>
      <c r="BF6" s="310"/>
      <c r="BG6" s="310"/>
      <c r="BH6" s="310"/>
      <c r="BI6" s="310"/>
      <c r="BJ6" s="310"/>
      <c r="BK6" s="310"/>
      <c r="BL6" s="310"/>
      <c r="BM6" s="310"/>
      <c r="BN6" s="310"/>
      <c r="BO6" s="310"/>
      <c r="BP6" s="310"/>
      <c r="BQ6" s="310"/>
      <c r="BR6" s="310"/>
      <c r="BS6" s="310"/>
      <c r="BT6" s="310"/>
      <c r="BU6" s="310"/>
      <c r="BV6" s="310"/>
      <c r="BW6" s="310"/>
      <c r="BX6" s="310"/>
      <c r="BY6" s="310"/>
      <c r="BZ6" s="310"/>
      <c r="CA6" s="310"/>
      <c r="CB6" s="310"/>
      <c r="CC6" s="310"/>
      <c r="CD6" s="310"/>
      <c r="CE6" s="310"/>
      <c r="CF6" s="310"/>
      <c r="CG6" s="310"/>
      <c r="CH6" s="310"/>
      <c r="CI6" s="310"/>
    </row>
    <row r="7" spans="1:87" s="284" customFormat="1">
      <c r="A7" s="283">
        <v>2</v>
      </c>
      <c r="B7" s="93" t="s">
        <v>132</v>
      </c>
      <c r="C7" s="93" t="s">
        <v>133</v>
      </c>
      <c r="D7" s="94">
        <v>45061</v>
      </c>
      <c r="E7" s="94"/>
      <c r="F7" s="92">
        <v>561102.32999999996</v>
      </c>
      <c r="G7" s="92">
        <f>F7*30%</f>
        <v>168330.69899999999</v>
      </c>
      <c r="H7" s="107">
        <f>F7*70%</f>
        <v>392771.63099999994</v>
      </c>
      <c r="I7" s="111">
        <v>561102.32999999996</v>
      </c>
      <c r="J7" s="92"/>
      <c r="K7" s="92"/>
      <c r="L7" s="112">
        <f t="shared" ref="L7:L35" si="0">I7+J7-K7</f>
        <v>561102.32999999996</v>
      </c>
      <c r="M7" s="108">
        <f>F7*30%</f>
        <v>168330.69899999999</v>
      </c>
      <c r="N7" s="92">
        <f>H7/36</f>
        <v>10910.323083333331</v>
      </c>
      <c r="O7" s="92">
        <v>343028.81699999998</v>
      </c>
      <c r="P7" s="92">
        <f t="shared" ref="P7:P35" si="1">N7</f>
        <v>10910.323083333331</v>
      </c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6">
        <f>SUM(P7:AA7)</f>
        <v>10910.323083333331</v>
      </c>
      <c r="AC7" s="96"/>
      <c r="AD7" s="97">
        <f>O7+AB7-AC7</f>
        <v>353939.1400833333</v>
      </c>
      <c r="AE7" s="97">
        <f>L7-AD7</f>
        <v>207163.18991666666</v>
      </c>
      <c r="AF7" s="312">
        <f t="shared" ref="AF7:AF35" si="2">AE7-G7</f>
        <v>38832.490916666662</v>
      </c>
      <c r="AG7" s="310"/>
      <c r="AH7" s="310"/>
      <c r="AI7" s="310"/>
      <c r="AJ7" s="310"/>
      <c r="AK7" s="310"/>
      <c r="AL7" s="310"/>
      <c r="AM7" s="310"/>
      <c r="AN7" s="310"/>
      <c r="AO7" s="310"/>
      <c r="AP7" s="310"/>
      <c r="AQ7" s="310"/>
      <c r="AR7" s="310"/>
      <c r="AS7" s="310"/>
      <c r="AT7" s="310"/>
      <c r="AU7" s="310"/>
      <c r="AV7" s="310"/>
      <c r="AW7" s="310"/>
      <c r="AX7" s="310"/>
      <c r="AY7" s="310"/>
      <c r="AZ7" s="310"/>
      <c r="BA7" s="310"/>
      <c r="BB7" s="310"/>
      <c r="BC7" s="310"/>
      <c r="BD7" s="310"/>
      <c r="BE7" s="310"/>
      <c r="BF7" s="310"/>
      <c r="BG7" s="310"/>
      <c r="BH7" s="310"/>
      <c r="BI7" s="310"/>
      <c r="BJ7" s="310"/>
      <c r="BK7" s="310"/>
      <c r="BL7" s="310"/>
      <c r="BM7" s="310"/>
      <c r="BN7" s="310"/>
      <c r="BO7" s="310"/>
      <c r="BP7" s="310"/>
      <c r="BQ7" s="310"/>
      <c r="BR7" s="310"/>
      <c r="BS7" s="310"/>
      <c r="BT7" s="310"/>
      <c r="BU7" s="310"/>
      <c r="BV7" s="310"/>
      <c r="BW7" s="310"/>
      <c r="BX7" s="310"/>
      <c r="BY7" s="310"/>
      <c r="BZ7" s="310"/>
      <c r="CA7" s="310"/>
      <c r="CB7" s="310"/>
      <c r="CC7" s="310"/>
      <c r="CD7" s="310"/>
      <c r="CE7" s="310"/>
      <c r="CF7" s="310"/>
      <c r="CG7" s="310"/>
      <c r="CH7" s="310"/>
      <c r="CI7" s="310"/>
    </row>
    <row r="8" spans="1:87" s="284" customFormat="1">
      <c r="A8" s="283">
        <v>3</v>
      </c>
      <c r="B8" s="93" t="s">
        <v>134</v>
      </c>
      <c r="C8" s="93" t="s">
        <v>135</v>
      </c>
      <c r="D8" s="94">
        <v>45093</v>
      </c>
      <c r="E8" s="94"/>
      <c r="F8" s="92">
        <v>561052.4</v>
      </c>
      <c r="G8" s="92">
        <f>F8*30%</f>
        <v>168315.72</v>
      </c>
      <c r="H8" s="107">
        <f>F8*70%</f>
        <v>392736.68</v>
      </c>
      <c r="I8" s="111">
        <v>561052.4</v>
      </c>
      <c r="J8" s="92"/>
      <c r="K8" s="92"/>
      <c r="L8" s="112">
        <f t="shared" si="0"/>
        <v>561052.4</v>
      </c>
      <c r="M8" s="108">
        <f>F8*30%</f>
        <v>168315.72</v>
      </c>
      <c r="N8" s="92">
        <f>H8/36</f>
        <v>10909.352222222222</v>
      </c>
      <c r="O8" s="92">
        <v>331516.26666666666</v>
      </c>
      <c r="P8" s="92">
        <f t="shared" si="1"/>
        <v>10909.352222222222</v>
      </c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6">
        <f>SUM(P8:AA8)</f>
        <v>10909.352222222222</v>
      </c>
      <c r="AC8" s="96"/>
      <c r="AD8" s="97">
        <f>O8+AB8-AC8</f>
        <v>342425.61888888886</v>
      </c>
      <c r="AE8" s="97">
        <f>L8-AD8</f>
        <v>218626.78111111117</v>
      </c>
      <c r="AF8" s="312">
        <f t="shared" si="2"/>
        <v>50311.061111111165</v>
      </c>
      <c r="AG8" s="310"/>
      <c r="AH8" s="310"/>
      <c r="AI8" s="310"/>
      <c r="AJ8" s="310"/>
      <c r="AK8" s="310"/>
      <c r="AL8" s="310"/>
      <c r="AM8" s="310"/>
      <c r="AN8" s="310"/>
      <c r="AO8" s="310"/>
      <c r="AP8" s="310"/>
      <c r="AQ8" s="310"/>
      <c r="AR8" s="310"/>
      <c r="AS8" s="310"/>
      <c r="AT8" s="310"/>
      <c r="AU8" s="310"/>
      <c r="AV8" s="310"/>
      <c r="AW8" s="310"/>
      <c r="AX8" s="310"/>
      <c r="AY8" s="310"/>
      <c r="AZ8" s="310"/>
      <c r="BA8" s="310"/>
      <c r="BB8" s="310"/>
      <c r="BC8" s="310"/>
      <c r="BD8" s="310"/>
      <c r="BE8" s="310"/>
      <c r="BF8" s="310"/>
      <c r="BG8" s="310"/>
      <c r="BH8" s="310"/>
      <c r="BI8" s="310"/>
      <c r="BJ8" s="310"/>
      <c r="BK8" s="310"/>
      <c r="BL8" s="310"/>
      <c r="BM8" s="310"/>
      <c r="BN8" s="310"/>
      <c r="BO8" s="310"/>
      <c r="BP8" s="310"/>
      <c r="BQ8" s="310"/>
      <c r="BR8" s="310"/>
      <c r="BS8" s="310"/>
      <c r="BT8" s="310"/>
      <c r="BU8" s="310"/>
      <c r="BV8" s="310"/>
      <c r="BW8" s="310"/>
      <c r="BX8" s="310"/>
      <c r="BY8" s="310"/>
      <c r="BZ8" s="310"/>
      <c r="CA8" s="310"/>
      <c r="CB8" s="310"/>
      <c r="CC8" s="310"/>
      <c r="CD8" s="310"/>
      <c r="CE8" s="310"/>
      <c r="CF8" s="310"/>
      <c r="CG8" s="310"/>
      <c r="CH8" s="310"/>
      <c r="CI8" s="310"/>
    </row>
    <row r="9" spans="1:87" s="284" customFormat="1">
      <c r="A9" s="283">
        <v>4</v>
      </c>
      <c r="B9" s="93" t="s">
        <v>136</v>
      </c>
      <c r="C9" s="93" t="s">
        <v>137</v>
      </c>
      <c r="D9" s="94">
        <v>45093</v>
      </c>
      <c r="E9" s="94"/>
      <c r="F9" s="92">
        <v>542957.19999999995</v>
      </c>
      <c r="G9" s="92">
        <f>F9*30%</f>
        <v>162887.15999999997</v>
      </c>
      <c r="H9" s="107">
        <f>F9*70%</f>
        <v>380070.03999999992</v>
      </c>
      <c r="I9" s="111">
        <v>542957.19999999995</v>
      </c>
      <c r="J9" s="92"/>
      <c r="K9" s="92"/>
      <c r="L9" s="112">
        <f t="shared" si="0"/>
        <v>542957.19999999995</v>
      </c>
      <c r="M9" s="108">
        <f>F9*30%</f>
        <v>162887.15999999997</v>
      </c>
      <c r="N9" s="92">
        <f>H9/36</f>
        <v>10557.501111111109</v>
      </c>
      <c r="O9" s="92">
        <v>320824.0733333333</v>
      </c>
      <c r="P9" s="92">
        <f t="shared" si="1"/>
        <v>10557.501111111109</v>
      </c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6">
        <f>SUM(P9:AA9)</f>
        <v>10557.501111111109</v>
      </c>
      <c r="AC9" s="96"/>
      <c r="AD9" s="97">
        <f>O9+AB9-AC9</f>
        <v>331381.57444444438</v>
      </c>
      <c r="AE9" s="97">
        <f>L9-AD9</f>
        <v>211575.62555555557</v>
      </c>
      <c r="AF9" s="312">
        <f t="shared" si="2"/>
        <v>48688.465555555595</v>
      </c>
      <c r="AG9" s="310"/>
      <c r="AH9" s="310"/>
      <c r="AI9" s="310"/>
      <c r="AJ9" s="310"/>
      <c r="AK9" s="310"/>
      <c r="AL9" s="310"/>
      <c r="AM9" s="310"/>
      <c r="AN9" s="310"/>
      <c r="AO9" s="310"/>
      <c r="AP9" s="310"/>
      <c r="AQ9" s="310"/>
      <c r="AR9" s="310"/>
      <c r="AS9" s="310"/>
      <c r="AT9" s="310"/>
      <c r="AU9" s="310"/>
      <c r="AV9" s="310"/>
      <c r="AW9" s="310"/>
      <c r="AX9" s="310"/>
      <c r="AY9" s="310"/>
      <c r="AZ9" s="310"/>
      <c r="BA9" s="310"/>
      <c r="BB9" s="310"/>
      <c r="BC9" s="310"/>
      <c r="BD9" s="310"/>
      <c r="BE9" s="310"/>
      <c r="BF9" s="310"/>
      <c r="BG9" s="310"/>
      <c r="BH9" s="310"/>
      <c r="BI9" s="310"/>
      <c r="BJ9" s="310"/>
      <c r="BK9" s="310"/>
      <c r="BL9" s="310"/>
      <c r="BM9" s="310"/>
      <c r="BN9" s="310"/>
      <c r="BO9" s="310"/>
      <c r="BP9" s="310"/>
      <c r="BQ9" s="310"/>
      <c r="BR9" s="310"/>
      <c r="BS9" s="310"/>
      <c r="BT9" s="310"/>
      <c r="BU9" s="310"/>
      <c r="BV9" s="310"/>
      <c r="BW9" s="310"/>
      <c r="BX9" s="310"/>
      <c r="BY9" s="310"/>
      <c r="BZ9" s="310"/>
      <c r="CA9" s="310"/>
      <c r="CB9" s="310"/>
      <c r="CC9" s="310"/>
      <c r="CD9" s="310"/>
      <c r="CE9" s="310"/>
      <c r="CF9" s="310"/>
      <c r="CG9" s="310"/>
      <c r="CH9" s="310"/>
      <c r="CI9" s="310"/>
    </row>
    <row r="10" spans="1:87" s="284" customFormat="1">
      <c r="A10" s="283">
        <v>5</v>
      </c>
      <c r="B10" s="93" t="s">
        <v>138</v>
      </c>
      <c r="C10" s="93" t="s">
        <v>139</v>
      </c>
      <c r="D10" s="94">
        <v>45168</v>
      </c>
      <c r="E10" s="94"/>
      <c r="F10" s="92">
        <v>352380.95</v>
      </c>
      <c r="G10" s="92">
        <f>F10*30%</f>
        <v>105714.285</v>
      </c>
      <c r="H10" s="107">
        <f>F10*70%</f>
        <v>246666.66499999998</v>
      </c>
      <c r="I10" s="111">
        <v>352380.95</v>
      </c>
      <c r="J10" s="92"/>
      <c r="K10" s="92"/>
      <c r="L10" s="112">
        <f t="shared" si="0"/>
        <v>352380.95</v>
      </c>
      <c r="M10" s="108">
        <f>F10*30%</f>
        <v>105714.285</v>
      </c>
      <c r="N10" s="92">
        <f>H10/36</f>
        <v>6851.8518055555551</v>
      </c>
      <c r="O10" s="92">
        <v>191314.71166666667</v>
      </c>
      <c r="P10" s="92">
        <f t="shared" si="1"/>
        <v>6851.8518055555551</v>
      </c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6">
        <f>SUM(P10:AA10)</f>
        <v>6851.8518055555551</v>
      </c>
      <c r="AC10" s="96"/>
      <c r="AD10" s="97">
        <f>O10+AB10-AC10</f>
        <v>198166.56347222222</v>
      </c>
      <c r="AE10" s="97">
        <f>L10-AD10</f>
        <v>154214.38652777779</v>
      </c>
      <c r="AF10" s="312">
        <f t="shared" si="2"/>
        <v>48500.101527777791</v>
      </c>
      <c r="AG10" s="310"/>
      <c r="AH10" s="310"/>
      <c r="AI10" s="310"/>
      <c r="AJ10" s="310"/>
      <c r="AK10" s="310"/>
      <c r="AL10" s="310"/>
      <c r="AM10" s="310"/>
      <c r="AN10" s="310"/>
      <c r="AO10" s="310"/>
      <c r="AP10" s="310"/>
      <c r="AQ10" s="310"/>
      <c r="AR10" s="310"/>
      <c r="AS10" s="310"/>
      <c r="AT10" s="310"/>
      <c r="AU10" s="310"/>
      <c r="AV10" s="310"/>
      <c r="AW10" s="310"/>
      <c r="AX10" s="310"/>
      <c r="AY10" s="310"/>
      <c r="AZ10" s="310"/>
      <c r="BA10" s="310"/>
      <c r="BB10" s="310"/>
      <c r="BC10" s="310"/>
      <c r="BD10" s="310"/>
      <c r="BE10" s="310"/>
      <c r="BF10" s="310"/>
      <c r="BG10" s="310"/>
      <c r="BH10" s="310"/>
      <c r="BI10" s="310"/>
      <c r="BJ10" s="310"/>
      <c r="BK10" s="310"/>
      <c r="BL10" s="310"/>
      <c r="BM10" s="310"/>
      <c r="BN10" s="310"/>
      <c r="BO10" s="310"/>
      <c r="BP10" s="310"/>
      <c r="BQ10" s="310"/>
      <c r="BR10" s="310"/>
      <c r="BS10" s="310"/>
      <c r="BT10" s="310"/>
      <c r="BU10" s="310"/>
      <c r="BV10" s="310"/>
      <c r="BW10" s="310"/>
      <c r="BX10" s="310"/>
      <c r="BY10" s="310"/>
      <c r="BZ10" s="310"/>
      <c r="CA10" s="310"/>
      <c r="CB10" s="310"/>
      <c r="CC10" s="310"/>
      <c r="CD10" s="310"/>
      <c r="CE10" s="310"/>
      <c r="CF10" s="310"/>
      <c r="CG10" s="310"/>
      <c r="CH10" s="310"/>
      <c r="CI10" s="310"/>
    </row>
    <row r="11" spans="1:87" s="284" customFormat="1">
      <c r="A11" s="283">
        <v>6</v>
      </c>
      <c r="B11" s="93" t="s">
        <v>140</v>
      </c>
      <c r="C11" s="93" t="s">
        <v>141</v>
      </c>
      <c r="D11" s="98">
        <v>45183</v>
      </c>
      <c r="E11" s="94"/>
      <c r="F11" s="95">
        <v>1300229.18</v>
      </c>
      <c r="G11" s="92">
        <f>F11*30%</f>
        <v>390068.75399999996</v>
      </c>
      <c r="H11" s="107">
        <f>F11*70%</f>
        <v>910160.42599999986</v>
      </c>
      <c r="I11" s="111">
        <v>1300229.18</v>
      </c>
      <c r="J11" s="92"/>
      <c r="K11" s="92"/>
      <c r="L11" s="112">
        <f t="shared" si="0"/>
        <v>1300229.18</v>
      </c>
      <c r="M11" s="108">
        <f>F11*30%</f>
        <v>390068.75399999996</v>
      </c>
      <c r="N11" s="92">
        <v>28393</v>
      </c>
      <c r="O11" s="92">
        <v>668926.99</v>
      </c>
      <c r="P11" s="92">
        <f t="shared" si="1"/>
        <v>28393</v>
      </c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6">
        <f>SUM(P11:AA11)</f>
        <v>28393</v>
      </c>
      <c r="AC11" s="96"/>
      <c r="AD11" s="97">
        <f>O11+AB11-AC11</f>
        <v>697319.99</v>
      </c>
      <c r="AE11" s="97">
        <f>L11-AD11</f>
        <v>602909.18999999994</v>
      </c>
      <c r="AF11" s="312">
        <f t="shared" si="2"/>
        <v>212840.43599999999</v>
      </c>
      <c r="AG11" s="310"/>
      <c r="AH11" s="310"/>
      <c r="AI11" s="310"/>
      <c r="AJ11" s="310"/>
      <c r="AK11" s="310"/>
      <c r="AL11" s="310"/>
      <c r="AM11" s="310"/>
      <c r="AN11" s="310"/>
      <c r="AO11" s="310"/>
      <c r="AP11" s="310"/>
      <c r="AQ11" s="310"/>
      <c r="AR11" s="310"/>
      <c r="AS11" s="310"/>
      <c r="AT11" s="310"/>
      <c r="AU11" s="310"/>
      <c r="AV11" s="310"/>
      <c r="AW11" s="310"/>
      <c r="AX11" s="310"/>
      <c r="AY11" s="310"/>
      <c r="AZ11" s="310"/>
      <c r="BA11" s="310"/>
      <c r="BB11" s="310"/>
      <c r="BC11" s="310"/>
      <c r="BD11" s="310"/>
      <c r="BE11" s="310"/>
      <c r="BF11" s="310"/>
      <c r="BG11" s="310"/>
      <c r="BH11" s="310"/>
      <c r="BI11" s="310"/>
      <c r="BJ11" s="310"/>
      <c r="BK11" s="310"/>
      <c r="BL11" s="310"/>
      <c r="BM11" s="310"/>
      <c r="BN11" s="310"/>
      <c r="BO11" s="310"/>
      <c r="BP11" s="310"/>
      <c r="BQ11" s="310"/>
      <c r="BR11" s="310"/>
      <c r="BS11" s="310"/>
      <c r="BT11" s="310"/>
      <c r="BU11" s="310"/>
      <c r="BV11" s="310"/>
      <c r="BW11" s="310"/>
      <c r="BX11" s="310"/>
      <c r="BY11" s="310"/>
      <c r="BZ11" s="310"/>
      <c r="CA11" s="310"/>
      <c r="CB11" s="310"/>
      <c r="CC11" s="310"/>
      <c r="CD11" s="310"/>
      <c r="CE11" s="310"/>
      <c r="CF11" s="310"/>
      <c r="CG11" s="310"/>
      <c r="CH11" s="310"/>
      <c r="CI11" s="310"/>
    </row>
    <row r="12" spans="1:87" s="284" customFormat="1">
      <c r="A12" s="283">
        <v>7</v>
      </c>
      <c r="B12" s="93" t="s">
        <v>138</v>
      </c>
      <c r="C12" s="93" t="s">
        <v>142</v>
      </c>
      <c r="D12" s="98">
        <v>45223</v>
      </c>
      <c r="E12" s="94"/>
      <c r="F12" s="92">
        <v>449797</v>
      </c>
      <c r="G12" s="92">
        <f>F12*30%</f>
        <v>134939.1</v>
      </c>
      <c r="H12" s="107">
        <f>F12*70%</f>
        <v>314857.89999999997</v>
      </c>
      <c r="I12" s="111">
        <v>449797</v>
      </c>
      <c r="J12" s="92"/>
      <c r="K12" s="92"/>
      <c r="L12" s="112">
        <f t="shared" si="0"/>
        <v>449797</v>
      </c>
      <c r="M12" s="108">
        <f>F12*30%</f>
        <v>134939.1</v>
      </c>
      <c r="N12" s="92">
        <f>H12/36</f>
        <v>8746.052777777777</v>
      </c>
      <c r="O12" s="92">
        <v>228384.1933333333</v>
      </c>
      <c r="P12" s="92">
        <f t="shared" si="1"/>
        <v>8746.052777777777</v>
      </c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6">
        <f>SUM(P12:AA12)</f>
        <v>8746.052777777777</v>
      </c>
      <c r="AC12" s="96"/>
      <c r="AD12" s="97">
        <f>O12+AB12-AC12</f>
        <v>237130.24611111108</v>
      </c>
      <c r="AE12" s="97">
        <f>L12-AD12</f>
        <v>212666.75388888892</v>
      </c>
      <c r="AF12" s="312">
        <f t="shared" si="2"/>
        <v>77727.653888888919</v>
      </c>
      <c r="AG12" s="310"/>
      <c r="AH12" s="310"/>
      <c r="AI12" s="310"/>
      <c r="AJ12" s="310"/>
      <c r="AK12" s="310"/>
      <c r="AL12" s="310"/>
      <c r="AM12" s="310"/>
      <c r="AN12" s="310"/>
      <c r="AO12" s="310"/>
      <c r="AP12" s="310"/>
      <c r="AQ12" s="310"/>
      <c r="AR12" s="310"/>
      <c r="AS12" s="310"/>
      <c r="AT12" s="310"/>
      <c r="AU12" s="310"/>
      <c r="AV12" s="310"/>
      <c r="AW12" s="310"/>
      <c r="AX12" s="310"/>
      <c r="AY12" s="310"/>
      <c r="AZ12" s="310"/>
      <c r="BA12" s="310"/>
      <c r="BB12" s="310"/>
      <c r="BC12" s="310"/>
      <c r="BD12" s="310"/>
      <c r="BE12" s="310"/>
      <c r="BF12" s="310"/>
      <c r="BG12" s="310"/>
      <c r="BH12" s="310"/>
      <c r="BI12" s="310"/>
      <c r="BJ12" s="310"/>
      <c r="BK12" s="310"/>
      <c r="BL12" s="310"/>
      <c r="BM12" s="310"/>
      <c r="BN12" s="310"/>
      <c r="BO12" s="310"/>
      <c r="BP12" s="310"/>
      <c r="BQ12" s="310"/>
      <c r="BR12" s="310"/>
      <c r="BS12" s="310"/>
      <c r="BT12" s="310"/>
      <c r="BU12" s="310"/>
      <c r="BV12" s="310"/>
      <c r="BW12" s="310"/>
      <c r="BX12" s="310"/>
      <c r="BY12" s="310"/>
      <c r="BZ12" s="310"/>
      <c r="CA12" s="310"/>
      <c r="CB12" s="310"/>
      <c r="CC12" s="310"/>
      <c r="CD12" s="310"/>
      <c r="CE12" s="310"/>
      <c r="CF12" s="310"/>
      <c r="CG12" s="310"/>
      <c r="CH12" s="310"/>
      <c r="CI12" s="310"/>
    </row>
    <row r="13" spans="1:87" s="284" customFormat="1">
      <c r="A13" s="283">
        <v>8</v>
      </c>
      <c r="B13" s="93" t="s">
        <v>138</v>
      </c>
      <c r="C13" s="93" t="s">
        <v>143</v>
      </c>
      <c r="D13" s="98">
        <v>45225</v>
      </c>
      <c r="E13" s="94"/>
      <c r="F13" s="92">
        <v>433333</v>
      </c>
      <c r="G13" s="92">
        <f>F13*30%</f>
        <v>129999.9</v>
      </c>
      <c r="H13" s="107">
        <f>F13*70%</f>
        <v>303333.09999999998</v>
      </c>
      <c r="I13" s="111">
        <v>433333</v>
      </c>
      <c r="J13" s="92"/>
      <c r="K13" s="92"/>
      <c r="L13" s="112">
        <f t="shared" si="0"/>
        <v>433333</v>
      </c>
      <c r="M13" s="108">
        <f>F13*30%</f>
        <v>129999.9</v>
      </c>
      <c r="N13" s="92">
        <f>H13/36</f>
        <v>8425.9194444444438</v>
      </c>
      <c r="O13" s="92">
        <v>219470.41333333333</v>
      </c>
      <c r="P13" s="92">
        <f t="shared" si="1"/>
        <v>8425.9194444444438</v>
      </c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6">
        <f>SUM(P13:AA13)</f>
        <v>8425.9194444444438</v>
      </c>
      <c r="AC13" s="96"/>
      <c r="AD13" s="97">
        <f>O13+AB13-AC13</f>
        <v>227896.33277777777</v>
      </c>
      <c r="AE13" s="97">
        <f>L13-AD13</f>
        <v>205436.66722222223</v>
      </c>
      <c r="AF13" s="312">
        <f t="shared" si="2"/>
        <v>75436.767222222232</v>
      </c>
      <c r="AG13" s="310"/>
      <c r="AH13" s="310"/>
      <c r="AI13" s="310"/>
      <c r="AJ13" s="310"/>
      <c r="AK13" s="310"/>
      <c r="AL13" s="310"/>
      <c r="AM13" s="310"/>
      <c r="AN13" s="310"/>
      <c r="AO13" s="310"/>
      <c r="AP13" s="310"/>
      <c r="AQ13" s="310"/>
      <c r="AR13" s="310"/>
      <c r="AS13" s="310"/>
      <c r="AT13" s="310"/>
      <c r="AU13" s="310"/>
      <c r="AV13" s="310"/>
      <c r="AW13" s="310"/>
      <c r="AX13" s="310"/>
      <c r="AY13" s="310"/>
      <c r="AZ13" s="310"/>
      <c r="BA13" s="310"/>
      <c r="BB13" s="310"/>
      <c r="BC13" s="310"/>
      <c r="BD13" s="310"/>
      <c r="BE13" s="310"/>
      <c r="BF13" s="310"/>
      <c r="BG13" s="310"/>
      <c r="BH13" s="310"/>
      <c r="BI13" s="310"/>
      <c r="BJ13" s="310"/>
      <c r="BK13" s="310"/>
      <c r="BL13" s="310"/>
      <c r="BM13" s="310"/>
      <c r="BN13" s="310"/>
      <c r="BO13" s="310"/>
      <c r="BP13" s="310"/>
      <c r="BQ13" s="310"/>
      <c r="BR13" s="310"/>
      <c r="BS13" s="310"/>
      <c r="BT13" s="310"/>
      <c r="BU13" s="310"/>
      <c r="BV13" s="310"/>
      <c r="BW13" s="310"/>
      <c r="BX13" s="310"/>
      <c r="BY13" s="310"/>
      <c r="BZ13" s="310"/>
      <c r="CA13" s="310"/>
      <c r="CB13" s="310"/>
      <c r="CC13" s="310"/>
      <c r="CD13" s="310"/>
      <c r="CE13" s="310"/>
      <c r="CF13" s="310"/>
      <c r="CG13" s="310"/>
      <c r="CH13" s="310"/>
      <c r="CI13" s="310"/>
    </row>
    <row r="14" spans="1:87" s="284" customFormat="1">
      <c r="A14" s="283">
        <v>9</v>
      </c>
      <c r="B14" s="93" t="s">
        <v>138</v>
      </c>
      <c r="C14" s="93" t="s">
        <v>144</v>
      </c>
      <c r="D14" s="98">
        <v>45230</v>
      </c>
      <c r="E14" s="94"/>
      <c r="F14" s="92">
        <v>428571</v>
      </c>
      <c r="G14" s="92">
        <f>F14*30%</f>
        <v>128571.29999999999</v>
      </c>
      <c r="H14" s="107">
        <f>F14*70%</f>
        <v>299999.69999999995</v>
      </c>
      <c r="I14" s="111">
        <v>428571</v>
      </c>
      <c r="J14" s="92"/>
      <c r="K14" s="92"/>
      <c r="L14" s="112">
        <f t="shared" si="0"/>
        <v>428571</v>
      </c>
      <c r="M14" s="108">
        <f>F14*30%</f>
        <v>128571.29999999999</v>
      </c>
      <c r="N14" s="92">
        <f>H14/36</f>
        <v>8333.3249999999989</v>
      </c>
      <c r="O14" s="92">
        <v>215688.28999999998</v>
      </c>
      <c r="P14" s="92">
        <f t="shared" si="1"/>
        <v>8333.3249999999989</v>
      </c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6">
        <f>SUM(P14:AA14)</f>
        <v>8333.3249999999989</v>
      </c>
      <c r="AC14" s="96"/>
      <c r="AD14" s="97">
        <f>O14+AB14-AC14</f>
        <v>224021.61499999999</v>
      </c>
      <c r="AE14" s="97">
        <f>L14-AD14</f>
        <v>204549.38500000001</v>
      </c>
      <c r="AF14" s="312">
        <f t="shared" si="2"/>
        <v>75978.085000000021</v>
      </c>
      <c r="AG14" s="310"/>
      <c r="AH14" s="310"/>
      <c r="AI14" s="310"/>
      <c r="AJ14" s="310"/>
      <c r="AK14" s="310"/>
      <c r="AL14" s="310"/>
      <c r="AM14" s="310"/>
      <c r="AN14" s="310"/>
      <c r="AO14" s="310"/>
      <c r="AP14" s="310"/>
      <c r="AQ14" s="310"/>
      <c r="AR14" s="310"/>
      <c r="AS14" s="310"/>
      <c r="AT14" s="310"/>
      <c r="AU14" s="310"/>
      <c r="AV14" s="310"/>
      <c r="AW14" s="310"/>
      <c r="AX14" s="310"/>
      <c r="AY14" s="310"/>
      <c r="AZ14" s="310"/>
      <c r="BA14" s="310"/>
      <c r="BB14" s="310"/>
      <c r="BC14" s="310"/>
      <c r="BD14" s="310"/>
      <c r="BE14" s="310"/>
      <c r="BF14" s="310"/>
      <c r="BG14" s="310"/>
      <c r="BH14" s="310"/>
      <c r="BI14" s="310"/>
      <c r="BJ14" s="310"/>
      <c r="BK14" s="310"/>
      <c r="BL14" s="310"/>
      <c r="BM14" s="310"/>
      <c r="BN14" s="310"/>
      <c r="BO14" s="310"/>
      <c r="BP14" s="310"/>
      <c r="BQ14" s="310"/>
      <c r="BR14" s="310"/>
      <c r="BS14" s="310"/>
      <c r="BT14" s="310"/>
      <c r="BU14" s="310"/>
      <c r="BV14" s="310"/>
      <c r="BW14" s="310"/>
      <c r="BX14" s="310"/>
      <c r="BY14" s="310"/>
      <c r="BZ14" s="310"/>
      <c r="CA14" s="310"/>
      <c r="CB14" s="310"/>
      <c r="CC14" s="310"/>
      <c r="CD14" s="310"/>
      <c r="CE14" s="310"/>
      <c r="CF14" s="310"/>
      <c r="CG14" s="310"/>
      <c r="CH14" s="310"/>
      <c r="CI14" s="310"/>
    </row>
    <row r="15" spans="1:87" s="284" customFormat="1">
      <c r="A15" s="283">
        <v>10</v>
      </c>
      <c r="B15" s="93" t="s">
        <v>145</v>
      </c>
      <c r="C15" s="93" t="s">
        <v>146</v>
      </c>
      <c r="D15" s="98">
        <v>45230</v>
      </c>
      <c r="E15" s="94"/>
      <c r="F15" s="92">
        <v>627719</v>
      </c>
      <c r="G15" s="92">
        <f>F15*30%</f>
        <v>188315.69999999998</v>
      </c>
      <c r="H15" s="107">
        <f>F15*70%</f>
        <v>439403.3</v>
      </c>
      <c r="I15" s="111">
        <v>627719</v>
      </c>
      <c r="J15" s="92"/>
      <c r="K15" s="92"/>
      <c r="L15" s="112">
        <f t="shared" si="0"/>
        <v>627719</v>
      </c>
      <c r="M15" s="108">
        <f>F15*30%</f>
        <v>188315.69999999998</v>
      </c>
      <c r="N15" s="92">
        <f>H15/36</f>
        <v>12205.647222222222</v>
      </c>
      <c r="O15" s="92">
        <v>315914.16666666663</v>
      </c>
      <c r="P15" s="92">
        <f t="shared" si="1"/>
        <v>12205.647222222222</v>
      </c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6">
        <f>SUM(P15:AA15)</f>
        <v>12205.647222222222</v>
      </c>
      <c r="AC15" s="96"/>
      <c r="AD15" s="97">
        <f>O15+AB15-AC15</f>
        <v>328119.81388888886</v>
      </c>
      <c r="AE15" s="97">
        <f>L15-AD15</f>
        <v>299599.18611111114</v>
      </c>
      <c r="AF15" s="312">
        <f t="shared" si="2"/>
        <v>111283.48611111115</v>
      </c>
      <c r="AG15" s="310"/>
      <c r="AH15" s="310"/>
      <c r="AI15" s="310"/>
      <c r="AJ15" s="310"/>
      <c r="AK15" s="310"/>
      <c r="AL15" s="310"/>
      <c r="AM15" s="310"/>
      <c r="AN15" s="310"/>
      <c r="AO15" s="310"/>
      <c r="AP15" s="310"/>
      <c r="AQ15" s="310"/>
      <c r="AR15" s="310"/>
      <c r="AS15" s="310"/>
      <c r="AT15" s="310"/>
      <c r="AU15" s="310"/>
      <c r="AV15" s="310"/>
      <c r="AW15" s="310"/>
      <c r="AX15" s="310"/>
      <c r="AY15" s="310"/>
      <c r="AZ15" s="310"/>
      <c r="BA15" s="310"/>
      <c r="BB15" s="310"/>
      <c r="BC15" s="310"/>
      <c r="BD15" s="310"/>
      <c r="BE15" s="310"/>
      <c r="BF15" s="310"/>
      <c r="BG15" s="310"/>
      <c r="BH15" s="310"/>
      <c r="BI15" s="310"/>
      <c r="BJ15" s="310"/>
      <c r="BK15" s="310"/>
      <c r="BL15" s="310"/>
      <c r="BM15" s="310"/>
      <c r="BN15" s="310"/>
      <c r="BO15" s="310"/>
      <c r="BP15" s="310"/>
      <c r="BQ15" s="310"/>
      <c r="BR15" s="310"/>
      <c r="BS15" s="310"/>
      <c r="BT15" s="310"/>
      <c r="BU15" s="310"/>
      <c r="BV15" s="310"/>
      <c r="BW15" s="310"/>
      <c r="BX15" s="310"/>
      <c r="BY15" s="310"/>
      <c r="BZ15" s="310"/>
      <c r="CA15" s="310"/>
      <c r="CB15" s="310"/>
      <c r="CC15" s="310"/>
      <c r="CD15" s="310"/>
      <c r="CE15" s="310"/>
      <c r="CF15" s="310"/>
      <c r="CG15" s="310"/>
      <c r="CH15" s="310"/>
      <c r="CI15" s="310"/>
    </row>
    <row r="16" spans="1:87" s="284" customFormat="1">
      <c r="A16" s="283">
        <v>11</v>
      </c>
      <c r="B16" s="93" t="s">
        <v>145</v>
      </c>
      <c r="C16" s="93" t="s">
        <v>147</v>
      </c>
      <c r="D16" s="98">
        <v>45230</v>
      </c>
      <c r="E16" s="94"/>
      <c r="F16" s="92">
        <v>627719</v>
      </c>
      <c r="G16" s="92">
        <f>F16*30%</f>
        <v>188315.69999999998</v>
      </c>
      <c r="H16" s="107">
        <f>F16*70%</f>
        <v>439403.3</v>
      </c>
      <c r="I16" s="111">
        <v>627719</v>
      </c>
      <c r="J16" s="92"/>
      <c r="K16" s="92"/>
      <c r="L16" s="112">
        <f t="shared" si="0"/>
        <v>627719</v>
      </c>
      <c r="M16" s="108">
        <f>F16*30%</f>
        <v>188315.69999999998</v>
      </c>
      <c r="N16" s="92">
        <f>H16/36</f>
        <v>12205.647222222222</v>
      </c>
      <c r="O16" s="92">
        <v>315914.16666666663</v>
      </c>
      <c r="P16" s="92">
        <f t="shared" si="1"/>
        <v>12205.647222222222</v>
      </c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6">
        <f>SUM(P16:AA16)</f>
        <v>12205.647222222222</v>
      </c>
      <c r="AC16" s="96"/>
      <c r="AD16" s="97">
        <f>O16+AB16-AC16</f>
        <v>328119.81388888886</v>
      </c>
      <c r="AE16" s="97">
        <f>L16-AD16</f>
        <v>299599.18611111114</v>
      </c>
      <c r="AF16" s="312">
        <f t="shared" si="2"/>
        <v>111283.48611111115</v>
      </c>
      <c r="AG16" s="310"/>
      <c r="AH16" s="310"/>
      <c r="AI16" s="310"/>
      <c r="AJ16" s="310"/>
      <c r="AK16" s="310"/>
      <c r="AL16" s="310"/>
      <c r="AM16" s="310"/>
      <c r="AN16" s="310"/>
      <c r="AO16" s="310"/>
      <c r="AP16" s="310"/>
      <c r="AQ16" s="310"/>
      <c r="AR16" s="310"/>
      <c r="AS16" s="310"/>
      <c r="AT16" s="310"/>
      <c r="AU16" s="310"/>
      <c r="AV16" s="310"/>
      <c r="AW16" s="310"/>
      <c r="AX16" s="310"/>
      <c r="AY16" s="310"/>
      <c r="AZ16" s="310"/>
      <c r="BA16" s="310"/>
      <c r="BB16" s="310"/>
      <c r="BC16" s="310"/>
      <c r="BD16" s="310"/>
      <c r="BE16" s="310"/>
      <c r="BF16" s="310"/>
      <c r="BG16" s="310"/>
      <c r="BH16" s="310"/>
      <c r="BI16" s="310"/>
      <c r="BJ16" s="310"/>
      <c r="BK16" s="310"/>
      <c r="BL16" s="310"/>
      <c r="BM16" s="310"/>
      <c r="BN16" s="310"/>
      <c r="BO16" s="310"/>
      <c r="BP16" s="310"/>
      <c r="BQ16" s="310"/>
      <c r="BR16" s="310"/>
      <c r="BS16" s="310"/>
      <c r="BT16" s="310"/>
      <c r="BU16" s="310"/>
      <c r="BV16" s="310"/>
      <c r="BW16" s="310"/>
      <c r="BX16" s="310"/>
      <c r="BY16" s="310"/>
      <c r="BZ16" s="310"/>
      <c r="CA16" s="310"/>
      <c r="CB16" s="310"/>
      <c r="CC16" s="310"/>
      <c r="CD16" s="310"/>
      <c r="CE16" s="310"/>
      <c r="CF16" s="310"/>
      <c r="CG16" s="310"/>
      <c r="CH16" s="310"/>
      <c r="CI16" s="310"/>
    </row>
    <row r="17" spans="1:87" s="284" customFormat="1">
      <c r="A17" s="283">
        <v>12</v>
      </c>
      <c r="B17" s="93" t="s">
        <v>148</v>
      </c>
      <c r="C17" s="93" t="s">
        <v>149</v>
      </c>
      <c r="D17" s="98">
        <v>45240</v>
      </c>
      <c r="E17" s="94"/>
      <c r="F17" s="92">
        <v>385714.29</v>
      </c>
      <c r="G17" s="92">
        <f>F17*30%</f>
        <v>115714.287</v>
      </c>
      <c r="H17" s="107">
        <f>F17*70%</f>
        <v>270000.00299999997</v>
      </c>
      <c r="I17" s="111">
        <v>385714.29</v>
      </c>
      <c r="J17" s="92"/>
      <c r="K17" s="92"/>
      <c r="L17" s="112">
        <f t="shared" si="0"/>
        <v>385714.29</v>
      </c>
      <c r="M17" s="108">
        <f>F17*30%</f>
        <v>115714.287</v>
      </c>
      <c r="N17" s="92">
        <f>H17/36</f>
        <v>7500.0000833333324</v>
      </c>
      <c r="O17" s="92">
        <v>191653.201</v>
      </c>
      <c r="P17" s="92">
        <f t="shared" si="1"/>
        <v>7500.0000833333324</v>
      </c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6">
        <f>SUM(P17:AA17)</f>
        <v>7500.0000833333324</v>
      </c>
      <c r="AC17" s="96"/>
      <c r="AD17" s="97">
        <f>O17+AB17-AC17</f>
        <v>199153.20108333335</v>
      </c>
      <c r="AE17" s="97">
        <f>L17-AD17</f>
        <v>186561.08891666663</v>
      </c>
      <c r="AF17" s="312">
        <f t="shared" si="2"/>
        <v>70846.801916666634</v>
      </c>
      <c r="AG17" s="310"/>
      <c r="AH17" s="310"/>
      <c r="AI17" s="310"/>
      <c r="AJ17" s="310"/>
      <c r="AK17" s="310"/>
      <c r="AL17" s="310"/>
      <c r="AM17" s="310"/>
      <c r="AN17" s="310"/>
      <c r="AO17" s="310"/>
      <c r="AP17" s="310"/>
      <c r="AQ17" s="310"/>
      <c r="AR17" s="310"/>
      <c r="AS17" s="310"/>
      <c r="AT17" s="310"/>
      <c r="AU17" s="310"/>
      <c r="AV17" s="310"/>
      <c r="AW17" s="310"/>
      <c r="AX17" s="310"/>
      <c r="AY17" s="310"/>
      <c r="AZ17" s="310"/>
      <c r="BA17" s="310"/>
      <c r="BB17" s="310"/>
      <c r="BC17" s="310"/>
      <c r="BD17" s="310"/>
      <c r="BE17" s="310"/>
      <c r="BF17" s="310"/>
      <c r="BG17" s="310"/>
      <c r="BH17" s="310"/>
      <c r="BI17" s="310"/>
      <c r="BJ17" s="310"/>
      <c r="BK17" s="310"/>
      <c r="BL17" s="310"/>
      <c r="BM17" s="310"/>
      <c r="BN17" s="310"/>
      <c r="BO17" s="310"/>
      <c r="BP17" s="310"/>
      <c r="BQ17" s="310"/>
      <c r="BR17" s="310"/>
      <c r="BS17" s="310"/>
      <c r="BT17" s="310"/>
      <c r="BU17" s="310"/>
      <c r="BV17" s="310"/>
      <c r="BW17" s="310"/>
      <c r="BX17" s="310"/>
      <c r="BY17" s="310"/>
      <c r="BZ17" s="310"/>
      <c r="CA17" s="310"/>
      <c r="CB17" s="310"/>
      <c r="CC17" s="310"/>
      <c r="CD17" s="310"/>
      <c r="CE17" s="310"/>
      <c r="CF17" s="310"/>
      <c r="CG17" s="310"/>
      <c r="CH17" s="310"/>
      <c r="CI17" s="310"/>
    </row>
    <row r="18" spans="1:87" s="284" customFormat="1">
      <c r="A18" s="283">
        <v>13</v>
      </c>
      <c r="B18" s="93" t="s">
        <v>148</v>
      </c>
      <c r="C18" s="93" t="s">
        <v>150</v>
      </c>
      <c r="D18" s="98">
        <v>45260</v>
      </c>
      <c r="E18" s="94"/>
      <c r="F18" s="92">
        <v>390476.19</v>
      </c>
      <c r="G18" s="92">
        <f>F18*30%</f>
        <v>117142.857</v>
      </c>
      <c r="H18" s="107">
        <f>F18*70%</f>
        <v>273333.33299999998</v>
      </c>
      <c r="I18" s="111">
        <v>390476.19</v>
      </c>
      <c r="J18" s="92"/>
      <c r="K18" s="92"/>
      <c r="L18" s="112">
        <f t="shared" si="0"/>
        <v>390476.19</v>
      </c>
      <c r="M18" s="108">
        <f>F18*30%</f>
        <v>117142.857</v>
      </c>
      <c r="N18" s="92">
        <f>H18/36</f>
        <v>7592.5925833333331</v>
      </c>
      <c r="O18" s="92">
        <v>189025.53099999999</v>
      </c>
      <c r="P18" s="92">
        <f t="shared" si="1"/>
        <v>7592.5925833333331</v>
      </c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6">
        <f>SUM(P18:AA18)</f>
        <v>7592.5925833333331</v>
      </c>
      <c r="AC18" s="96"/>
      <c r="AD18" s="97">
        <f>O18+AB18-AC18</f>
        <v>196618.12358333333</v>
      </c>
      <c r="AE18" s="97">
        <f>L18-AD18</f>
        <v>193858.06641666667</v>
      </c>
      <c r="AF18" s="312">
        <f t="shared" si="2"/>
        <v>76715.209416666665</v>
      </c>
      <c r="AG18" s="310"/>
      <c r="AH18" s="310"/>
      <c r="AI18" s="310"/>
      <c r="AJ18" s="310"/>
      <c r="AK18" s="310"/>
      <c r="AL18" s="310"/>
      <c r="AM18" s="310"/>
      <c r="AN18" s="310"/>
      <c r="AO18" s="310"/>
      <c r="AP18" s="310"/>
      <c r="AQ18" s="310"/>
      <c r="AR18" s="310"/>
      <c r="AS18" s="310"/>
      <c r="AT18" s="310"/>
      <c r="AU18" s="310"/>
      <c r="AV18" s="310"/>
      <c r="AW18" s="310"/>
      <c r="AX18" s="310"/>
      <c r="AY18" s="310"/>
      <c r="AZ18" s="310"/>
      <c r="BA18" s="310"/>
      <c r="BB18" s="310"/>
      <c r="BC18" s="310"/>
      <c r="BD18" s="310"/>
      <c r="BE18" s="310"/>
      <c r="BF18" s="310"/>
      <c r="BG18" s="310"/>
      <c r="BH18" s="310"/>
      <c r="BI18" s="310"/>
      <c r="BJ18" s="310"/>
      <c r="BK18" s="310"/>
      <c r="BL18" s="310"/>
      <c r="BM18" s="310"/>
      <c r="BN18" s="310"/>
      <c r="BO18" s="310"/>
      <c r="BP18" s="310"/>
      <c r="BQ18" s="310"/>
      <c r="BR18" s="310"/>
      <c r="BS18" s="310"/>
      <c r="BT18" s="310"/>
      <c r="BU18" s="310"/>
      <c r="BV18" s="310"/>
      <c r="BW18" s="310"/>
      <c r="BX18" s="310"/>
      <c r="BY18" s="310"/>
      <c r="BZ18" s="310"/>
      <c r="CA18" s="310"/>
      <c r="CB18" s="310"/>
      <c r="CC18" s="310"/>
      <c r="CD18" s="310"/>
      <c r="CE18" s="310"/>
      <c r="CF18" s="310"/>
      <c r="CG18" s="310"/>
      <c r="CH18" s="310"/>
      <c r="CI18" s="310"/>
    </row>
    <row r="19" spans="1:87" s="284" customFormat="1">
      <c r="A19" s="283">
        <v>14</v>
      </c>
      <c r="B19" s="93" t="s">
        <v>151</v>
      </c>
      <c r="C19" s="93" t="s">
        <v>152</v>
      </c>
      <c r="D19" s="98">
        <v>45268</v>
      </c>
      <c r="E19" s="94"/>
      <c r="F19" s="92">
        <v>657142.86</v>
      </c>
      <c r="G19" s="92">
        <f>F19*30%</f>
        <v>197142.85799999998</v>
      </c>
      <c r="H19" s="107">
        <f>F19*70%</f>
        <v>460000.00199999998</v>
      </c>
      <c r="I19" s="111">
        <v>657142.86</v>
      </c>
      <c r="J19" s="92"/>
      <c r="K19" s="92"/>
      <c r="L19" s="112">
        <f t="shared" si="0"/>
        <v>657142.86</v>
      </c>
      <c r="M19" s="108">
        <f>F19*30%</f>
        <v>197142.85799999998</v>
      </c>
      <c r="N19" s="92">
        <f>H19/36</f>
        <v>12777.777833333334</v>
      </c>
      <c r="O19" s="107">
        <v>314754.554</v>
      </c>
      <c r="P19" s="92">
        <f t="shared" si="1"/>
        <v>12777.777833333334</v>
      </c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6">
        <f>SUM(P19:AA19)</f>
        <v>12777.777833333334</v>
      </c>
      <c r="AC19" s="96"/>
      <c r="AD19" s="97">
        <f>O19+AB19-AC19</f>
        <v>327532.33183333336</v>
      </c>
      <c r="AE19" s="97">
        <f>L19-AD19</f>
        <v>329610.52816666663</v>
      </c>
      <c r="AF19" s="312">
        <f t="shared" si="2"/>
        <v>132467.67016666665</v>
      </c>
      <c r="AG19" s="310"/>
      <c r="AH19" s="310"/>
      <c r="AI19" s="310"/>
      <c r="AJ19" s="310"/>
      <c r="AK19" s="310"/>
      <c r="AL19" s="310"/>
      <c r="AM19" s="310"/>
      <c r="AN19" s="310"/>
      <c r="AO19" s="310"/>
      <c r="AP19" s="310"/>
      <c r="AQ19" s="310"/>
      <c r="AR19" s="310"/>
      <c r="AS19" s="310"/>
      <c r="AT19" s="310"/>
      <c r="AU19" s="310"/>
      <c r="AV19" s="310"/>
      <c r="AW19" s="310"/>
      <c r="AX19" s="310"/>
      <c r="AY19" s="310"/>
      <c r="AZ19" s="310"/>
      <c r="BA19" s="310"/>
      <c r="BB19" s="310"/>
      <c r="BC19" s="310"/>
      <c r="BD19" s="310"/>
      <c r="BE19" s="310"/>
      <c r="BF19" s="310"/>
      <c r="BG19" s="310"/>
      <c r="BH19" s="310"/>
      <c r="BI19" s="310"/>
      <c r="BJ19" s="310"/>
      <c r="BK19" s="310"/>
      <c r="BL19" s="310"/>
      <c r="BM19" s="310"/>
      <c r="BN19" s="310"/>
      <c r="BO19" s="310"/>
      <c r="BP19" s="310"/>
      <c r="BQ19" s="310"/>
      <c r="BR19" s="310"/>
      <c r="BS19" s="310"/>
      <c r="BT19" s="310"/>
      <c r="BU19" s="310"/>
      <c r="BV19" s="310"/>
      <c r="BW19" s="310"/>
      <c r="BX19" s="310"/>
      <c r="BY19" s="310"/>
      <c r="BZ19" s="310"/>
      <c r="CA19" s="310"/>
      <c r="CB19" s="310"/>
      <c r="CC19" s="310"/>
      <c r="CD19" s="310"/>
      <c r="CE19" s="310"/>
      <c r="CF19" s="310"/>
      <c r="CG19" s="310"/>
      <c r="CH19" s="310"/>
      <c r="CI19" s="310"/>
    </row>
    <row r="20" spans="1:87" s="284" customFormat="1">
      <c r="A20" s="283">
        <v>15</v>
      </c>
      <c r="B20" s="93" t="s">
        <v>153</v>
      </c>
      <c r="C20" s="93" t="s">
        <v>154</v>
      </c>
      <c r="D20" s="98">
        <v>45350</v>
      </c>
      <c r="E20" s="94"/>
      <c r="F20" s="92">
        <v>342857.14</v>
      </c>
      <c r="G20" s="92">
        <f>F20*30%</f>
        <v>102857.14200000001</v>
      </c>
      <c r="H20" s="107">
        <f>F20*70%</f>
        <v>239999.99799999999</v>
      </c>
      <c r="I20" s="111">
        <v>342857.14</v>
      </c>
      <c r="J20" s="106"/>
      <c r="K20" s="92"/>
      <c r="L20" s="112">
        <f t="shared" si="0"/>
        <v>342857.14</v>
      </c>
      <c r="M20" s="108">
        <f>F20*30%</f>
        <v>102857.14200000001</v>
      </c>
      <c r="N20" s="92">
        <f>H20/36</f>
        <v>6666.6666111111108</v>
      </c>
      <c r="O20" s="92">
        <v>146242.73933333333</v>
      </c>
      <c r="P20" s="92">
        <f t="shared" si="1"/>
        <v>6666.6666111111108</v>
      </c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6">
        <f>SUM(P20:AA20)</f>
        <v>6666.6666111111108</v>
      </c>
      <c r="AC20" s="96"/>
      <c r="AD20" s="97">
        <f>O20+AB20-AC20</f>
        <v>152909.40594444444</v>
      </c>
      <c r="AE20" s="97">
        <f>L20-AD20</f>
        <v>189947.73405555557</v>
      </c>
      <c r="AF20" s="312">
        <f t="shared" si="2"/>
        <v>87090.592055555564</v>
      </c>
      <c r="AG20" s="310"/>
      <c r="AH20" s="310"/>
      <c r="AI20" s="310"/>
      <c r="AJ20" s="310"/>
      <c r="AK20" s="310"/>
      <c r="AL20" s="310"/>
      <c r="AM20" s="310"/>
      <c r="AN20" s="310"/>
      <c r="AO20" s="310"/>
      <c r="AP20" s="310"/>
      <c r="AQ20" s="310"/>
      <c r="AR20" s="310"/>
      <c r="AS20" s="310"/>
      <c r="AT20" s="310"/>
      <c r="AU20" s="310"/>
      <c r="AV20" s="310"/>
      <c r="AW20" s="310"/>
      <c r="AX20" s="310"/>
      <c r="AY20" s="310"/>
      <c r="AZ20" s="310"/>
      <c r="BA20" s="310"/>
      <c r="BB20" s="310"/>
      <c r="BC20" s="310"/>
      <c r="BD20" s="310"/>
      <c r="BE20" s="310"/>
      <c r="BF20" s="310"/>
      <c r="BG20" s="310"/>
      <c r="BH20" s="310"/>
      <c r="BI20" s="310"/>
      <c r="BJ20" s="310"/>
      <c r="BK20" s="310"/>
      <c r="BL20" s="310"/>
      <c r="BM20" s="310"/>
      <c r="BN20" s="310"/>
      <c r="BO20" s="310"/>
      <c r="BP20" s="310"/>
      <c r="BQ20" s="310"/>
      <c r="BR20" s="310"/>
      <c r="BS20" s="310"/>
      <c r="BT20" s="310"/>
      <c r="BU20" s="310"/>
      <c r="BV20" s="310"/>
      <c r="BW20" s="310"/>
      <c r="BX20" s="310"/>
      <c r="BY20" s="310"/>
      <c r="BZ20" s="310"/>
      <c r="CA20" s="310"/>
      <c r="CB20" s="310"/>
      <c r="CC20" s="310"/>
      <c r="CD20" s="310"/>
      <c r="CE20" s="310"/>
      <c r="CF20" s="310"/>
      <c r="CG20" s="310"/>
      <c r="CH20" s="310"/>
      <c r="CI20" s="310"/>
    </row>
    <row r="21" spans="1:87" s="284" customFormat="1">
      <c r="A21" s="283">
        <v>16</v>
      </c>
      <c r="B21" s="93" t="s">
        <v>153</v>
      </c>
      <c r="C21" s="93" t="s">
        <v>155</v>
      </c>
      <c r="D21" s="98">
        <v>45350</v>
      </c>
      <c r="E21" s="94"/>
      <c r="F21" s="92">
        <v>342857.14</v>
      </c>
      <c r="G21" s="92">
        <f>F21*30%</f>
        <v>102857.14200000001</v>
      </c>
      <c r="H21" s="107">
        <f>F21*70%</f>
        <v>239999.99799999999</v>
      </c>
      <c r="I21" s="111">
        <v>342857.14</v>
      </c>
      <c r="J21" s="106"/>
      <c r="K21" s="92"/>
      <c r="L21" s="112">
        <f t="shared" si="0"/>
        <v>342857.14</v>
      </c>
      <c r="M21" s="108">
        <f>F21*30%</f>
        <v>102857.14200000001</v>
      </c>
      <c r="N21" s="92">
        <f>H21/36</f>
        <v>6666.6666111111108</v>
      </c>
      <c r="O21" s="92">
        <v>146242.73933333333</v>
      </c>
      <c r="P21" s="92">
        <f t="shared" si="1"/>
        <v>6666.6666111111108</v>
      </c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6">
        <f>SUM(P21:AA21)</f>
        <v>6666.6666111111108</v>
      </c>
      <c r="AC21" s="96"/>
      <c r="AD21" s="97">
        <f>O21+AB21-AC21</f>
        <v>152909.40594444444</v>
      </c>
      <c r="AE21" s="97">
        <f>L21-AD21</f>
        <v>189947.73405555557</v>
      </c>
      <c r="AF21" s="312">
        <f t="shared" si="2"/>
        <v>87090.592055555564</v>
      </c>
      <c r="AG21" s="310"/>
      <c r="AH21" s="310"/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0"/>
      <c r="AT21" s="310"/>
      <c r="AU21" s="310"/>
      <c r="AV21" s="310"/>
      <c r="AW21" s="310"/>
      <c r="AX21" s="310"/>
      <c r="AY21" s="310"/>
      <c r="AZ21" s="310"/>
      <c r="BA21" s="310"/>
      <c r="BB21" s="310"/>
      <c r="BC21" s="310"/>
      <c r="BD21" s="310"/>
      <c r="BE21" s="310"/>
      <c r="BF21" s="310"/>
      <c r="BG21" s="310"/>
      <c r="BH21" s="310"/>
      <c r="BI21" s="310"/>
      <c r="BJ21" s="310"/>
      <c r="BK21" s="310"/>
      <c r="BL21" s="310"/>
      <c r="BM21" s="310"/>
      <c r="BN21" s="310"/>
      <c r="BO21" s="310"/>
      <c r="BP21" s="310"/>
      <c r="BQ21" s="310"/>
      <c r="BR21" s="310"/>
      <c r="BS21" s="310"/>
      <c r="BT21" s="310"/>
      <c r="BU21" s="310"/>
      <c r="BV21" s="310"/>
      <c r="BW21" s="310"/>
      <c r="BX21" s="310"/>
      <c r="BY21" s="310"/>
      <c r="BZ21" s="310"/>
      <c r="CA21" s="310"/>
      <c r="CB21" s="310"/>
      <c r="CC21" s="310"/>
      <c r="CD21" s="310"/>
      <c r="CE21" s="310"/>
      <c r="CF21" s="310"/>
      <c r="CG21" s="310"/>
      <c r="CH21" s="310"/>
      <c r="CI21" s="310"/>
    </row>
    <row r="22" spans="1:87" s="284" customFormat="1">
      <c r="A22" s="283">
        <v>17</v>
      </c>
      <c r="B22" s="93" t="s">
        <v>156</v>
      </c>
      <c r="C22" s="93" t="s">
        <v>157</v>
      </c>
      <c r="D22" s="98">
        <v>45356</v>
      </c>
      <c r="E22" s="94"/>
      <c r="F22" s="92">
        <v>448571.43</v>
      </c>
      <c r="G22" s="92">
        <f>F22*30%</f>
        <v>134571.429</v>
      </c>
      <c r="H22" s="107">
        <f>F22*70%</f>
        <v>314000.00099999999</v>
      </c>
      <c r="I22" s="111">
        <v>448571</v>
      </c>
      <c r="J22" s="106"/>
      <c r="K22" s="92"/>
      <c r="L22" s="112">
        <f t="shared" si="0"/>
        <v>448571</v>
      </c>
      <c r="M22" s="108">
        <f>F22*30%</f>
        <v>134571.429</v>
      </c>
      <c r="N22" s="92">
        <f>H22/36</f>
        <v>8722.2222499999989</v>
      </c>
      <c r="O22" s="92">
        <v>189613.32699999996</v>
      </c>
      <c r="P22" s="92">
        <f t="shared" si="1"/>
        <v>8722.2222499999989</v>
      </c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6">
        <f>SUM(P22:AA22)</f>
        <v>8722.2222499999989</v>
      </c>
      <c r="AC22" s="96"/>
      <c r="AD22" s="97">
        <f>O22+AB22-AC22</f>
        <v>198335.54924999995</v>
      </c>
      <c r="AE22" s="97">
        <f>L22-AD22</f>
        <v>250235.45075000005</v>
      </c>
      <c r="AF22" s="312">
        <f t="shared" si="2"/>
        <v>115664.02175000004</v>
      </c>
      <c r="AG22" s="310"/>
      <c r="AH22" s="310"/>
      <c r="AI22" s="310"/>
      <c r="AJ22" s="310"/>
      <c r="AK22" s="310"/>
      <c r="AL22" s="310"/>
      <c r="AM22" s="310"/>
      <c r="AN22" s="310"/>
      <c r="AO22" s="310"/>
      <c r="AP22" s="310"/>
      <c r="AQ22" s="310"/>
      <c r="AR22" s="310"/>
      <c r="AS22" s="310"/>
      <c r="AT22" s="310"/>
      <c r="AU22" s="310"/>
      <c r="AV22" s="310"/>
      <c r="AW22" s="310"/>
      <c r="AX22" s="310"/>
      <c r="AY22" s="310"/>
      <c r="AZ22" s="310"/>
      <c r="BA22" s="310"/>
      <c r="BB22" s="310"/>
      <c r="BC22" s="310"/>
      <c r="BD22" s="310"/>
      <c r="BE22" s="310"/>
      <c r="BF22" s="310"/>
      <c r="BG22" s="310"/>
      <c r="BH22" s="310"/>
      <c r="BI22" s="310"/>
      <c r="BJ22" s="310"/>
      <c r="BK22" s="310"/>
      <c r="BL22" s="310"/>
      <c r="BM22" s="310"/>
      <c r="BN22" s="310"/>
      <c r="BO22" s="310"/>
      <c r="BP22" s="310"/>
      <c r="BQ22" s="310"/>
      <c r="BR22" s="310"/>
      <c r="BS22" s="310"/>
      <c r="BT22" s="310"/>
      <c r="BU22" s="310"/>
      <c r="BV22" s="310"/>
      <c r="BW22" s="310"/>
      <c r="BX22" s="310"/>
      <c r="BY22" s="310"/>
      <c r="BZ22" s="310"/>
      <c r="CA22" s="310"/>
      <c r="CB22" s="310"/>
      <c r="CC22" s="310"/>
      <c r="CD22" s="310"/>
      <c r="CE22" s="310"/>
      <c r="CF22" s="310"/>
      <c r="CG22" s="310"/>
      <c r="CH22" s="310"/>
      <c r="CI22" s="310"/>
    </row>
    <row r="23" spans="1:87" s="284" customFormat="1">
      <c r="A23" s="283">
        <v>18</v>
      </c>
      <c r="B23" s="93" t="s">
        <v>156</v>
      </c>
      <c r="C23" s="93" t="s">
        <v>158</v>
      </c>
      <c r="D23" s="98">
        <v>45356</v>
      </c>
      <c r="E23" s="94"/>
      <c r="F23" s="92">
        <v>448571.43</v>
      </c>
      <c r="G23" s="92">
        <f>F23*30%</f>
        <v>134571.429</v>
      </c>
      <c r="H23" s="107">
        <f>F23*70%</f>
        <v>314000.00099999999</v>
      </c>
      <c r="I23" s="111">
        <v>448571</v>
      </c>
      <c r="J23" s="106"/>
      <c r="K23" s="92"/>
      <c r="L23" s="112">
        <f t="shared" si="0"/>
        <v>448571</v>
      </c>
      <c r="M23" s="108">
        <f>F23*30%</f>
        <v>134571.429</v>
      </c>
      <c r="N23" s="92">
        <f>H23/36</f>
        <v>8722.2222499999989</v>
      </c>
      <c r="O23" s="92">
        <v>189613.32699999996</v>
      </c>
      <c r="P23" s="92">
        <f t="shared" si="1"/>
        <v>8722.2222499999989</v>
      </c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6">
        <f>SUM(P23:AA23)</f>
        <v>8722.2222499999989</v>
      </c>
      <c r="AC23" s="96"/>
      <c r="AD23" s="97">
        <f>O23+AB23-AC23</f>
        <v>198335.54924999995</v>
      </c>
      <c r="AE23" s="97">
        <f>L23-AD23</f>
        <v>250235.45075000005</v>
      </c>
      <c r="AF23" s="312">
        <f t="shared" si="2"/>
        <v>115664.02175000004</v>
      </c>
      <c r="AG23" s="310"/>
      <c r="AH23" s="310"/>
      <c r="AI23" s="310"/>
      <c r="AJ23" s="310"/>
      <c r="AK23" s="310"/>
      <c r="AL23" s="310"/>
      <c r="AM23" s="310"/>
      <c r="AN23" s="310"/>
      <c r="AO23" s="310"/>
      <c r="AP23" s="310"/>
      <c r="AQ23" s="310"/>
      <c r="AR23" s="310"/>
      <c r="AS23" s="310"/>
      <c r="AT23" s="310"/>
      <c r="AU23" s="310"/>
      <c r="AV23" s="310"/>
      <c r="AW23" s="310"/>
      <c r="AX23" s="310"/>
      <c r="AY23" s="310"/>
      <c r="AZ23" s="310"/>
      <c r="BA23" s="310"/>
      <c r="BB23" s="310"/>
      <c r="BC23" s="310"/>
      <c r="BD23" s="310"/>
      <c r="BE23" s="310"/>
      <c r="BF23" s="310"/>
      <c r="BG23" s="310"/>
      <c r="BH23" s="310"/>
      <c r="BI23" s="310"/>
      <c r="BJ23" s="310"/>
      <c r="BK23" s="310"/>
      <c r="BL23" s="310"/>
      <c r="BM23" s="310"/>
      <c r="BN23" s="310"/>
      <c r="BO23" s="310"/>
      <c r="BP23" s="310"/>
      <c r="BQ23" s="310"/>
      <c r="BR23" s="310"/>
      <c r="BS23" s="310"/>
      <c r="BT23" s="310"/>
      <c r="BU23" s="310"/>
      <c r="BV23" s="310"/>
      <c r="BW23" s="310"/>
      <c r="BX23" s="310"/>
      <c r="BY23" s="310"/>
      <c r="BZ23" s="310"/>
      <c r="CA23" s="310"/>
      <c r="CB23" s="310"/>
      <c r="CC23" s="310"/>
      <c r="CD23" s="310"/>
      <c r="CE23" s="310"/>
      <c r="CF23" s="310"/>
      <c r="CG23" s="310"/>
      <c r="CH23" s="310"/>
      <c r="CI23" s="310"/>
    </row>
    <row r="24" spans="1:87" s="284" customFormat="1">
      <c r="A24" s="283">
        <v>19</v>
      </c>
      <c r="B24" s="93" t="s">
        <v>159</v>
      </c>
      <c r="C24" s="93" t="s">
        <v>160</v>
      </c>
      <c r="D24" s="98">
        <v>45412</v>
      </c>
      <c r="E24" s="94"/>
      <c r="F24" s="92">
        <v>247619.05</v>
      </c>
      <c r="G24" s="92">
        <f>F24*30%</f>
        <v>74285.714999999997</v>
      </c>
      <c r="H24" s="107">
        <f>F24*70%</f>
        <v>173333.33499999999</v>
      </c>
      <c r="I24" s="111">
        <v>247619.05</v>
      </c>
      <c r="J24" s="106"/>
      <c r="K24" s="92"/>
      <c r="L24" s="112">
        <f t="shared" si="0"/>
        <v>247619.05</v>
      </c>
      <c r="M24" s="108">
        <f>F24*30%</f>
        <v>74285.714999999997</v>
      </c>
      <c r="N24" s="92">
        <f>H24/36</f>
        <v>4814.814861111111</v>
      </c>
      <c r="O24" s="92">
        <v>91050.138333333336</v>
      </c>
      <c r="P24" s="92">
        <f t="shared" si="1"/>
        <v>4814.814861111111</v>
      </c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6">
        <f>SUM(P24:AA24)</f>
        <v>4814.814861111111</v>
      </c>
      <c r="AC24" s="96"/>
      <c r="AD24" s="97">
        <f>O24+AB24-AC24</f>
        <v>95864.953194444446</v>
      </c>
      <c r="AE24" s="97">
        <f>L24-AD24</f>
        <v>151754.09680555554</v>
      </c>
      <c r="AF24" s="312">
        <f t="shared" si="2"/>
        <v>77468.381805555546</v>
      </c>
      <c r="AG24" s="310"/>
      <c r="AH24" s="310"/>
      <c r="AI24" s="310"/>
      <c r="AJ24" s="310"/>
      <c r="AK24" s="310"/>
      <c r="AL24" s="310"/>
      <c r="AM24" s="310"/>
      <c r="AN24" s="310"/>
      <c r="AO24" s="310"/>
      <c r="AP24" s="310"/>
      <c r="AQ24" s="310"/>
      <c r="AR24" s="310"/>
      <c r="AS24" s="310"/>
      <c r="AT24" s="310"/>
      <c r="AU24" s="310"/>
      <c r="AV24" s="310"/>
      <c r="AW24" s="310"/>
      <c r="AX24" s="310"/>
      <c r="AY24" s="310"/>
      <c r="AZ24" s="310"/>
      <c r="BA24" s="310"/>
      <c r="BB24" s="310"/>
      <c r="BC24" s="310"/>
      <c r="BD24" s="310"/>
      <c r="BE24" s="310"/>
      <c r="BF24" s="310"/>
      <c r="BG24" s="310"/>
      <c r="BH24" s="310"/>
      <c r="BI24" s="310"/>
      <c r="BJ24" s="310"/>
      <c r="BK24" s="310"/>
      <c r="BL24" s="310"/>
      <c r="BM24" s="310"/>
      <c r="BN24" s="310"/>
      <c r="BO24" s="310"/>
      <c r="BP24" s="310"/>
      <c r="BQ24" s="310"/>
      <c r="BR24" s="310"/>
      <c r="BS24" s="310"/>
      <c r="BT24" s="310"/>
      <c r="BU24" s="310"/>
      <c r="BV24" s="310"/>
      <c r="BW24" s="310"/>
      <c r="BX24" s="310"/>
      <c r="BY24" s="310"/>
      <c r="BZ24" s="310"/>
      <c r="CA24" s="310"/>
      <c r="CB24" s="310"/>
      <c r="CC24" s="310"/>
      <c r="CD24" s="310"/>
      <c r="CE24" s="310"/>
      <c r="CF24" s="310"/>
      <c r="CG24" s="310"/>
      <c r="CH24" s="310"/>
      <c r="CI24" s="310"/>
    </row>
    <row r="25" spans="1:87" s="284" customFormat="1">
      <c r="A25" s="283">
        <v>20</v>
      </c>
      <c r="B25" s="93" t="s">
        <v>161</v>
      </c>
      <c r="C25" s="93" t="s">
        <v>162</v>
      </c>
      <c r="D25" s="98">
        <v>45687</v>
      </c>
      <c r="E25" s="94" t="s">
        <v>163</v>
      </c>
      <c r="F25" s="92">
        <v>623809.52</v>
      </c>
      <c r="G25" s="92">
        <f>F25*30%</f>
        <v>187142.856</v>
      </c>
      <c r="H25" s="107">
        <f>F25*70%</f>
        <v>436666.66399999999</v>
      </c>
      <c r="I25" s="315">
        <v>623809.52</v>
      </c>
      <c r="J25" s="285"/>
      <c r="K25" s="92"/>
      <c r="L25" s="112">
        <f t="shared" si="0"/>
        <v>623809.52</v>
      </c>
      <c r="M25" s="108">
        <f>F25*30%</f>
        <v>187142.856</v>
      </c>
      <c r="N25" s="92">
        <f>H25/36</f>
        <v>12129.629555555555</v>
      </c>
      <c r="O25" s="92">
        <v>133425.92511111111</v>
      </c>
      <c r="P25" s="92">
        <f t="shared" si="1"/>
        <v>12129.629555555555</v>
      </c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6">
        <f>SUM(P25:AA25)</f>
        <v>12129.629555555555</v>
      </c>
      <c r="AC25" s="96"/>
      <c r="AD25" s="97">
        <f>O25+AB25-AC25</f>
        <v>145555.55466666666</v>
      </c>
      <c r="AE25" s="97">
        <f>L25-AD25</f>
        <v>478253.96533333336</v>
      </c>
      <c r="AF25" s="312">
        <f t="shared" si="2"/>
        <v>291111.10933333333</v>
      </c>
      <c r="AG25" s="310"/>
      <c r="AH25" s="310"/>
      <c r="AI25" s="310"/>
      <c r="AJ25" s="310"/>
      <c r="AK25" s="310"/>
      <c r="AL25" s="310"/>
      <c r="AM25" s="310"/>
      <c r="AN25" s="310"/>
      <c r="AO25" s="310"/>
      <c r="AP25" s="310"/>
      <c r="AQ25" s="310"/>
      <c r="AR25" s="310"/>
      <c r="AS25" s="310"/>
      <c r="AT25" s="310"/>
      <c r="AU25" s="310"/>
      <c r="AV25" s="310"/>
      <c r="AW25" s="310"/>
      <c r="AX25" s="310"/>
      <c r="AY25" s="310"/>
      <c r="AZ25" s="310"/>
      <c r="BA25" s="310"/>
      <c r="BB25" s="310"/>
      <c r="BC25" s="310"/>
      <c r="BD25" s="310"/>
      <c r="BE25" s="310"/>
      <c r="BF25" s="310"/>
      <c r="BG25" s="310"/>
      <c r="BH25" s="310"/>
      <c r="BI25" s="310"/>
      <c r="BJ25" s="310"/>
      <c r="BK25" s="310"/>
      <c r="BL25" s="310"/>
      <c r="BM25" s="310"/>
      <c r="BN25" s="310"/>
      <c r="BO25" s="310"/>
      <c r="BP25" s="310"/>
      <c r="BQ25" s="310"/>
      <c r="BR25" s="310"/>
      <c r="BS25" s="310"/>
      <c r="BT25" s="310"/>
      <c r="BU25" s="310"/>
      <c r="BV25" s="310"/>
      <c r="BW25" s="310"/>
      <c r="BX25" s="310"/>
      <c r="BY25" s="310"/>
      <c r="BZ25" s="310"/>
      <c r="CA25" s="310"/>
      <c r="CB25" s="310"/>
      <c r="CC25" s="310"/>
      <c r="CD25" s="310"/>
      <c r="CE25" s="310"/>
      <c r="CF25" s="310"/>
      <c r="CG25" s="310"/>
      <c r="CH25" s="310"/>
      <c r="CI25" s="310"/>
    </row>
    <row r="26" spans="1:87" s="284" customFormat="1">
      <c r="A26" s="283">
        <v>21</v>
      </c>
      <c r="B26" s="93" t="s">
        <v>161</v>
      </c>
      <c r="C26" s="93" t="s">
        <v>164</v>
      </c>
      <c r="D26" s="98">
        <v>45687</v>
      </c>
      <c r="E26" s="94" t="s">
        <v>163</v>
      </c>
      <c r="F26" s="92">
        <v>623809.52</v>
      </c>
      <c r="G26" s="92">
        <f>F26*30%</f>
        <v>187142.856</v>
      </c>
      <c r="H26" s="107">
        <f>F26*70%</f>
        <v>436666.66399999999</v>
      </c>
      <c r="I26" s="111">
        <v>623809.52</v>
      </c>
      <c r="J26" s="285"/>
      <c r="K26" s="92"/>
      <c r="L26" s="112">
        <f t="shared" si="0"/>
        <v>623809.52</v>
      </c>
      <c r="M26" s="108">
        <f>F26*30%</f>
        <v>187142.856</v>
      </c>
      <c r="N26" s="92">
        <f>H26/36</f>
        <v>12129.629555555555</v>
      </c>
      <c r="O26" s="92">
        <v>133425.9251111112</v>
      </c>
      <c r="P26" s="92">
        <f t="shared" si="1"/>
        <v>12129.629555555555</v>
      </c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6">
        <f>SUM(P26:AA26)</f>
        <v>12129.629555555555</v>
      </c>
      <c r="AC26" s="96"/>
      <c r="AD26" s="97">
        <f>O26+AB26-AC26</f>
        <v>145555.55466666675</v>
      </c>
      <c r="AE26" s="97">
        <f>L26-AD26</f>
        <v>478253.96533333324</v>
      </c>
      <c r="AF26" s="312">
        <f t="shared" si="2"/>
        <v>291111.10933333321</v>
      </c>
      <c r="AG26" s="310"/>
      <c r="AH26" s="310"/>
      <c r="AI26" s="310"/>
      <c r="AJ26" s="310"/>
      <c r="AK26" s="310"/>
      <c r="AL26" s="310"/>
      <c r="AM26" s="310"/>
      <c r="AN26" s="310"/>
      <c r="AO26" s="310"/>
      <c r="AP26" s="310"/>
      <c r="AQ26" s="310"/>
      <c r="AR26" s="310"/>
      <c r="AS26" s="310"/>
      <c r="AT26" s="310"/>
      <c r="AU26" s="310"/>
      <c r="AV26" s="310"/>
      <c r="AW26" s="310"/>
      <c r="AX26" s="310"/>
      <c r="AY26" s="310"/>
      <c r="AZ26" s="310"/>
      <c r="BA26" s="310"/>
      <c r="BB26" s="310"/>
      <c r="BC26" s="310"/>
      <c r="BD26" s="310"/>
      <c r="BE26" s="310"/>
      <c r="BF26" s="310"/>
      <c r="BG26" s="310"/>
      <c r="BH26" s="310"/>
      <c r="BI26" s="310"/>
      <c r="BJ26" s="310"/>
      <c r="BK26" s="310"/>
      <c r="BL26" s="310"/>
      <c r="BM26" s="310"/>
      <c r="BN26" s="310"/>
      <c r="BO26" s="310"/>
      <c r="BP26" s="310"/>
      <c r="BQ26" s="310"/>
      <c r="BR26" s="310"/>
      <c r="BS26" s="310"/>
      <c r="BT26" s="310"/>
      <c r="BU26" s="310"/>
      <c r="BV26" s="310"/>
      <c r="BW26" s="310"/>
      <c r="BX26" s="310"/>
      <c r="BY26" s="310"/>
      <c r="BZ26" s="310"/>
      <c r="CA26" s="310"/>
      <c r="CB26" s="310"/>
      <c r="CC26" s="310"/>
      <c r="CD26" s="310"/>
      <c r="CE26" s="310"/>
      <c r="CF26" s="310"/>
      <c r="CG26" s="310"/>
      <c r="CH26" s="310"/>
      <c r="CI26" s="310"/>
    </row>
    <row r="27" spans="1:87" s="284" customFormat="1">
      <c r="A27" s="283">
        <v>22</v>
      </c>
      <c r="B27" s="93" t="s">
        <v>161</v>
      </c>
      <c r="C27" s="93" t="s">
        <v>165</v>
      </c>
      <c r="D27" s="98">
        <v>45687</v>
      </c>
      <c r="E27" s="94" t="s">
        <v>163</v>
      </c>
      <c r="F27" s="92">
        <v>623809.52</v>
      </c>
      <c r="G27" s="92">
        <f>F27*30%</f>
        <v>187142.856</v>
      </c>
      <c r="H27" s="107">
        <f>F27*70%</f>
        <v>436666.66399999999</v>
      </c>
      <c r="I27" s="111">
        <v>623809.52</v>
      </c>
      <c r="J27" s="285"/>
      <c r="K27" s="92"/>
      <c r="L27" s="112">
        <f t="shared" si="0"/>
        <v>623809.52</v>
      </c>
      <c r="M27" s="108">
        <f>F27*30%</f>
        <v>187142.856</v>
      </c>
      <c r="N27" s="92">
        <f>H27/36</f>
        <v>12129.629555555555</v>
      </c>
      <c r="O27" s="92">
        <v>133425.92511111111</v>
      </c>
      <c r="P27" s="92">
        <f t="shared" si="1"/>
        <v>12129.629555555555</v>
      </c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6">
        <f>SUM(P27:AA27)</f>
        <v>12129.629555555555</v>
      </c>
      <c r="AC27" s="96"/>
      <c r="AD27" s="97">
        <f>O27+AB27-AC27</f>
        <v>145555.55466666666</v>
      </c>
      <c r="AE27" s="97">
        <f>L27-AD27</f>
        <v>478253.96533333336</v>
      </c>
      <c r="AF27" s="312">
        <f t="shared" si="2"/>
        <v>291111.10933333333</v>
      </c>
      <c r="AG27" s="310"/>
      <c r="AH27" s="310"/>
      <c r="AI27" s="310"/>
      <c r="AJ27" s="310"/>
      <c r="AK27" s="310"/>
      <c r="AL27" s="310"/>
      <c r="AM27" s="310"/>
      <c r="AN27" s="310"/>
      <c r="AO27" s="310"/>
      <c r="AP27" s="310"/>
      <c r="AQ27" s="310"/>
      <c r="AR27" s="310"/>
      <c r="AS27" s="310"/>
      <c r="AT27" s="310"/>
      <c r="AU27" s="310"/>
      <c r="AV27" s="310"/>
      <c r="AW27" s="310"/>
      <c r="AX27" s="310"/>
      <c r="AY27" s="310"/>
      <c r="AZ27" s="310"/>
      <c r="BA27" s="310"/>
      <c r="BB27" s="310"/>
      <c r="BC27" s="310"/>
      <c r="BD27" s="310"/>
      <c r="BE27" s="310"/>
      <c r="BF27" s="310"/>
      <c r="BG27" s="310"/>
      <c r="BH27" s="310"/>
      <c r="BI27" s="310"/>
      <c r="BJ27" s="310"/>
      <c r="BK27" s="310"/>
      <c r="BL27" s="310"/>
      <c r="BM27" s="310"/>
      <c r="BN27" s="310"/>
      <c r="BO27" s="310"/>
      <c r="BP27" s="310"/>
      <c r="BQ27" s="310"/>
      <c r="BR27" s="310"/>
      <c r="BS27" s="310"/>
      <c r="BT27" s="310"/>
      <c r="BU27" s="310"/>
      <c r="BV27" s="310"/>
      <c r="BW27" s="310"/>
      <c r="BX27" s="310"/>
      <c r="BY27" s="310"/>
      <c r="BZ27" s="310"/>
      <c r="CA27" s="310"/>
      <c r="CB27" s="310"/>
      <c r="CC27" s="310"/>
      <c r="CD27" s="310"/>
      <c r="CE27" s="310"/>
      <c r="CF27" s="310"/>
      <c r="CG27" s="310"/>
      <c r="CH27" s="310"/>
      <c r="CI27" s="310"/>
    </row>
    <row r="28" spans="1:87" s="284" customFormat="1">
      <c r="A28" s="283">
        <v>23</v>
      </c>
      <c r="B28" s="93" t="s">
        <v>166</v>
      </c>
      <c r="C28" s="93" t="s">
        <v>167</v>
      </c>
      <c r="D28" s="98">
        <v>45713</v>
      </c>
      <c r="E28" s="94" t="s">
        <v>163</v>
      </c>
      <c r="F28" s="92">
        <f>475238.09+4886.38</f>
        <v>480124.47000000003</v>
      </c>
      <c r="G28" s="92">
        <f>F28*30%</f>
        <v>144037.34100000001</v>
      </c>
      <c r="H28" s="107">
        <f>F28*70%</f>
        <v>336087.12900000002</v>
      </c>
      <c r="I28" s="111">
        <f>475238.09+4886.38</f>
        <v>480124.47000000003</v>
      </c>
      <c r="J28" s="285"/>
      <c r="K28" s="92"/>
      <c r="L28" s="112">
        <f t="shared" si="0"/>
        <v>480124.47000000003</v>
      </c>
      <c r="M28" s="108">
        <f>F28*30%</f>
        <v>144037.34100000001</v>
      </c>
      <c r="N28" s="92">
        <f>H28/36</f>
        <v>9335.7535833333332</v>
      </c>
      <c r="O28" s="92">
        <v>94359.534472222222</v>
      </c>
      <c r="P28" s="92">
        <f t="shared" si="1"/>
        <v>9335.7535833333332</v>
      </c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6">
        <f>SUM(P28:AA28)</f>
        <v>9335.7535833333332</v>
      </c>
      <c r="AC28" s="96"/>
      <c r="AD28" s="97">
        <f>O28+AB28-AC28</f>
        <v>103695.28805555556</v>
      </c>
      <c r="AE28" s="97">
        <f>L28-AD28</f>
        <v>376429.18194444448</v>
      </c>
      <c r="AF28" s="312">
        <f t="shared" si="2"/>
        <v>232391.84094444447</v>
      </c>
      <c r="AG28" s="310"/>
      <c r="AH28" s="310"/>
      <c r="AI28" s="310"/>
      <c r="AJ28" s="310"/>
      <c r="AK28" s="310"/>
      <c r="AL28" s="310"/>
      <c r="AM28" s="310"/>
      <c r="AN28" s="310"/>
      <c r="AO28" s="310"/>
      <c r="AP28" s="310"/>
      <c r="AQ28" s="310"/>
      <c r="AR28" s="310"/>
      <c r="AS28" s="310"/>
      <c r="AT28" s="310"/>
      <c r="AU28" s="310"/>
      <c r="AV28" s="310"/>
      <c r="AW28" s="310"/>
      <c r="AX28" s="310"/>
      <c r="AY28" s="310"/>
      <c r="AZ28" s="310"/>
      <c r="BA28" s="310"/>
      <c r="BB28" s="310"/>
      <c r="BC28" s="310"/>
      <c r="BD28" s="310"/>
      <c r="BE28" s="310"/>
      <c r="BF28" s="310"/>
      <c r="BG28" s="310"/>
      <c r="BH28" s="310"/>
      <c r="BI28" s="310"/>
      <c r="BJ28" s="310"/>
      <c r="BK28" s="310"/>
      <c r="BL28" s="310"/>
      <c r="BM28" s="310"/>
      <c r="BN28" s="310"/>
      <c r="BO28" s="310"/>
      <c r="BP28" s="310"/>
      <c r="BQ28" s="310"/>
      <c r="BR28" s="310"/>
      <c r="BS28" s="310"/>
      <c r="BT28" s="310"/>
      <c r="BU28" s="310"/>
      <c r="BV28" s="310"/>
      <c r="BW28" s="310"/>
      <c r="BX28" s="310"/>
      <c r="BY28" s="310"/>
      <c r="BZ28" s="310"/>
      <c r="CA28" s="310"/>
      <c r="CB28" s="310"/>
      <c r="CC28" s="310"/>
      <c r="CD28" s="310"/>
      <c r="CE28" s="310"/>
      <c r="CF28" s="310"/>
      <c r="CG28" s="310"/>
      <c r="CH28" s="310"/>
      <c r="CI28" s="310"/>
    </row>
    <row r="29" spans="1:87" s="284" customFormat="1">
      <c r="A29" s="283">
        <v>24</v>
      </c>
      <c r="B29" s="93" t="s">
        <v>161</v>
      </c>
      <c r="C29" s="93" t="s">
        <v>168</v>
      </c>
      <c r="D29" s="98">
        <v>45713</v>
      </c>
      <c r="E29" s="94" t="s">
        <v>163</v>
      </c>
      <c r="F29" s="92">
        <f>570476.19+5865.62</f>
        <v>576341.80999999994</v>
      </c>
      <c r="G29" s="92">
        <f>F29*30%</f>
        <v>172902.54299999998</v>
      </c>
      <c r="H29" s="107">
        <f>F29*70%</f>
        <v>403439.26699999993</v>
      </c>
      <c r="I29" s="111">
        <f>570476.19+5865.62</f>
        <v>576341.80999999994</v>
      </c>
      <c r="J29" s="285"/>
      <c r="K29" s="92"/>
      <c r="L29" s="112">
        <f t="shared" si="0"/>
        <v>576341.80999999994</v>
      </c>
      <c r="M29" s="108">
        <f>F29*30%</f>
        <v>172902.54299999998</v>
      </c>
      <c r="N29" s="92">
        <f>H29/36</f>
        <v>11206.646305555554</v>
      </c>
      <c r="O29" s="92">
        <v>113269.27808333331</v>
      </c>
      <c r="P29" s="92">
        <f t="shared" si="1"/>
        <v>11206.646305555554</v>
      </c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6">
        <f>SUM(P29:AA29)</f>
        <v>11206.646305555554</v>
      </c>
      <c r="AC29" s="96"/>
      <c r="AD29" s="97">
        <f>O29+AB29-AC29</f>
        <v>124475.92438888886</v>
      </c>
      <c r="AE29" s="97">
        <f>L29-AD29</f>
        <v>451865.88561111107</v>
      </c>
      <c r="AF29" s="312">
        <f t="shared" si="2"/>
        <v>278963.34261111112</v>
      </c>
      <c r="AG29" s="310"/>
      <c r="AH29" s="310"/>
      <c r="AI29" s="310"/>
      <c r="AJ29" s="310"/>
      <c r="AK29" s="310"/>
      <c r="AL29" s="310"/>
      <c r="AM29" s="310"/>
      <c r="AN29" s="310"/>
      <c r="AO29" s="310"/>
      <c r="AP29" s="310"/>
      <c r="AQ29" s="310"/>
      <c r="AR29" s="310"/>
      <c r="AS29" s="310"/>
      <c r="AT29" s="310"/>
      <c r="AU29" s="310"/>
      <c r="AV29" s="310"/>
      <c r="AW29" s="310"/>
      <c r="AX29" s="310"/>
      <c r="AY29" s="310"/>
      <c r="AZ29" s="310"/>
      <c r="BA29" s="310"/>
      <c r="BB29" s="310"/>
      <c r="BC29" s="310"/>
      <c r="BD29" s="310"/>
      <c r="BE29" s="310"/>
      <c r="BF29" s="310"/>
      <c r="BG29" s="310"/>
      <c r="BH29" s="310"/>
      <c r="BI29" s="310"/>
      <c r="BJ29" s="310"/>
      <c r="BK29" s="310"/>
      <c r="BL29" s="310"/>
      <c r="BM29" s="310"/>
      <c r="BN29" s="310"/>
      <c r="BO29" s="310"/>
      <c r="BP29" s="310"/>
      <c r="BQ29" s="310"/>
      <c r="BR29" s="310"/>
      <c r="BS29" s="310"/>
      <c r="BT29" s="310"/>
      <c r="BU29" s="310"/>
      <c r="BV29" s="310"/>
      <c r="BW29" s="310"/>
      <c r="BX29" s="310"/>
      <c r="BY29" s="310"/>
      <c r="BZ29" s="310"/>
      <c r="CA29" s="310"/>
      <c r="CB29" s="310"/>
      <c r="CC29" s="310"/>
      <c r="CD29" s="310"/>
      <c r="CE29" s="310"/>
      <c r="CF29" s="310"/>
      <c r="CG29" s="310"/>
      <c r="CH29" s="310"/>
      <c r="CI29" s="310"/>
    </row>
    <row r="30" spans="1:87" s="284" customFormat="1">
      <c r="A30" s="283">
        <v>25</v>
      </c>
      <c r="B30" s="288" t="s">
        <v>169</v>
      </c>
      <c r="C30" s="289" t="s">
        <v>170</v>
      </c>
      <c r="D30" s="290">
        <v>45848</v>
      </c>
      <c r="E30" s="291"/>
      <c r="F30" s="292">
        <v>541904.76</v>
      </c>
      <c r="G30" s="92">
        <f>F30*30%</f>
        <v>162571.42799999999</v>
      </c>
      <c r="H30" s="107">
        <f>F30*70%</f>
        <v>379333.33199999999</v>
      </c>
      <c r="I30" s="316">
        <v>541904.76</v>
      </c>
      <c r="J30" s="285"/>
      <c r="K30" s="92"/>
      <c r="L30" s="112">
        <f t="shared" si="0"/>
        <v>541904.76</v>
      </c>
      <c r="M30" s="108">
        <f>F30*30%</f>
        <v>162571.42799999999</v>
      </c>
      <c r="N30" s="92">
        <f>H30/36</f>
        <v>10537.037</v>
      </c>
      <c r="O30" s="92">
        <v>59823.177806451611</v>
      </c>
      <c r="P30" s="92">
        <f t="shared" si="1"/>
        <v>10537.037</v>
      </c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6">
        <f>SUM(P30:AA30)</f>
        <v>10537.037</v>
      </c>
      <c r="AC30" s="96"/>
      <c r="AD30" s="97">
        <f>O30+AB30-AC30</f>
        <v>70360.214806451608</v>
      </c>
      <c r="AE30" s="97">
        <f>L30-AD30</f>
        <v>471544.54519354843</v>
      </c>
      <c r="AF30" s="312">
        <f t="shared" si="2"/>
        <v>308973.11719354847</v>
      </c>
      <c r="AG30" s="310"/>
      <c r="AH30" s="310"/>
      <c r="AI30" s="310"/>
      <c r="AJ30" s="310"/>
      <c r="AK30" s="310"/>
      <c r="AL30" s="310"/>
      <c r="AM30" s="310"/>
      <c r="AN30" s="310"/>
      <c r="AO30" s="310"/>
      <c r="AP30" s="310"/>
      <c r="AQ30" s="310"/>
      <c r="AR30" s="310"/>
      <c r="AS30" s="310"/>
      <c r="AT30" s="310"/>
      <c r="AU30" s="310"/>
      <c r="AV30" s="310"/>
      <c r="AW30" s="310"/>
      <c r="AX30" s="310"/>
      <c r="AY30" s="310"/>
      <c r="AZ30" s="310"/>
      <c r="BA30" s="310"/>
      <c r="BB30" s="310"/>
      <c r="BC30" s="310"/>
      <c r="BD30" s="310"/>
      <c r="BE30" s="310"/>
      <c r="BF30" s="310"/>
      <c r="BG30" s="310"/>
      <c r="BH30" s="310"/>
      <c r="BI30" s="310"/>
      <c r="BJ30" s="310"/>
      <c r="BK30" s="310"/>
      <c r="BL30" s="310"/>
      <c r="BM30" s="310"/>
      <c r="BN30" s="310"/>
      <c r="BO30" s="310"/>
      <c r="BP30" s="310"/>
      <c r="BQ30" s="310"/>
      <c r="BR30" s="310"/>
      <c r="BS30" s="310"/>
      <c r="BT30" s="310"/>
      <c r="BU30" s="310"/>
      <c r="BV30" s="310"/>
      <c r="BW30" s="310"/>
      <c r="BX30" s="310"/>
      <c r="BY30" s="310"/>
      <c r="BZ30" s="310"/>
      <c r="CA30" s="310"/>
      <c r="CB30" s="310"/>
      <c r="CC30" s="310"/>
      <c r="CD30" s="310"/>
      <c r="CE30" s="310"/>
      <c r="CF30" s="310"/>
      <c r="CG30" s="310"/>
      <c r="CH30" s="310"/>
      <c r="CI30" s="310"/>
    </row>
    <row r="31" spans="1:87" s="286" customFormat="1">
      <c r="A31" s="283">
        <v>26</v>
      </c>
      <c r="B31" s="288" t="s">
        <v>171</v>
      </c>
      <c r="C31" s="289" t="s">
        <v>172</v>
      </c>
      <c r="D31" s="290">
        <v>45930</v>
      </c>
      <c r="E31" s="291" t="s">
        <v>163</v>
      </c>
      <c r="F31" s="292">
        <f>510000-24285.71</f>
        <v>485714.29</v>
      </c>
      <c r="G31" s="92">
        <f>F31*30%</f>
        <v>145714.28699999998</v>
      </c>
      <c r="H31" s="107">
        <f>F31*70%</f>
        <v>340000.00299999997</v>
      </c>
      <c r="I31" s="316">
        <f>510000-24285.71</f>
        <v>485714.29</v>
      </c>
      <c r="J31" s="285"/>
      <c r="K31" s="92"/>
      <c r="L31" s="112">
        <f t="shared" si="0"/>
        <v>485714.29</v>
      </c>
      <c r="M31" s="108">
        <f>F31*30%</f>
        <v>145714.28699999998</v>
      </c>
      <c r="N31" s="92">
        <f>H31/36</f>
        <v>9444.4445277777777</v>
      </c>
      <c r="O31" s="92">
        <v>28333.333583333333</v>
      </c>
      <c r="P31" s="92">
        <f t="shared" si="1"/>
        <v>9444.4445277777777</v>
      </c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6">
        <f>SUM(P31:AA31)</f>
        <v>9444.4445277777777</v>
      </c>
      <c r="AC31" s="96"/>
      <c r="AD31" s="97">
        <f>+O31+AB31</f>
        <v>37777.778111111111</v>
      </c>
      <c r="AE31" s="97">
        <f>L31-AD31</f>
        <v>447936.5118888889</v>
      </c>
      <c r="AF31" s="312">
        <f t="shared" si="2"/>
        <v>302222.22488888889</v>
      </c>
      <c r="AG31" s="310"/>
      <c r="AH31" s="310"/>
      <c r="AI31" s="310"/>
      <c r="AJ31" s="310"/>
      <c r="AK31" s="310"/>
      <c r="AL31" s="310"/>
      <c r="AM31" s="310"/>
      <c r="AN31" s="310"/>
      <c r="AO31" s="310"/>
      <c r="AP31" s="310"/>
      <c r="AQ31" s="310"/>
      <c r="AR31" s="310"/>
      <c r="AS31" s="310"/>
      <c r="AT31" s="310"/>
      <c r="AU31" s="310"/>
      <c r="AV31" s="310"/>
      <c r="AW31" s="310"/>
      <c r="AX31" s="310"/>
      <c r="AY31" s="310"/>
      <c r="AZ31" s="310"/>
      <c r="BA31" s="310"/>
      <c r="BB31" s="310"/>
      <c r="BC31" s="310"/>
      <c r="BD31" s="310"/>
      <c r="BE31" s="310"/>
      <c r="BF31" s="310"/>
      <c r="BG31" s="310"/>
      <c r="BH31" s="310"/>
      <c r="BI31" s="310"/>
      <c r="BJ31" s="310"/>
      <c r="BK31" s="310"/>
      <c r="BL31" s="310"/>
      <c r="BM31" s="310"/>
      <c r="BN31" s="310"/>
      <c r="BO31" s="310"/>
      <c r="BP31" s="310"/>
      <c r="BQ31" s="310"/>
      <c r="BR31" s="310"/>
      <c r="BS31" s="310"/>
      <c r="BT31" s="310"/>
      <c r="BU31" s="310"/>
      <c r="BV31" s="310"/>
      <c r="BW31" s="310"/>
      <c r="BX31" s="310"/>
      <c r="BY31" s="310"/>
      <c r="BZ31" s="310"/>
      <c r="CA31" s="310"/>
      <c r="CB31" s="310"/>
      <c r="CC31" s="310"/>
      <c r="CD31" s="310"/>
      <c r="CE31" s="310"/>
      <c r="CF31" s="310"/>
      <c r="CG31" s="310"/>
      <c r="CH31" s="310"/>
      <c r="CI31" s="310"/>
    </row>
    <row r="32" spans="1:87" s="286" customFormat="1">
      <c r="A32" s="283">
        <v>27</v>
      </c>
      <c r="B32" s="288" t="s">
        <v>138</v>
      </c>
      <c r="C32" s="289" t="s">
        <v>173</v>
      </c>
      <c r="D32" s="290">
        <v>45947</v>
      </c>
      <c r="E32" s="291" t="s">
        <v>163</v>
      </c>
      <c r="F32" s="292">
        <v>504761.9</v>
      </c>
      <c r="G32" s="92">
        <f>F32*30%</f>
        <v>151428.57</v>
      </c>
      <c r="H32" s="107">
        <f>F32*70%</f>
        <v>353333.33</v>
      </c>
      <c r="I32" s="316">
        <v>504761.9</v>
      </c>
      <c r="J32" s="285"/>
      <c r="K32" s="92"/>
      <c r="L32" s="112">
        <f t="shared" si="0"/>
        <v>504761.9</v>
      </c>
      <c r="M32" s="108">
        <f>F32*30%</f>
        <v>151428.57</v>
      </c>
      <c r="N32" s="92">
        <f>H32/36</f>
        <v>9814.8147222222233</v>
      </c>
      <c r="O32" s="92">
        <v>23745.519489247316</v>
      </c>
      <c r="P32" s="92">
        <f t="shared" si="1"/>
        <v>9814.8147222222233</v>
      </c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6">
        <f>SUM(P32:AA32)</f>
        <v>9814.8147222222233</v>
      </c>
      <c r="AC32" s="96"/>
      <c r="AD32" s="97">
        <f>O32+AB32-AC32</f>
        <v>33560.334211469541</v>
      </c>
      <c r="AE32" s="97">
        <f>L32-AD32</f>
        <v>471201.56578853051</v>
      </c>
      <c r="AF32" s="312">
        <f t="shared" si="2"/>
        <v>319772.9957885305</v>
      </c>
      <c r="AG32" s="310"/>
      <c r="AH32" s="310"/>
      <c r="AI32" s="310"/>
      <c r="AJ32" s="310"/>
      <c r="AK32" s="310"/>
      <c r="AL32" s="310"/>
      <c r="AM32" s="310"/>
      <c r="AN32" s="310"/>
      <c r="AO32" s="310"/>
      <c r="AP32" s="310"/>
      <c r="AQ32" s="310"/>
      <c r="AR32" s="310"/>
      <c r="AS32" s="310"/>
      <c r="AT32" s="310"/>
      <c r="AU32" s="310"/>
      <c r="AV32" s="310"/>
      <c r="AW32" s="310"/>
      <c r="AX32" s="310"/>
      <c r="AY32" s="310"/>
      <c r="AZ32" s="310"/>
      <c r="BA32" s="310"/>
      <c r="BB32" s="310"/>
      <c r="BC32" s="310"/>
      <c r="BD32" s="310"/>
      <c r="BE32" s="310"/>
      <c r="BF32" s="310"/>
      <c r="BG32" s="310"/>
      <c r="BH32" s="310"/>
      <c r="BI32" s="310"/>
      <c r="BJ32" s="310"/>
      <c r="BK32" s="310"/>
      <c r="BL32" s="310"/>
      <c r="BM32" s="310"/>
      <c r="BN32" s="310"/>
      <c r="BO32" s="310"/>
      <c r="BP32" s="310"/>
      <c r="BQ32" s="310"/>
      <c r="BR32" s="310"/>
      <c r="BS32" s="310"/>
      <c r="BT32" s="310"/>
      <c r="BU32" s="310"/>
      <c r="BV32" s="310"/>
      <c r="BW32" s="310"/>
      <c r="BX32" s="310"/>
      <c r="BY32" s="310"/>
      <c r="BZ32" s="310"/>
      <c r="CA32" s="310"/>
      <c r="CB32" s="310"/>
      <c r="CC32" s="310"/>
      <c r="CD32" s="310"/>
      <c r="CE32" s="310"/>
      <c r="CF32" s="310"/>
      <c r="CG32" s="310"/>
      <c r="CH32" s="310"/>
      <c r="CI32" s="310"/>
    </row>
    <row r="33" spans="1:87" s="286" customFormat="1">
      <c r="A33" s="283">
        <v>28</v>
      </c>
      <c r="B33" s="288" t="s">
        <v>174</v>
      </c>
      <c r="C33" s="289" t="s">
        <v>175</v>
      </c>
      <c r="D33" s="290">
        <v>45965</v>
      </c>
      <c r="E33" s="291"/>
      <c r="F33" s="292">
        <v>537142.86</v>
      </c>
      <c r="G33" s="92">
        <f>F33*30%</f>
        <v>161142.85799999998</v>
      </c>
      <c r="H33" s="107">
        <f>F33*70%</f>
        <v>376000.00199999998</v>
      </c>
      <c r="I33" s="316">
        <v>537142.86</v>
      </c>
      <c r="J33" s="285"/>
      <c r="K33" s="92"/>
      <c r="L33" s="112">
        <f t="shared" si="0"/>
        <v>537142.86</v>
      </c>
      <c r="M33" s="108">
        <f>F33*30%</f>
        <v>161142.85799999998</v>
      </c>
      <c r="N33" s="92">
        <f>H33/36</f>
        <v>10444.4445</v>
      </c>
      <c r="O33" s="92">
        <v>19496.296399999999</v>
      </c>
      <c r="P33" s="92">
        <f t="shared" si="1"/>
        <v>10444.4445</v>
      </c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6">
        <f>SUM(P33:AA33)</f>
        <v>10444.4445</v>
      </c>
      <c r="AC33" s="96"/>
      <c r="AD33" s="97">
        <f>O33+AB33-AC33</f>
        <v>29940.740899999997</v>
      </c>
      <c r="AE33" s="97">
        <f>L33-AD33</f>
        <v>507202.11910000001</v>
      </c>
      <c r="AF33" s="312">
        <f t="shared" si="2"/>
        <v>346059.2611</v>
      </c>
      <c r="AG33" s="310"/>
      <c r="AH33" s="310"/>
      <c r="AI33" s="310"/>
      <c r="AJ33" s="310"/>
      <c r="AK33" s="310"/>
      <c r="AL33" s="310"/>
      <c r="AM33" s="310"/>
      <c r="AN33" s="310"/>
      <c r="AO33" s="310"/>
      <c r="AP33" s="310"/>
      <c r="AQ33" s="310"/>
      <c r="AR33" s="310"/>
      <c r="AS33" s="310"/>
      <c r="AT33" s="310"/>
      <c r="AU33" s="310"/>
      <c r="AV33" s="310"/>
      <c r="AW33" s="310"/>
      <c r="AX33" s="310"/>
      <c r="AY33" s="310"/>
      <c r="AZ33" s="310"/>
      <c r="BA33" s="310"/>
      <c r="BB33" s="310"/>
      <c r="BC33" s="310"/>
      <c r="BD33" s="310"/>
      <c r="BE33" s="310"/>
      <c r="BF33" s="310"/>
      <c r="BG33" s="310"/>
      <c r="BH33" s="310"/>
      <c r="BI33" s="310"/>
      <c r="BJ33" s="310"/>
      <c r="BK33" s="310"/>
      <c r="BL33" s="310"/>
      <c r="BM33" s="310"/>
      <c r="BN33" s="310"/>
      <c r="BO33" s="310"/>
      <c r="BP33" s="310"/>
      <c r="BQ33" s="310"/>
      <c r="BR33" s="310"/>
      <c r="BS33" s="310"/>
      <c r="BT33" s="310"/>
      <c r="BU33" s="310"/>
      <c r="BV33" s="310"/>
      <c r="BW33" s="310"/>
      <c r="BX33" s="310"/>
      <c r="BY33" s="310"/>
      <c r="BZ33" s="310"/>
      <c r="CA33" s="310"/>
      <c r="CB33" s="310"/>
      <c r="CC33" s="310"/>
      <c r="CD33" s="310"/>
      <c r="CE33" s="310"/>
      <c r="CF33" s="310"/>
      <c r="CG33" s="310"/>
      <c r="CH33" s="310"/>
      <c r="CI33" s="310"/>
    </row>
    <row r="34" spans="1:87" s="286" customFormat="1">
      <c r="A34" s="294">
        <v>29</v>
      </c>
      <c r="B34" s="288" t="s">
        <v>176</v>
      </c>
      <c r="C34" s="289" t="s">
        <v>177</v>
      </c>
      <c r="D34" s="290">
        <v>45994</v>
      </c>
      <c r="E34" s="291"/>
      <c r="F34" s="292">
        <v>352380.95</v>
      </c>
      <c r="G34" s="92">
        <f>F34*30%</f>
        <v>105714.285</v>
      </c>
      <c r="H34" s="107">
        <f>F34*70%</f>
        <v>246666.66499999998</v>
      </c>
      <c r="I34" s="316">
        <v>352380.95</v>
      </c>
      <c r="J34" s="285"/>
      <c r="K34" s="92"/>
      <c r="L34" s="112">
        <f t="shared" si="0"/>
        <v>352380.95</v>
      </c>
      <c r="M34" s="108">
        <f t="shared" ref="M34:M35" si="3">F34*30%</f>
        <v>105714.285</v>
      </c>
      <c r="N34" s="92">
        <f>H34/36</f>
        <v>6851.8518055555551</v>
      </c>
      <c r="O34" s="92">
        <v>6188.7693727598562</v>
      </c>
      <c r="P34" s="92">
        <f t="shared" si="1"/>
        <v>6851.8518055555551</v>
      </c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6">
        <f>SUM(P34:AA34)</f>
        <v>6851.8518055555551</v>
      </c>
      <c r="AC34" s="96"/>
      <c r="AD34" s="97">
        <f>O34+AB34-AC34</f>
        <v>13040.62117831541</v>
      </c>
      <c r="AE34" s="97">
        <f>L34-AD34</f>
        <v>339340.32882168458</v>
      </c>
      <c r="AF34" s="312">
        <f t="shared" si="2"/>
        <v>233626.04382168458</v>
      </c>
      <c r="AG34" s="310"/>
      <c r="AH34" s="310"/>
      <c r="AI34" s="310"/>
      <c r="AJ34" s="310"/>
      <c r="AK34" s="310"/>
      <c r="AL34" s="310"/>
      <c r="AM34" s="310"/>
      <c r="AN34" s="310"/>
      <c r="AO34" s="310"/>
      <c r="AP34" s="310"/>
      <c r="AQ34" s="310"/>
      <c r="AR34" s="310"/>
      <c r="AS34" s="310"/>
      <c r="AT34" s="310"/>
      <c r="AU34" s="310"/>
      <c r="AV34" s="310"/>
      <c r="AW34" s="310"/>
      <c r="AX34" s="310"/>
      <c r="AY34" s="310"/>
      <c r="AZ34" s="310"/>
      <c r="BA34" s="310"/>
      <c r="BB34" s="310"/>
      <c r="BC34" s="310"/>
      <c r="BD34" s="310"/>
      <c r="BE34" s="310"/>
      <c r="BF34" s="310"/>
      <c r="BG34" s="310"/>
      <c r="BH34" s="310"/>
      <c r="BI34" s="310"/>
      <c r="BJ34" s="310"/>
      <c r="BK34" s="310"/>
      <c r="BL34" s="310"/>
      <c r="BM34" s="310"/>
      <c r="BN34" s="310"/>
      <c r="BO34" s="310"/>
      <c r="BP34" s="310"/>
      <c r="BQ34" s="310"/>
      <c r="BR34" s="310"/>
      <c r="BS34" s="310"/>
      <c r="BT34" s="310"/>
      <c r="BU34" s="310"/>
      <c r="BV34" s="310"/>
      <c r="BW34" s="310"/>
      <c r="BX34" s="310"/>
      <c r="BY34" s="310"/>
      <c r="BZ34" s="310"/>
      <c r="CA34" s="310"/>
      <c r="CB34" s="310"/>
      <c r="CC34" s="310"/>
      <c r="CD34" s="310"/>
      <c r="CE34" s="310"/>
      <c r="CF34" s="310"/>
      <c r="CG34" s="310"/>
      <c r="CH34" s="310"/>
      <c r="CI34" s="310"/>
    </row>
    <row r="35" spans="1:87">
      <c r="A35" s="294">
        <v>30</v>
      </c>
      <c r="B35" s="288" t="s">
        <v>178</v>
      </c>
      <c r="C35" s="289" t="s">
        <v>179</v>
      </c>
      <c r="D35" s="290">
        <v>45996</v>
      </c>
      <c r="E35" s="291"/>
      <c r="F35" s="292">
        <v>504761.9</v>
      </c>
      <c r="G35" s="92">
        <f>F35*30%</f>
        <v>151428.57</v>
      </c>
      <c r="H35" s="107">
        <f>F35*70%</f>
        <v>353333.33</v>
      </c>
      <c r="I35" s="316">
        <v>504761.9</v>
      </c>
      <c r="J35" s="285"/>
      <c r="K35" s="92"/>
      <c r="L35" s="112">
        <f t="shared" si="0"/>
        <v>504761.9</v>
      </c>
      <c r="M35" s="108">
        <f t="shared" si="3"/>
        <v>151428.57</v>
      </c>
      <c r="N35" s="92">
        <f>H35/36</f>
        <v>9814.8147222222233</v>
      </c>
      <c r="O35" s="92">
        <v>8231.7800896057361</v>
      </c>
      <c r="P35" s="92">
        <f t="shared" si="1"/>
        <v>9814.8147222222233</v>
      </c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6">
        <f>SUM(P35:AA35)</f>
        <v>9814.8147222222233</v>
      </c>
      <c r="AC35" s="96"/>
      <c r="AD35" s="97">
        <f>O35+AB35-AC35</f>
        <v>18046.594811827959</v>
      </c>
      <c r="AE35" s="97">
        <f>L35-AD35</f>
        <v>486715.30518817209</v>
      </c>
      <c r="AF35" s="312">
        <f t="shared" si="2"/>
        <v>335286.73518817208</v>
      </c>
    </row>
    <row r="36" spans="1:87">
      <c r="A36" s="76"/>
      <c r="B36" s="68"/>
      <c r="C36" s="68"/>
      <c r="D36" s="72"/>
      <c r="E36" s="83"/>
      <c r="F36" s="79"/>
      <c r="G36" s="79"/>
      <c r="H36" s="116"/>
      <c r="I36" s="109"/>
      <c r="J36" s="79"/>
      <c r="K36" s="79"/>
      <c r="L36" s="110"/>
      <c r="M36" s="120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80"/>
      <c r="AC36" s="80"/>
      <c r="AD36" s="81"/>
      <c r="AE36" s="80"/>
      <c r="AF36" s="312"/>
    </row>
    <row r="37" spans="1:87">
      <c r="A37" s="76"/>
      <c r="B37" s="68"/>
      <c r="C37" s="68"/>
      <c r="D37" s="72"/>
      <c r="E37" s="83"/>
      <c r="F37" s="79"/>
      <c r="G37" s="79"/>
      <c r="H37" s="116"/>
      <c r="I37" s="109"/>
      <c r="J37" s="79"/>
      <c r="K37" s="79"/>
      <c r="L37" s="110"/>
      <c r="M37" s="120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80"/>
      <c r="AC37" s="80"/>
      <c r="AD37" s="81"/>
      <c r="AE37" s="80"/>
      <c r="AF37" s="312"/>
    </row>
    <row r="38" spans="1:87" ht="15">
      <c r="A38" s="76"/>
      <c r="B38" s="68"/>
      <c r="C38" s="68"/>
      <c r="D38" s="72"/>
      <c r="E38" s="83"/>
      <c r="F38" s="79">
        <v>480124.47</v>
      </c>
      <c r="G38" s="278">
        <f>F38*30%</f>
        <v>144037.34099999999</v>
      </c>
      <c r="H38" s="279">
        <f>F38*70%</f>
        <v>336087.12899999996</v>
      </c>
      <c r="I38" s="109"/>
      <c r="J38" s="79"/>
      <c r="K38" s="79"/>
      <c r="L38" s="110"/>
      <c r="M38" s="120">
        <f>G38</f>
        <v>144037.34099999999</v>
      </c>
      <c r="N38" s="79">
        <f>H38/36</f>
        <v>9335.7535833333313</v>
      </c>
      <c r="O38" s="79"/>
      <c r="P38" s="79"/>
      <c r="Q38" s="79">
        <f>N38-Q28</f>
        <v>9335.7535833333313</v>
      </c>
      <c r="R38" s="79">
        <f>R35-R28</f>
        <v>0</v>
      </c>
      <c r="S38" s="79">
        <f>N38-S28</f>
        <v>9335.7535833333313</v>
      </c>
      <c r="T38" s="79">
        <f>N38</f>
        <v>9335.7535833333313</v>
      </c>
      <c r="U38" s="79"/>
      <c r="V38" s="79"/>
      <c r="W38" s="79"/>
      <c r="X38" s="79"/>
      <c r="Y38" s="79"/>
      <c r="Z38" s="79"/>
      <c r="AA38" s="79"/>
      <c r="AB38" s="80"/>
      <c r="AC38" s="80"/>
      <c r="AD38" s="81"/>
      <c r="AE38" s="80"/>
      <c r="AF38" s="312"/>
      <c r="AG38" s="313"/>
    </row>
    <row r="39" spans="1:87">
      <c r="A39" s="76"/>
      <c r="B39" s="68"/>
      <c r="C39" s="68"/>
      <c r="D39" s="72"/>
      <c r="E39" s="83"/>
      <c r="F39" s="79">
        <v>576341.81000000006</v>
      </c>
      <c r="G39" s="278">
        <f>F39*30%</f>
        <v>172902.54300000001</v>
      </c>
      <c r="H39" s="279">
        <f>F39*70%</f>
        <v>403439.26699999999</v>
      </c>
      <c r="I39" s="109"/>
      <c r="J39" s="79"/>
      <c r="K39" s="79"/>
      <c r="L39" s="110"/>
      <c r="M39" s="120">
        <f>G39</f>
        <v>172902.54300000001</v>
      </c>
      <c r="N39" s="79">
        <f>H39/36</f>
        <v>11206.646305555556</v>
      </c>
      <c r="O39" s="79"/>
      <c r="P39" s="79"/>
      <c r="Q39" s="79">
        <f>N39-Q29</f>
        <v>11206.646305555556</v>
      </c>
      <c r="R39" s="79">
        <f>R36-R29</f>
        <v>0</v>
      </c>
      <c r="S39" s="79">
        <f>N39-S29</f>
        <v>11206.646305555556</v>
      </c>
      <c r="T39" s="79">
        <f>N39</f>
        <v>11206.646305555556</v>
      </c>
      <c r="U39" s="79"/>
      <c r="V39" s="79"/>
      <c r="W39" s="79"/>
      <c r="X39" s="79"/>
      <c r="Y39" s="79"/>
      <c r="Z39" s="79"/>
      <c r="AA39" s="68"/>
      <c r="AB39" s="80"/>
      <c r="AC39" s="80"/>
      <c r="AD39" s="81"/>
      <c r="AE39" s="80"/>
      <c r="AF39" s="312"/>
    </row>
    <row r="40" spans="1:87">
      <c r="A40" s="77"/>
      <c r="B40" s="68"/>
      <c r="C40" s="68"/>
      <c r="D40" s="68"/>
      <c r="E40" s="68"/>
      <c r="F40" s="79"/>
      <c r="G40" s="79"/>
      <c r="H40" s="116"/>
      <c r="I40" s="109"/>
      <c r="J40" s="79"/>
      <c r="K40" s="79"/>
      <c r="L40" s="110"/>
      <c r="M40" s="121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79"/>
      <c r="AA40" s="79"/>
      <c r="AB40" s="68"/>
      <c r="AC40" s="68"/>
      <c r="AD40" s="81">
        <f>O40+AB40-AC40</f>
        <v>0</v>
      </c>
      <c r="AE40" s="80">
        <f>L40-AD40</f>
        <v>0</v>
      </c>
      <c r="AF40" s="312"/>
    </row>
    <row r="41" spans="1:87">
      <c r="A41" s="75"/>
      <c r="B41" s="82" t="s">
        <v>180</v>
      </c>
      <c r="C41" s="68"/>
      <c r="D41" s="72"/>
      <c r="E41" s="72"/>
      <c r="F41" s="79"/>
      <c r="G41" s="79"/>
      <c r="H41" s="116"/>
      <c r="I41" s="109"/>
      <c r="J41" s="79"/>
      <c r="K41" s="79"/>
      <c r="L41" s="110"/>
      <c r="M41" s="120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80"/>
      <c r="AC41" s="80"/>
      <c r="AD41" s="81"/>
      <c r="AE41" s="80">
        <f>L41-AD41</f>
        <v>0</v>
      </c>
      <c r="AF41" s="312"/>
    </row>
    <row r="42" spans="1:87" s="287" customFormat="1">
      <c r="A42" s="99"/>
      <c r="B42" s="100"/>
      <c r="C42" s="100"/>
      <c r="D42" s="101"/>
      <c r="E42" s="101"/>
      <c r="F42" s="102"/>
      <c r="G42" s="102"/>
      <c r="H42" s="117"/>
      <c r="I42" s="113"/>
      <c r="J42" s="102"/>
      <c r="K42" s="102"/>
      <c r="L42" s="114"/>
      <c r="M42" s="12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3"/>
      <c r="AC42" s="103"/>
      <c r="AD42" s="104"/>
      <c r="AE42" s="105"/>
      <c r="AF42" s="312"/>
      <c r="AG42" s="310"/>
      <c r="AH42" s="310"/>
      <c r="AI42" s="310"/>
      <c r="AJ42" s="310"/>
      <c r="AK42" s="310"/>
      <c r="AL42" s="310"/>
      <c r="AM42" s="310"/>
      <c r="AN42" s="310"/>
      <c r="AO42" s="310"/>
      <c r="AP42" s="310"/>
      <c r="AQ42" s="310"/>
      <c r="AR42" s="310"/>
      <c r="AS42" s="310"/>
      <c r="AT42" s="310"/>
      <c r="AU42" s="310"/>
      <c r="AV42" s="310"/>
      <c r="AW42" s="310"/>
      <c r="AX42" s="310"/>
      <c r="AY42" s="310"/>
      <c r="AZ42" s="310"/>
      <c r="BA42" s="310"/>
      <c r="BB42" s="310"/>
      <c r="BC42" s="310"/>
      <c r="BD42" s="310"/>
      <c r="BE42" s="310"/>
      <c r="BF42" s="310"/>
      <c r="BG42" s="310"/>
      <c r="BH42" s="310"/>
      <c r="BI42" s="310"/>
      <c r="BJ42" s="310"/>
      <c r="BK42" s="310"/>
      <c r="BL42" s="310"/>
      <c r="BM42" s="310"/>
      <c r="BN42" s="310"/>
      <c r="BO42" s="310"/>
      <c r="BP42" s="310"/>
      <c r="BQ42" s="310"/>
      <c r="BR42" s="310"/>
      <c r="BS42" s="310"/>
      <c r="BT42" s="310"/>
      <c r="BU42" s="310"/>
      <c r="BV42" s="310"/>
      <c r="BW42" s="310"/>
      <c r="BX42" s="310"/>
      <c r="BY42" s="310"/>
      <c r="BZ42" s="310"/>
      <c r="CA42" s="310"/>
      <c r="CB42" s="310"/>
      <c r="CC42" s="310"/>
      <c r="CD42" s="310"/>
      <c r="CE42" s="310"/>
      <c r="CF42" s="310"/>
      <c r="CG42" s="310"/>
      <c r="CH42" s="310"/>
      <c r="CI42" s="310"/>
    </row>
    <row r="43" spans="1:87" s="287" customFormat="1">
      <c r="A43" s="99"/>
      <c r="B43" s="100"/>
      <c r="C43" s="100"/>
      <c r="D43" s="101"/>
      <c r="E43" s="101"/>
      <c r="F43" s="102"/>
      <c r="G43" s="102"/>
      <c r="H43" s="117"/>
      <c r="I43" s="113"/>
      <c r="J43" s="102"/>
      <c r="K43" s="102"/>
      <c r="L43" s="114"/>
      <c r="M43" s="12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3"/>
      <c r="AC43" s="103"/>
      <c r="AD43" s="104"/>
      <c r="AE43" s="105"/>
      <c r="AF43" s="312"/>
      <c r="AG43" s="310"/>
      <c r="AH43" s="310"/>
      <c r="AI43" s="310"/>
      <c r="AJ43" s="310"/>
      <c r="AK43" s="310"/>
      <c r="AL43" s="310"/>
      <c r="AM43" s="310"/>
      <c r="AN43" s="310"/>
      <c r="AO43" s="310"/>
      <c r="AP43" s="310"/>
      <c r="AQ43" s="310"/>
      <c r="AR43" s="310"/>
      <c r="AS43" s="310"/>
      <c r="AT43" s="310"/>
      <c r="AU43" s="310"/>
      <c r="AV43" s="310"/>
      <c r="AW43" s="310"/>
      <c r="AX43" s="310"/>
      <c r="AY43" s="310"/>
      <c r="AZ43" s="310"/>
      <c r="BA43" s="310"/>
      <c r="BB43" s="310"/>
      <c r="BC43" s="310"/>
      <c r="BD43" s="310"/>
      <c r="BE43" s="310"/>
      <c r="BF43" s="310"/>
      <c r="BG43" s="310"/>
      <c r="BH43" s="310"/>
      <c r="BI43" s="310"/>
      <c r="BJ43" s="310"/>
      <c r="BK43" s="310"/>
      <c r="BL43" s="310"/>
      <c r="BM43" s="310"/>
      <c r="BN43" s="310"/>
      <c r="BO43" s="310"/>
      <c r="BP43" s="310"/>
      <c r="BQ43" s="310"/>
      <c r="BR43" s="310"/>
      <c r="BS43" s="310"/>
      <c r="BT43" s="310"/>
      <c r="BU43" s="310"/>
      <c r="BV43" s="310"/>
      <c r="BW43" s="310"/>
      <c r="BX43" s="310"/>
      <c r="BY43" s="310"/>
      <c r="BZ43" s="310"/>
      <c r="CA43" s="310"/>
      <c r="CB43" s="310"/>
      <c r="CC43" s="310"/>
      <c r="CD43" s="310"/>
      <c r="CE43" s="310"/>
      <c r="CF43" s="310"/>
      <c r="CG43" s="310"/>
      <c r="CH43" s="310"/>
      <c r="CI43" s="310"/>
    </row>
    <row r="44" spans="1:87">
      <c r="A44" s="78"/>
      <c r="B44" s="68"/>
      <c r="C44" s="68"/>
      <c r="D44" s="72"/>
      <c r="E44" s="72"/>
      <c r="F44" s="79"/>
      <c r="G44" s="79"/>
      <c r="H44" s="116"/>
      <c r="I44" s="109"/>
      <c r="J44" s="79"/>
      <c r="K44" s="79"/>
      <c r="L44" s="110"/>
      <c r="M44" s="120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80"/>
      <c r="AC44" s="80"/>
      <c r="AD44" s="81">
        <f>O44+AB44-AC44</f>
        <v>0</v>
      </c>
      <c r="AE44" s="80"/>
      <c r="AF44" s="314"/>
    </row>
    <row r="45" spans="1:87">
      <c r="A45" s="78"/>
      <c r="B45" s="68"/>
      <c r="C45" s="68"/>
      <c r="D45" s="68"/>
      <c r="E45" s="68"/>
      <c r="F45" s="84"/>
      <c r="G45" s="84"/>
      <c r="H45" s="118"/>
      <c r="I45" s="115">
        <f>SUM(I6:I44)</f>
        <v>15535612.18</v>
      </c>
      <c r="J45" s="115">
        <f t="shared" ref="J45:L45" si="4">SUM(J6:J44)</f>
        <v>0</v>
      </c>
      <c r="K45" s="115">
        <f t="shared" si="4"/>
        <v>0</v>
      </c>
      <c r="L45" s="115">
        <f t="shared" si="4"/>
        <v>15535612.18</v>
      </c>
      <c r="M45" s="123">
        <f>SUM(M6:M44)</f>
        <v>4977623.7960000001</v>
      </c>
      <c r="N45" s="84">
        <f>SUM(N6:N44)</f>
        <v>325734.53049999999</v>
      </c>
      <c r="O45" s="84">
        <f>SUM(O6:O44)</f>
        <v>5735569.8529358432</v>
      </c>
      <c r="P45" s="84">
        <f>SUM(P6:P44)</f>
        <v>294840.27880555554</v>
      </c>
      <c r="Q45" s="84">
        <f>SUM(Q6:Q44)</f>
        <v>20542.399888888889</v>
      </c>
      <c r="R45" s="84">
        <f>SUM(R6:R44)</f>
        <v>0</v>
      </c>
      <c r="S45" s="84">
        <f>SUM(S6:S44)</f>
        <v>20542.399888888889</v>
      </c>
      <c r="T45" s="84">
        <f>SUM(T6:T32)</f>
        <v>0</v>
      </c>
      <c r="U45" s="84">
        <f>SUM(U6:U44)</f>
        <v>0</v>
      </c>
      <c r="V45" s="84">
        <f>SUM(V6:V44)</f>
        <v>0</v>
      </c>
      <c r="W45" s="84">
        <f>SUM(W6:W44)</f>
        <v>0</v>
      </c>
      <c r="X45" s="84">
        <f>SUM(X6:X44)</f>
        <v>0</v>
      </c>
      <c r="Y45" s="84">
        <f>SUM(Y6:Y44)</f>
        <v>0</v>
      </c>
      <c r="Z45" s="84">
        <f>SUM(Z6:Z44)</f>
        <v>0</v>
      </c>
      <c r="AA45" s="84">
        <f>SUM(AA6:AA44)</f>
        <v>0</v>
      </c>
      <c r="AB45" s="84">
        <f>SUM(AB6:AB44)</f>
        <v>294840.27880555554</v>
      </c>
      <c r="AC45" s="84">
        <f>SUM(AC6:AC44)</f>
        <v>0</v>
      </c>
      <c r="AD45" s="84">
        <f>SUM(AD6:AD44)</f>
        <v>6030410.1317413971</v>
      </c>
      <c r="AE45" s="84">
        <f>SUM(AE6:AE44)</f>
        <v>9505202.0482586026</v>
      </c>
    </row>
    <row r="46" spans="1:87"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87">
      <c r="I47" s="1"/>
      <c r="L47" s="10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E47" s="10"/>
    </row>
    <row r="48" spans="1:87">
      <c r="I48" s="10"/>
      <c r="O48" s="10"/>
      <c r="AB48" s="11"/>
      <c r="AD48" s="2"/>
    </row>
    <row r="49" spans="6:31">
      <c r="F49" s="10"/>
      <c r="G49" s="10"/>
      <c r="H49" s="10"/>
      <c r="I49" s="10"/>
      <c r="L49" s="10"/>
      <c r="AB49" s="11"/>
      <c r="AE49" s="2"/>
    </row>
    <row r="50" spans="6:31">
      <c r="L50" s="2">
        <v>15826091.43</v>
      </c>
      <c r="P50" s="10"/>
      <c r="Q50" s="10"/>
      <c r="R50" s="10"/>
      <c r="S50" s="10"/>
      <c r="T50" s="10"/>
      <c r="AE50" s="11"/>
    </row>
    <row r="51" spans="6:31">
      <c r="L51" s="2">
        <f>+L45-L50</f>
        <v>-290479.25</v>
      </c>
    </row>
    <row r="52" spans="6:31" ht="25.5">
      <c r="AB52" s="280" t="s">
        <v>181</v>
      </c>
      <c r="AD52" s="1">
        <v>5735569.8099999996</v>
      </c>
      <c r="AE52" s="11">
        <f>+L50-AD52</f>
        <v>10090521.620000001</v>
      </c>
    </row>
    <row r="53" spans="6:31">
      <c r="AB53" s="10"/>
      <c r="AD53" s="10">
        <f>+AD45-AD52</f>
        <v>294840.32174139749</v>
      </c>
      <c r="AE53" s="10">
        <f>+AE45-AE52</f>
        <v>-585319.57174139842</v>
      </c>
    </row>
    <row r="54" spans="6:31"/>
    <row r="55" spans="6:31"/>
    <row r="56" spans="6:31"/>
    <row r="57" spans="6:31"/>
    <row r="58" spans="6:31"/>
  </sheetData>
  <autoFilter ref="A2:AE45" xr:uid="{4E88A64B-C437-4F61-9740-C1724D2A3A68}"/>
  <mergeCells count="2">
    <mergeCell ref="I1:L1"/>
    <mergeCell ref="P1:AB1"/>
  </mergeCells>
  <conditionalFormatting sqref="C6">
    <cfRule type="duplicateValues" dxfId="38" priority="186"/>
  </conditionalFormatting>
  <conditionalFormatting sqref="C11">
    <cfRule type="duplicateValues" dxfId="37" priority="167"/>
  </conditionalFormatting>
  <conditionalFormatting sqref="C12:C18">
    <cfRule type="duplicateValues" dxfId="36" priority="9"/>
  </conditionalFormatting>
  <conditionalFormatting sqref="C19">
    <cfRule type="duplicateValues" dxfId="35" priority="7"/>
  </conditionalFormatting>
  <conditionalFormatting sqref="C20:C21">
    <cfRule type="duplicateValues" dxfId="34" priority="5"/>
  </conditionalFormatting>
  <conditionalFormatting sqref="C22:C39">
    <cfRule type="duplicateValues" dxfId="33" priority="179"/>
  </conditionalFormatting>
  <conditionalFormatting sqref="C44 C41 C3:C5">
    <cfRule type="duplicateValues" dxfId="32" priority="168"/>
  </conditionalFormatting>
  <conditionalFormatting sqref="C44 C7:C10">
    <cfRule type="duplicateValues" dxfId="31" priority="172"/>
  </conditionalFormatting>
  <conditionalFormatting sqref="C46">
    <cfRule type="duplicateValues" dxfId="30" priority="175"/>
  </conditionalFormatting>
  <conditionalFormatting sqref="C47">
    <cfRule type="duplicateValues" dxfId="29" priority="176"/>
  </conditionalFormatting>
  <conditionalFormatting sqref="AG38">
    <cfRule type="duplicateValues" dxfId="28" priority="3"/>
  </conditionalFormatting>
  <pageMargins left="0.70866141732283472" right="0.70866141732283472" top="0.74803149606299213" bottom="0.74803149606299213" header="0.31496062992125984" footer="0.31496062992125984"/>
  <pageSetup paperSize="9" scale="12" fitToHeight="0" orientation="portrait" r:id="rId1"/>
  <colBreaks count="1" manualBreakCount="1">
    <brk id="18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60E9-27F0-4A85-AFF3-63E04D0D6AB2}">
  <dimension ref="K2:K31"/>
  <sheetViews>
    <sheetView workbookViewId="0">
      <selection activeCell="K2" sqref="K2"/>
    </sheetView>
  </sheetViews>
  <sheetFormatPr defaultRowHeight="15"/>
  <sheetData>
    <row r="2" spans="11:11">
      <c r="K2" s="93" t="s">
        <v>131</v>
      </c>
    </row>
    <row r="3" spans="11:11">
      <c r="K3" s="93" t="s">
        <v>160</v>
      </c>
    </row>
    <row r="4" spans="11:11">
      <c r="K4" s="93" t="s">
        <v>154</v>
      </c>
    </row>
    <row r="5" spans="11:11">
      <c r="K5" s="93" t="s">
        <v>165</v>
      </c>
    </row>
    <row r="6" spans="11:11">
      <c r="K6" s="93" t="s">
        <v>144</v>
      </c>
    </row>
    <row r="7" spans="11:11">
      <c r="K7" s="93" t="s">
        <v>162</v>
      </c>
    </row>
    <row r="8" spans="11:11">
      <c r="K8" s="93" t="s">
        <v>133</v>
      </c>
    </row>
    <row r="9" spans="11:11">
      <c r="K9" s="93" t="s">
        <v>135</v>
      </c>
    </row>
    <row r="10" spans="11:11">
      <c r="K10" s="93" t="s">
        <v>147</v>
      </c>
    </row>
    <row r="11" spans="11:11">
      <c r="K11" s="93" t="s">
        <v>137</v>
      </c>
    </row>
    <row r="12" spans="11:11">
      <c r="K12" s="93" t="s">
        <v>149</v>
      </c>
    </row>
    <row r="13" spans="11:11">
      <c r="K13" s="93" t="s">
        <v>143</v>
      </c>
    </row>
    <row r="14" spans="11:11">
      <c r="K14" s="93" t="s">
        <v>141</v>
      </c>
    </row>
    <row r="15" spans="11:11">
      <c r="K15" s="93" t="s">
        <v>142</v>
      </c>
    </row>
    <row r="16" spans="11:11">
      <c r="K16" s="93" t="s">
        <v>155</v>
      </c>
    </row>
    <row r="17" spans="11:11">
      <c r="K17" s="93" t="s">
        <v>152</v>
      </c>
    </row>
    <row r="18" spans="11:11">
      <c r="K18" s="93" t="s">
        <v>182</v>
      </c>
    </row>
    <row r="19" spans="11:11">
      <c r="K19" s="93" t="s">
        <v>158</v>
      </c>
    </row>
    <row r="20" spans="11:11">
      <c r="K20" s="93" t="s">
        <v>157</v>
      </c>
    </row>
    <row r="21" spans="11:11">
      <c r="K21" s="93" t="s">
        <v>179</v>
      </c>
    </row>
    <row r="22" spans="11:11">
      <c r="K22" s="93" t="s">
        <v>150</v>
      </c>
    </row>
    <row r="23" spans="11:11">
      <c r="K23" s="93" t="s">
        <v>173</v>
      </c>
    </row>
    <row r="24" spans="11:11">
      <c r="K24" s="93" t="s">
        <v>139</v>
      </c>
    </row>
    <row r="25" spans="11:11">
      <c r="K25" s="93" t="s">
        <v>146</v>
      </c>
    </row>
    <row r="26" spans="11:11">
      <c r="K26" s="289" t="s">
        <v>170</v>
      </c>
    </row>
    <row r="27" spans="11:11">
      <c r="K27" s="289" t="s">
        <v>167</v>
      </c>
    </row>
    <row r="28" spans="11:11">
      <c r="K28" s="289" t="s">
        <v>168</v>
      </c>
    </row>
    <row r="29" spans="11:11">
      <c r="K29" s="289" t="s">
        <v>175</v>
      </c>
    </row>
    <row r="30" spans="11:11">
      <c r="K30" s="289" t="s">
        <v>177</v>
      </c>
    </row>
    <row r="31" spans="11:11">
      <c r="K31" s="289" t="s">
        <v>172</v>
      </c>
    </row>
  </sheetData>
  <sortState xmlns:xlrd2="http://schemas.microsoft.com/office/spreadsheetml/2017/richdata2" ref="K2:K31">
    <sortCondition ref="K2:K31"/>
  </sortState>
  <conditionalFormatting sqref="K2">
    <cfRule type="duplicateValues" dxfId="27" priority="7"/>
  </conditionalFormatting>
  <conditionalFormatting sqref="K7">
    <cfRule type="duplicateValues" dxfId="26" priority="4"/>
  </conditionalFormatting>
  <conditionalFormatting sqref="K8:K14">
    <cfRule type="duplicateValues" dxfId="25" priority="3"/>
  </conditionalFormatting>
  <conditionalFormatting sqref="K15">
    <cfRule type="duplicateValues" dxfId="24" priority="2"/>
  </conditionalFormatting>
  <conditionalFormatting sqref="K16:K17">
    <cfRule type="duplicateValues" dxfId="23" priority="1"/>
  </conditionalFormatting>
  <conditionalFormatting sqref="K18:K31">
    <cfRule type="duplicateValues" dxfId="22" priority="6"/>
  </conditionalFormatting>
  <conditionalFormatting sqref="K3:K6">
    <cfRule type="duplicateValues" dxfId="21" priority="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4740-A148-450F-BF9F-7D1A72AFDA43}">
  <dimension ref="A1:C27"/>
  <sheetViews>
    <sheetView workbookViewId="0"/>
  </sheetViews>
  <sheetFormatPr defaultRowHeight="15"/>
  <cols>
    <col min="1" max="1" width="10.42578125" bestFit="1" customWidth="1"/>
    <col min="2" max="3" width="11.85546875" bestFit="1" customWidth="1"/>
  </cols>
  <sheetData>
    <row r="1" spans="1:3">
      <c r="A1" s="92">
        <v>561102.32999999996</v>
      </c>
      <c r="B1" s="293">
        <f t="shared" ref="B1:B26" si="0">A1*20%</f>
        <v>112220.466</v>
      </c>
      <c r="C1" s="293">
        <f t="shared" ref="C1:C26" si="1">B1/12</f>
        <v>9351.7055</v>
      </c>
    </row>
    <row r="2" spans="1:3">
      <c r="A2" s="92">
        <v>561052.4</v>
      </c>
      <c r="B2" s="293">
        <f t="shared" si="0"/>
        <v>112210.48000000001</v>
      </c>
      <c r="C2" s="293">
        <f t="shared" si="1"/>
        <v>9350.8733333333348</v>
      </c>
    </row>
    <row r="3" spans="1:3">
      <c r="A3" s="92">
        <v>542957.19999999995</v>
      </c>
      <c r="B3" s="293">
        <f t="shared" si="0"/>
        <v>108591.44</v>
      </c>
      <c r="C3" s="293">
        <f t="shared" si="1"/>
        <v>9049.2866666666669</v>
      </c>
    </row>
    <row r="4" spans="1:3">
      <c r="A4" s="92">
        <v>352380.95</v>
      </c>
      <c r="B4" s="293">
        <f t="shared" si="0"/>
        <v>70476.19</v>
      </c>
      <c r="C4" s="293">
        <f t="shared" si="1"/>
        <v>5873.0158333333338</v>
      </c>
    </row>
    <row r="5" spans="1:3">
      <c r="A5" s="95">
        <v>1300229.18</v>
      </c>
      <c r="B5" s="293">
        <f t="shared" si="0"/>
        <v>260045.83600000001</v>
      </c>
      <c r="C5" s="293">
        <f t="shared" si="1"/>
        <v>21670.486333333334</v>
      </c>
    </row>
    <row r="6" spans="1:3">
      <c r="A6" s="92">
        <v>449797</v>
      </c>
      <c r="B6" s="293">
        <f t="shared" si="0"/>
        <v>89959.400000000009</v>
      </c>
      <c r="C6" s="293">
        <f t="shared" si="1"/>
        <v>7496.6166666666677</v>
      </c>
    </row>
    <row r="7" spans="1:3">
      <c r="A7" s="92">
        <v>433333</v>
      </c>
      <c r="B7" s="293">
        <f t="shared" si="0"/>
        <v>86666.6</v>
      </c>
      <c r="C7" s="293">
        <f t="shared" si="1"/>
        <v>7222.2166666666672</v>
      </c>
    </row>
    <row r="8" spans="1:3">
      <c r="A8" s="92">
        <v>428571</v>
      </c>
      <c r="B8" s="293">
        <f t="shared" si="0"/>
        <v>85714.200000000012</v>
      </c>
      <c r="C8" s="293">
        <f t="shared" si="1"/>
        <v>7142.8500000000013</v>
      </c>
    </row>
    <row r="9" spans="1:3">
      <c r="A9" s="92">
        <v>627719</v>
      </c>
      <c r="B9" s="293">
        <f t="shared" si="0"/>
        <v>125543.8</v>
      </c>
      <c r="C9" s="293">
        <f t="shared" si="1"/>
        <v>10461.983333333334</v>
      </c>
    </row>
    <row r="10" spans="1:3">
      <c r="A10" s="92">
        <v>627719</v>
      </c>
      <c r="B10" s="293">
        <f t="shared" si="0"/>
        <v>125543.8</v>
      </c>
      <c r="C10" s="293">
        <f t="shared" si="1"/>
        <v>10461.983333333334</v>
      </c>
    </row>
    <row r="11" spans="1:3">
      <c r="A11" s="92">
        <v>385714.29</v>
      </c>
      <c r="B11" s="293">
        <f t="shared" si="0"/>
        <v>77142.857999999993</v>
      </c>
      <c r="C11" s="293">
        <f t="shared" si="1"/>
        <v>6428.5714999999991</v>
      </c>
    </row>
    <row r="12" spans="1:3">
      <c r="A12" s="92">
        <v>390476.19</v>
      </c>
      <c r="B12" s="293">
        <f t="shared" si="0"/>
        <v>78095.237999999998</v>
      </c>
      <c r="C12" s="293">
        <f t="shared" si="1"/>
        <v>6507.9364999999998</v>
      </c>
    </row>
    <row r="13" spans="1:3">
      <c r="A13" s="92">
        <v>657142.86</v>
      </c>
      <c r="B13" s="293">
        <f t="shared" si="0"/>
        <v>131428.57200000001</v>
      </c>
      <c r="C13" s="293">
        <f t="shared" si="1"/>
        <v>10952.381000000001</v>
      </c>
    </row>
    <row r="14" spans="1:3">
      <c r="A14" s="92">
        <v>342857.14</v>
      </c>
      <c r="B14" s="293">
        <f t="shared" si="0"/>
        <v>68571.428</v>
      </c>
      <c r="C14" s="293">
        <f t="shared" si="1"/>
        <v>5714.2856666666667</v>
      </c>
    </row>
    <row r="15" spans="1:3">
      <c r="A15" s="92">
        <v>342857.14</v>
      </c>
      <c r="B15" s="293">
        <f t="shared" si="0"/>
        <v>68571.428</v>
      </c>
      <c r="C15" s="293">
        <f t="shared" si="1"/>
        <v>5714.2856666666667</v>
      </c>
    </row>
    <row r="16" spans="1:3">
      <c r="A16" s="92">
        <v>448571.43</v>
      </c>
      <c r="B16" s="293">
        <f t="shared" si="0"/>
        <v>89714.286000000007</v>
      </c>
      <c r="C16" s="293">
        <f t="shared" si="1"/>
        <v>7476.1905000000006</v>
      </c>
    </row>
    <row r="17" spans="1:3">
      <c r="A17" s="92">
        <v>448571.43</v>
      </c>
      <c r="B17" s="293">
        <f t="shared" si="0"/>
        <v>89714.286000000007</v>
      </c>
      <c r="C17" s="293">
        <f t="shared" si="1"/>
        <v>7476.1905000000006</v>
      </c>
    </row>
    <row r="18" spans="1:3">
      <c r="A18" s="92">
        <v>247619.05</v>
      </c>
      <c r="B18" s="293">
        <f t="shared" si="0"/>
        <v>49523.81</v>
      </c>
      <c r="C18" s="293">
        <f t="shared" si="1"/>
        <v>4126.9841666666662</v>
      </c>
    </row>
    <row r="19" spans="1:3">
      <c r="A19" s="92">
        <v>623809.52</v>
      </c>
      <c r="B19" s="293">
        <f t="shared" si="0"/>
        <v>124761.90400000001</v>
      </c>
      <c r="C19" s="293">
        <f t="shared" si="1"/>
        <v>10396.825333333334</v>
      </c>
    </row>
    <row r="20" spans="1:3">
      <c r="A20" s="92">
        <v>623809.52</v>
      </c>
      <c r="B20" s="293">
        <f t="shared" si="0"/>
        <v>124761.90400000001</v>
      </c>
      <c r="C20" s="293">
        <f t="shared" si="1"/>
        <v>10396.825333333334</v>
      </c>
    </row>
    <row r="21" spans="1:3">
      <c r="A21" s="92">
        <v>623809.52</v>
      </c>
      <c r="B21" s="293">
        <f t="shared" si="0"/>
        <v>124761.90400000001</v>
      </c>
      <c r="C21" s="293">
        <f t="shared" si="1"/>
        <v>10396.825333333334</v>
      </c>
    </row>
    <row r="22" spans="1:3">
      <c r="A22" s="92">
        <f>475238.09+4886.38</f>
        <v>480124.47000000003</v>
      </c>
      <c r="B22" s="293">
        <f t="shared" si="0"/>
        <v>96024.894000000015</v>
      </c>
      <c r="C22" s="293">
        <f t="shared" si="1"/>
        <v>8002.0745000000015</v>
      </c>
    </row>
    <row r="23" spans="1:3">
      <c r="A23" s="92">
        <f>570476.19+5865.62</f>
        <v>576341.80999999994</v>
      </c>
      <c r="B23" s="293">
        <f t="shared" si="0"/>
        <v>115268.36199999999</v>
      </c>
      <c r="C23" s="293">
        <f t="shared" si="1"/>
        <v>9605.6968333333334</v>
      </c>
    </row>
    <row r="24" spans="1:3">
      <c r="A24" s="292">
        <v>541904.76</v>
      </c>
      <c r="B24" s="293">
        <f t="shared" si="0"/>
        <v>108380.952</v>
      </c>
      <c r="C24" s="293">
        <f t="shared" si="1"/>
        <v>9031.746000000001</v>
      </c>
    </row>
    <row r="25" spans="1:3">
      <c r="A25" s="292">
        <f>510000-24285.71</f>
        <v>485714.29</v>
      </c>
      <c r="B25" s="293">
        <f t="shared" si="0"/>
        <v>97142.858000000007</v>
      </c>
      <c r="C25" s="293">
        <f t="shared" si="1"/>
        <v>8095.238166666667</v>
      </c>
    </row>
    <row r="26" spans="1:3">
      <c r="A26" s="292">
        <v>504761.9</v>
      </c>
      <c r="B26" s="293">
        <f t="shared" si="0"/>
        <v>100952.38</v>
      </c>
      <c r="C26" s="293">
        <f t="shared" si="1"/>
        <v>8412.6983333333337</v>
      </c>
    </row>
    <row r="27" spans="1:3">
      <c r="C27" s="293">
        <f>SUM(C1:C26)</f>
        <v>226815.77300000002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4672-C04E-4ECC-9B1B-ADB115838C78}">
  <dimension ref="B2:L45"/>
  <sheetViews>
    <sheetView workbookViewId="0">
      <selection activeCell="F26" sqref="F26"/>
    </sheetView>
  </sheetViews>
  <sheetFormatPr defaultRowHeight="15"/>
  <cols>
    <col min="2" max="2" width="15.5703125" bestFit="1" customWidth="1"/>
    <col min="3" max="3" width="9.28515625" customWidth="1"/>
    <col min="4" max="4" width="19.7109375" customWidth="1"/>
    <col min="5" max="5" width="20.42578125" customWidth="1"/>
    <col min="6" max="6" width="19.7109375" customWidth="1"/>
    <col min="10" max="10" width="7.28515625" customWidth="1"/>
    <col min="11" max="11" width="28.42578125" bestFit="1" customWidth="1"/>
    <col min="12" max="12" width="15.5703125" customWidth="1"/>
  </cols>
  <sheetData>
    <row r="2" spans="2:12" ht="36" customHeight="1">
      <c r="B2" s="368" t="s">
        <v>183</v>
      </c>
      <c r="C2" s="369"/>
      <c r="D2" s="369"/>
      <c r="E2" s="369"/>
      <c r="F2" s="370"/>
      <c r="J2" s="365" t="s">
        <v>184</v>
      </c>
      <c r="K2" s="366"/>
      <c r="L2" s="367"/>
    </row>
    <row r="3" spans="2:12">
      <c r="B3" s="371">
        <v>2024</v>
      </c>
      <c r="C3" s="372"/>
      <c r="D3" s="372"/>
      <c r="E3" s="372"/>
      <c r="F3" s="373"/>
      <c r="J3" s="146">
        <v>1</v>
      </c>
      <c r="K3" s="147" t="s">
        <v>185</v>
      </c>
      <c r="L3" s="148" t="s">
        <v>186</v>
      </c>
    </row>
    <row r="4" spans="2:12">
      <c r="B4" s="136" t="s">
        <v>110</v>
      </c>
      <c r="C4" s="137" t="s">
        <v>111</v>
      </c>
      <c r="D4" s="138" t="s">
        <v>187</v>
      </c>
      <c r="E4" s="138" t="s">
        <v>112</v>
      </c>
      <c r="F4" s="139" t="s">
        <v>113</v>
      </c>
      <c r="J4" s="149">
        <v>1</v>
      </c>
      <c r="K4" s="150" t="s">
        <v>188</v>
      </c>
      <c r="L4" s="151" t="s">
        <v>189</v>
      </c>
    </row>
    <row r="5" spans="2:12">
      <c r="B5" s="124" t="s">
        <v>190</v>
      </c>
      <c r="C5" s="68" t="s">
        <v>191</v>
      </c>
      <c r="D5" s="68" t="s">
        <v>192</v>
      </c>
      <c r="E5" s="83">
        <v>43478</v>
      </c>
      <c r="F5" s="125" t="s">
        <v>193</v>
      </c>
      <c r="J5" s="149">
        <v>2</v>
      </c>
      <c r="K5" s="150" t="s">
        <v>188</v>
      </c>
      <c r="L5" s="151" t="s">
        <v>194</v>
      </c>
    </row>
    <row r="6" spans="2:12">
      <c r="B6" s="124" t="s">
        <v>195</v>
      </c>
      <c r="C6" s="68" t="s">
        <v>165</v>
      </c>
      <c r="D6" s="68" t="s">
        <v>192</v>
      </c>
      <c r="E6" s="83">
        <v>43509</v>
      </c>
      <c r="F6" s="125" t="s">
        <v>196</v>
      </c>
      <c r="J6" s="149">
        <v>3</v>
      </c>
      <c r="K6" s="150" t="s">
        <v>188</v>
      </c>
      <c r="L6" s="151" t="s">
        <v>197</v>
      </c>
    </row>
    <row r="7" spans="2:12">
      <c r="B7" s="124" t="s">
        <v>198</v>
      </c>
      <c r="C7" s="68" t="s">
        <v>199</v>
      </c>
      <c r="D7" s="68" t="s">
        <v>192</v>
      </c>
      <c r="E7" s="83">
        <v>43453</v>
      </c>
      <c r="F7" s="125" t="s">
        <v>200</v>
      </c>
      <c r="J7" s="149">
        <v>4</v>
      </c>
      <c r="K7" s="150" t="s">
        <v>201</v>
      </c>
      <c r="L7" s="151" t="s">
        <v>202</v>
      </c>
    </row>
    <row r="8" spans="2:12">
      <c r="B8" s="124" t="s">
        <v>203</v>
      </c>
      <c r="C8" s="68" t="s">
        <v>204</v>
      </c>
      <c r="D8" s="68" t="s">
        <v>192</v>
      </c>
      <c r="E8" s="83">
        <v>43787</v>
      </c>
      <c r="F8" s="125" t="s">
        <v>205</v>
      </c>
      <c r="J8" s="149">
        <v>5</v>
      </c>
      <c r="K8" s="150" t="s">
        <v>206</v>
      </c>
      <c r="L8" s="151" t="s">
        <v>207</v>
      </c>
    </row>
    <row r="9" spans="2:12">
      <c r="B9" s="124" t="s">
        <v>208</v>
      </c>
      <c r="C9" s="68" t="s">
        <v>158</v>
      </c>
      <c r="D9" s="68" t="s">
        <v>192</v>
      </c>
      <c r="E9" s="83">
        <v>44075</v>
      </c>
      <c r="F9" s="125" t="s">
        <v>209</v>
      </c>
      <c r="J9" s="149">
        <v>6</v>
      </c>
      <c r="K9" s="150" t="s">
        <v>130</v>
      </c>
      <c r="L9" s="151" t="s">
        <v>210</v>
      </c>
    </row>
    <row r="10" spans="2:12">
      <c r="B10" s="124" t="s">
        <v>208</v>
      </c>
      <c r="C10" s="68" t="s">
        <v>157</v>
      </c>
      <c r="D10" s="68" t="s">
        <v>192</v>
      </c>
      <c r="E10" s="83">
        <v>44075</v>
      </c>
      <c r="F10" s="125" t="s">
        <v>211</v>
      </c>
      <c r="J10" s="149">
        <v>7</v>
      </c>
      <c r="K10" s="150" t="s">
        <v>130</v>
      </c>
      <c r="L10" s="151" t="s">
        <v>212</v>
      </c>
    </row>
    <row r="11" spans="2:12">
      <c r="B11" s="124" t="s">
        <v>213</v>
      </c>
      <c r="C11" s="68" t="s">
        <v>155</v>
      </c>
      <c r="D11" s="68" t="s">
        <v>214</v>
      </c>
      <c r="E11" s="83">
        <v>44075</v>
      </c>
      <c r="F11" s="125" t="s">
        <v>215</v>
      </c>
      <c r="J11" s="149">
        <v>8</v>
      </c>
      <c r="K11" s="150" t="s">
        <v>130</v>
      </c>
      <c r="L11" s="151" t="s">
        <v>216</v>
      </c>
    </row>
    <row r="12" spans="2:12">
      <c r="B12" s="124" t="s">
        <v>130</v>
      </c>
      <c r="C12" s="68" t="s">
        <v>160</v>
      </c>
      <c r="D12" s="68" t="s">
        <v>214</v>
      </c>
      <c r="E12" s="83">
        <v>44561</v>
      </c>
      <c r="F12" s="125" t="s">
        <v>217</v>
      </c>
      <c r="J12" s="149">
        <v>9</v>
      </c>
      <c r="K12" s="150" t="s">
        <v>130</v>
      </c>
      <c r="L12" s="151" t="s">
        <v>131</v>
      </c>
    </row>
    <row r="13" spans="2:12">
      <c r="B13" s="124" t="s">
        <v>208</v>
      </c>
      <c r="C13" s="68" t="s">
        <v>182</v>
      </c>
      <c r="D13" s="68" t="s">
        <v>218</v>
      </c>
      <c r="E13" s="83">
        <v>44075</v>
      </c>
      <c r="F13" s="125" t="s">
        <v>219</v>
      </c>
      <c r="J13" s="149">
        <v>10</v>
      </c>
      <c r="K13" s="150" t="s">
        <v>138</v>
      </c>
      <c r="L13" s="151" t="s">
        <v>220</v>
      </c>
    </row>
    <row r="14" spans="2:12">
      <c r="B14" s="124" t="s">
        <v>195</v>
      </c>
      <c r="C14" s="68" t="s">
        <v>221</v>
      </c>
      <c r="D14" s="68" t="s">
        <v>192</v>
      </c>
      <c r="E14" s="83">
        <v>43552</v>
      </c>
      <c r="F14" s="125" t="s">
        <v>222</v>
      </c>
      <c r="J14" s="149">
        <v>11</v>
      </c>
      <c r="K14" s="150" t="s">
        <v>138</v>
      </c>
      <c r="L14" s="151" t="s">
        <v>223</v>
      </c>
    </row>
    <row r="15" spans="2:12">
      <c r="B15" s="124" t="s">
        <v>190</v>
      </c>
      <c r="C15" s="68" t="s">
        <v>224</v>
      </c>
      <c r="D15" s="68" t="s">
        <v>192</v>
      </c>
      <c r="E15" s="83">
        <v>43751</v>
      </c>
      <c r="F15" s="125" t="s">
        <v>225</v>
      </c>
      <c r="J15" s="149">
        <v>12</v>
      </c>
      <c r="K15" s="150" t="s">
        <v>132</v>
      </c>
      <c r="L15" s="151" t="s">
        <v>133</v>
      </c>
    </row>
    <row r="16" spans="2:12">
      <c r="B16" s="124" t="s">
        <v>226</v>
      </c>
      <c r="C16" s="68" t="s">
        <v>227</v>
      </c>
      <c r="D16" s="68" t="s">
        <v>192</v>
      </c>
      <c r="E16" s="83">
        <v>43828</v>
      </c>
      <c r="F16" s="125" t="s">
        <v>228</v>
      </c>
      <c r="J16" s="149">
        <v>13</v>
      </c>
      <c r="K16" s="150" t="s">
        <v>134</v>
      </c>
      <c r="L16" s="151" t="s">
        <v>135</v>
      </c>
    </row>
    <row r="17" spans="2:12">
      <c r="B17" s="124" t="s">
        <v>138</v>
      </c>
      <c r="C17" s="68" t="s">
        <v>229</v>
      </c>
      <c r="D17" s="68" t="s">
        <v>214</v>
      </c>
      <c r="E17" s="83">
        <v>44833</v>
      </c>
      <c r="F17" s="125">
        <v>45572</v>
      </c>
      <c r="J17" s="149">
        <v>14</v>
      </c>
      <c r="K17" s="150" t="s">
        <v>136</v>
      </c>
      <c r="L17" s="151" t="s">
        <v>137</v>
      </c>
    </row>
    <row r="18" spans="2:12">
      <c r="B18" s="124" t="s">
        <v>230</v>
      </c>
      <c r="C18" s="68" t="s">
        <v>231</v>
      </c>
      <c r="D18" s="68" t="s">
        <v>192</v>
      </c>
      <c r="E18" s="83">
        <v>44437</v>
      </c>
      <c r="F18" s="125">
        <v>45624</v>
      </c>
      <c r="J18" s="149">
        <v>15</v>
      </c>
      <c r="K18" s="150" t="s">
        <v>138</v>
      </c>
      <c r="L18" s="151" t="s">
        <v>139</v>
      </c>
    </row>
    <row r="19" spans="2:12">
      <c r="B19" s="124" t="s">
        <v>232</v>
      </c>
      <c r="C19" s="68" t="s">
        <v>233</v>
      </c>
      <c r="D19" s="83" t="s">
        <v>218</v>
      </c>
      <c r="E19" s="72">
        <v>44075</v>
      </c>
      <c r="F19" s="126" t="s">
        <v>234</v>
      </c>
      <c r="J19" s="149">
        <v>16</v>
      </c>
      <c r="K19" s="150" t="s">
        <v>140</v>
      </c>
      <c r="L19" s="151" t="s">
        <v>141</v>
      </c>
    </row>
    <row r="20" spans="2:12">
      <c r="B20" s="124" t="s">
        <v>138</v>
      </c>
      <c r="C20" s="68" t="s">
        <v>235</v>
      </c>
      <c r="D20" s="68" t="s">
        <v>192</v>
      </c>
      <c r="E20" s="72">
        <v>44451</v>
      </c>
      <c r="F20" s="126">
        <v>45642</v>
      </c>
      <c r="J20" s="149">
        <v>17</v>
      </c>
      <c r="K20" s="150" t="s">
        <v>138</v>
      </c>
      <c r="L20" s="151" t="s">
        <v>142</v>
      </c>
    </row>
    <row r="21" spans="2:12">
      <c r="B21" s="124" t="s">
        <v>230</v>
      </c>
      <c r="C21" s="68" t="s">
        <v>236</v>
      </c>
      <c r="D21" s="68" t="s">
        <v>192</v>
      </c>
      <c r="E21" s="72">
        <v>44437</v>
      </c>
      <c r="F21" s="126">
        <v>45636</v>
      </c>
      <c r="J21" s="149">
        <v>18</v>
      </c>
      <c r="K21" s="150" t="s">
        <v>138</v>
      </c>
      <c r="L21" s="151" t="s">
        <v>143</v>
      </c>
    </row>
    <row r="22" spans="2:12">
      <c r="B22" s="132" t="s">
        <v>138</v>
      </c>
      <c r="C22" s="133" t="s">
        <v>162</v>
      </c>
      <c r="D22" s="133" t="s">
        <v>192</v>
      </c>
      <c r="E22" s="134">
        <v>44459</v>
      </c>
      <c r="F22" s="135">
        <v>45636</v>
      </c>
      <c r="J22" s="149">
        <v>19</v>
      </c>
      <c r="K22" s="150" t="s">
        <v>138</v>
      </c>
      <c r="L22" s="151" t="s">
        <v>144</v>
      </c>
    </row>
    <row r="23" spans="2:12">
      <c r="B23" s="362">
        <v>2025</v>
      </c>
      <c r="C23" s="363"/>
      <c r="D23" s="363"/>
      <c r="E23" s="363"/>
      <c r="F23" s="364"/>
      <c r="J23" s="149">
        <v>20</v>
      </c>
      <c r="K23" s="150" t="s">
        <v>145</v>
      </c>
      <c r="L23" s="151" t="s">
        <v>146</v>
      </c>
    </row>
    <row r="24" spans="2:12">
      <c r="B24" s="136" t="s">
        <v>110</v>
      </c>
      <c r="C24" s="137" t="s">
        <v>111</v>
      </c>
      <c r="D24" s="138" t="s">
        <v>187</v>
      </c>
      <c r="E24" s="138" t="s">
        <v>112</v>
      </c>
      <c r="F24" s="139" t="s">
        <v>113</v>
      </c>
      <c r="J24" s="149">
        <v>21</v>
      </c>
      <c r="K24" s="150" t="s">
        <v>145</v>
      </c>
      <c r="L24" s="151" t="s">
        <v>147</v>
      </c>
    </row>
    <row r="25" spans="2:12">
      <c r="B25" s="127" t="s">
        <v>185</v>
      </c>
      <c r="C25" s="128" t="s">
        <v>186</v>
      </c>
      <c r="D25" s="129" t="s">
        <v>237</v>
      </c>
      <c r="E25" s="130">
        <v>44478</v>
      </c>
      <c r="F25" s="131">
        <v>45757</v>
      </c>
      <c r="J25" s="149">
        <v>22</v>
      </c>
      <c r="K25" s="150" t="s">
        <v>148</v>
      </c>
      <c r="L25" s="151" t="s">
        <v>149</v>
      </c>
    </row>
    <row r="26" spans="2:12">
      <c r="J26" s="149">
        <v>23</v>
      </c>
      <c r="K26" s="150" t="s">
        <v>148</v>
      </c>
      <c r="L26" s="151" t="s">
        <v>150</v>
      </c>
    </row>
    <row r="27" spans="2:12">
      <c r="J27" s="149">
        <v>24</v>
      </c>
      <c r="K27" s="150" t="s">
        <v>151</v>
      </c>
      <c r="L27" s="151" t="s">
        <v>238</v>
      </c>
    </row>
    <row r="28" spans="2:12">
      <c r="J28" s="149">
        <v>25</v>
      </c>
      <c r="K28" s="150" t="s">
        <v>151</v>
      </c>
      <c r="L28" s="151" t="s">
        <v>152</v>
      </c>
    </row>
    <row r="29" spans="2:12">
      <c r="J29" s="149">
        <v>26</v>
      </c>
      <c r="K29" s="150" t="s">
        <v>153</v>
      </c>
      <c r="L29" s="151" t="s">
        <v>154</v>
      </c>
    </row>
    <row r="30" spans="2:12">
      <c r="J30" s="149">
        <v>27</v>
      </c>
      <c r="K30" s="150" t="s">
        <v>153</v>
      </c>
      <c r="L30" s="151" t="s">
        <v>155</v>
      </c>
    </row>
    <row r="31" spans="2:12">
      <c r="J31" s="149">
        <v>28</v>
      </c>
      <c r="K31" s="150" t="s">
        <v>156</v>
      </c>
      <c r="L31" s="151" t="s">
        <v>157</v>
      </c>
    </row>
    <row r="32" spans="2:12">
      <c r="J32" s="149">
        <v>29</v>
      </c>
      <c r="K32" s="150" t="s">
        <v>156</v>
      </c>
      <c r="L32" s="151" t="s">
        <v>158</v>
      </c>
    </row>
    <row r="33" spans="2:12">
      <c r="J33" s="193">
        <v>30</v>
      </c>
      <c r="K33" s="194" t="s">
        <v>159</v>
      </c>
      <c r="L33" s="195" t="s">
        <v>160</v>
      </c>
    </row>
    <row r="34" spans="2:12">
      <c r="J34" s="149">
        <v>31</v>
      </c>
      <c r="K34" s="68" t="s">
        <v>161</v>
      </c>
      <c r="L34" s="198" t="s">
        <v>162</v>
      </c>
    </row>
    <row r="35" spans="2:12">
      <c r="J35" s="149">
        <v>32</v>
      </c>
      <c r="K35" s="197" t="s">
        <v>161</v>
      </c>
      <c r="L35" s="199" t="s">
        <v>164</v>
      </c>
    </row>
    <row r="36" spans="2:12">
      <c r="J36" s="193">
        <v>33</v>
      </c>
      <c r="K36" s="197" t="s">
        <v>161</v>
      </c>
      <c r="L36" s="199" t="s">
        <v>165</v>
      </c>
    </row>
    <row r="37" spans="2:12">
      <c r="J37" s="149">
        <v>34</v>
      </c>
      <c r="K37" s="197" t="s">
        <v>239</v>
      </c>
      <c r="L37" s="200" t="s">
        <v>163</v>
      </c>
    </row>
    <row r="38" spans="2:12">
      <c r="B38" s="152" t="s">
        <v>110</v>
      </c>
      <c r="C38" s="152" t="s">
        <v>111</v>
      </c>
      <c r="D38" s="153" t="s">
        <v>187</v>
      </c>
      <c r="E38" s="205" t="s">
        <v>113</v>
      </c>
      <c r="J38" s="196">
        <v>35</v>
      </c>
      <c r="K38" s="201" t="s">
        <v>161</v>
      </c>
      <c r="L38" s="202" t="s">
        <v>163</v>
      </c>
    </row>
    <row r="39" spans="2:12">
      <c r="B39" s="68" t="s">
        <v>203</v>
      </c>
      <c r="C39" s="68" t="s">
        <v>204</v>
      </c>
      <c r="D39" s="204" t="s">
        <v>192</v>
      </c>
      <c r="E39" s="83" t="s">
        <v>205</v>
      </c>
      <c r="F39" s="203"/>
    </row>
    <row r="40" spans="2:12">
      <c r="B40" s="68" t="s">
        <v>213</v>
      </c>
      <c r="C40" s="68" t="s">
        <v>155</v>
      </c>
      <c r="D40" s="204" t="s">
        <v>214</v>
      </c>
      <c r="E40" s="83" t="s">
        <v>215</v>
      </c>
      <c r="F40" s="203"/>
    </row>
    <row r="41" spans="2:12">
      <c r="B41" s="68" t="s">
        <v>208</v>
      </c>
      <c r="C41" s="68" t="s">
        <v>157</v>
      </c>
      <c r="D41" s="204" t="s">
        <v>192</v>
      </c>
      <c r="E41" s="83" t="s">
        <v>211</v>
      </c>
      <c r="F41" s="203"/>
    </row>
    <row r="42" spans="2:12">
      <c r="B42" s="68" t="s">
        <v>208</v>
      </c>
      <c r="C42" s="68" t="s">
        <v>158</v>
      </c>
      <c r="D42" s="204" t="s">
        <v>192</v>
      </c>
      <c r="E42" s="83" t="s">
        <v>209</v>
      </c>
      <c r="F42" s="203"/>
    </row>
    <row r="43" spans="2:12">
      <c r="B43" s="68" t="s">
        <v>130</v>
      </c>
      <c r="C43" s="68" t="s">
        <v>160</v>
      </c>
      <c r="D43" s="204" t="s">
        <v>214</v>
      </c>
      <c r="E43" s="83" t="s">
        <v>217</v>
      </c>
      <c r="F43" s="203"/>
    </row>
    <row r="44" spans="2:12">
      <c r="B44" s="68" t="s">
        <v>208</v>
      </c>
      <c r="C44" s="68" t="s">
        <v>182</v>
      </c>
      <c r="D44" s="204" t="s">
        <v>218</v>
      </c>
      <c r="E44" s="83" t="s">
        <v>219</v>
      </c>
      <c r="F44" s="203"/>
    </row>
    <row r="45" spans="2:12">
      <c r="B45" s="68" t="s">
        <v>198</v>
      </c>
      <c r="C45" s="68" t="s">
        <v>199</v>
      </c>
      <c r="D45" s="204" t="s">
        <v>192</v>
      </c>
      <c r="E45" s="83" t="s">
        <v>200</v>
      </c>
      <c r="F45" s="203"/>
    </row>
  </sheetData>
  <mergeCells count="4">
    <mergeCell ref="B23:F23"/>
    <mergeCell ref="J2:L2"/>
    <mergeCell ref="B2:F2"/>
    <mergeCell ref="B3:F3"/>
  </mergeCells>
  <conditionalFormatting sqref="C19:C22">
    <cfRule type="duplicateValues" dxfId="20" priority="25"/>
  </conditionalFormatting>
  <conditionalFormatting sqref="C25">
    <cfRule type="duplicateValues" dxfId="19" priority="155"/>
  </conditionalFormatting>
  <conditionalFormatting sqref="L3:L8">
    <cfRule type="duplicateValues" dxfId="18" priority="8"/>
  </conditionalFormatting>
  <conditionalFormatting sqref="L9:L14">
    <cfRule type="duplicateValues" dxfId="17" priority="1"/>
  </conditionalFormatting>
  <conditionalFormatting sqref="L15:L18 L27">
    <cfRule type="duplicateValues" dxfId="16" priority="6"/>
  </conditionalFormatting>
  <conditionalFormatting sqref="L19">
    <cfRule type="duplicateValues" dxfId="15" priority="4"/>
  </conditionalFormatting>
  <conditionalFormatting sqref="L20:L26">
    <cfRule type="duplicateValues" dxfId="14" priority="5"/>
  </conditionalFormatting>
  <conditionalFormatting sqref="L28">
    <cfRule type="duplicateValues" dxfId="13" priority="3"/>
  </conditionalFormatting>
  <conditionalFormatting sqref="L29:L30">
    <cfRule type="duplicateValues" dxfId="12" priority="2"/>
  </conditionalFormatting>
  <conditionalFormatting sqref="L31:L33">
    <cfRule type="duplicateValues" dxfId="11" priority="7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693F-C3F8-43FA-A3AD-75541E0B645D}">
  <dimension ref="A1:FB78"/>
  <sheetViews>
    <sheetView topLeftCell="A7" workbookViewId="0">
      <selection activeCell="T28" sqref="T28"/>
    </sheetView>
  </sheetViews>
  <sheetFormatPr defaultColWidth="9.140625" defaultRowHeight="12.75"/>
  <cols>
    <col min="1" max="1" width="4.28515625" style="1" bestFit="1" customWidth="1"/>
    <col min="2" max="2" width="27.85546875" style="1" customWidth="1"/>
    <col min="3" max="3" width="7.5703125" style="1" customWidth="1"/>
    <col min="4" max="4" width="17.42578125" style="1" customWidth="1"/>
    <col min="5" max="5" width="11.5703125" style="1" customWidth="1"/>
    <col min="6" max="6" width="9.5703125" style="1" customWidth="1"/>
    <col min="7" max="7" width="13.5703125" style="2" customWidth="1"/>
    <col min="8" max="9" width="19.7109375" style="2" customWidth="1"/>
    <col min="10" max="10" width="16.28515625" style="2" customWidth="1"/>
    <col min="11" max="11" width="16.140625" style="2" customWidth="1"/>
    <col min="12" max="12" width="25.140625" style="2" customWidth="1"/>
    <col min="13" max="13" width="16" style="2" customWidth="1"/>
    <col min="14" max="14" width="14.5703125" style="1" customWidth="1"/>
    <col min="15" max="15" width="13.140625" style="1" customWidth="1"/>
    <col min="16" max="17" width="14.5703125" style="1" customWidth="1"/>
    <col min="18" max="18" width="17.85546875" style="1" customWidth="1"/>
    <col min="19" max="19" width="14.5703125" style="1" customWidth="1"/>
    <col min="20" max="20" width="16.7109375" style="1" customWidth="1"/>
    <col min="21" max="23" width="12.85546875" style="1" customWidth="1"/>
    <col min="24" max="24" width="13.42578125" style="1" customWidth="1"/>
    <col min="25" max="25" width="14.42578125" style="1" customWidth="1"/>
    <col min="26" max="27" width="13.7109375" style="1" customWidth="1"/>
    <col min="28" max="38" width="16.140625" style="1" customWidth="1"/>
    <col min="39" max="39" width="18.42578125" style="1" customWidth="1"/>
    <col min="40" max="40" width="17.42578125" style="1" customWidth="1"/>
    <col min="41" max="41" width="18" style="1" customWidth="1"/>
    <col min="42" max="42" width="30.7109375" style="1" customWidth="1"/>
    <col min="43" max="43" width="19.7109375" style="1" customWidth="1"/>
    <col min="44" max="44" width="15" style="1" customWidth="1"/>
    <col min="45" max="45" width="10.42578125" style="1" bestFit="1" customWidth="1"/>
    <col min="46" max="16384" width="9.140625" style="1"/>
  </cols>
  <sheetData>
    <row r="1" spans="1:158" ht="12.75" customHeight="1">
      <c r="J1" s="374" t="s">
        <v>108</v>
      </c>
      <c r="K1" s="375"/>
      <c r="L1" s="375"/>
      <c r="M1" s="376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61"/>
    </row>
    <row r="2" spans="1:158" s="5" customFormat="1" ht="12.75" customHeight="1">
      <c r="A2" s="60" t="s">
        <v>109</v>
      </c>
      <c r="B2" s="60" t="s">
        <v>110</v>
      </c>
      <c r="C2" s="60" t="s">
        <v>111</v>
      </c>
      <c r="D2" s="59" t="s">
        <v>187</v>
      </c>
      <c r="E2" s="59" t="s">
        <v>112</v>
      </c>
      <c r="F2" s="61" t="s">
        <v>113</v>
      </c>
      <c r="G2" s="62" t="s">
        <v>114</v>
      </c>
      <c r="H2" s="63" t="s">
        <v>115</v>
      </c>
      <c r="I2" s="60" t="s">
        <v>116</v>
      </c>
      <c r="J2" s="60" t="s">
        <v>240</v>
      </c>
      <c r="K2" s="60" t="s">
        <v>241</v>
      </c>
      <c r="L2" s="59" t="s">
        <v>242</v>
      </c>
      <c r="M2" s="59" t="s">
        <v>243</v>
      </c>
      <c r="N2" s="61" t="s">
        <v>121</v>
      </c>
      <c r="O2" s="62" t="s">
        <v>122</v>
      </c>
      <c r="P2" s="63" t="s">
        <v>244</v>
      </c>
      <c r="Q2" s="59" t="s">
        <v>245</v>
      </c>
      <c r="R2" s="59" t="s">
        <v>246</v>
      </c>
      <c r="S2" s="59" t="s">
        <v>247</v>
      </c>
      <c r="T2" s="67">
        <v>45292</v>
      </c>
      <c r="U2" s="67">
        <v>45323</v>
      </c>
      <c r="V2" s="67">
        <v>45352</v>
      </c>
      <c r="W2" s="67">
        <v>45383</v>
      </c>
      <c r="X2" s="67">
        <v>45413</v>
      </c>
      <c r="Y2" s="67" t="s">
        <v>248</v>
      </c>
      <c r="Z2" s="67">
        <v>45444</v>
      </c>
      <c r="AA2" s="67" t="s">
        <v>249</v>
      </c>
      <c r="AB2" s="67">
        <v>45474</v>
      </c>
      <c r="AC2" s="67" t="s">
        <v>250</v>
      </c>
      <c r="AD2" s="67">
        <v>45505</v>
      </c>
      <c r="AE2" s="209" t="s">
        <v>251</v>
      </c>
      <c r="AF2" s="67">
        <v>45536</v>
      </c>
      <c r="AG2" s="67" t="s">
        <v>252</v>
      </c>
      <c r="AH2" s="67">
        <v>45566</v>
      </c>
      <c r="AI2" s="67" t="s">
        <v>253</v>
      </c>
      <c r="AJ2" s="67">
        <v>45597</v>
      </c>
      <c r="AK2" s="67" t="s">
        <v>254</v>
      </c>
      <c r="AL2" s="67">
        <v>45627</v>
      </c>
      <c r="AM2" s="67" t="s">
        <v>255</v>
      </c>
      <c r="AN2" s="67" t="s">
        <v>124</v>
      </c>
      <c r="AO2" s="66" t="s">
        <v>125</v>
      </c>
      <c r="AP2" s="66" t="s">
        <v>256</v>
      </c>
      <c r="AQ2" s="65" t="s">
        <v>257</v>
      </c>
      <c r="AS2" s="210">
        <v>45658</v>
      </c>
      <c r="AT2" s="211">
        <f>EDATE(AS2,1)</f>
        <v>45689</v>
      </c>
      <c r="AU2" s="211">
        <f t="shared" ref="AU2:CN2" si="0">EDATE(AT2,1)</f>
        <v>45717</v>
      </c>
      <c r="AV2" s="211">
        <f t="shared" si="0"/>
        <v>45748</v>
      </c>
      <c r="AW2" s="211">
        <f t="shared" si="0"/>
        <v>45778</v>
      </c>
      <c r="AX2" s="211">
        <f t="shared" si="0"/>
        <v>45809</v>
      </c>
      <c r="AY2" s="211">
        <f t="shared" si="0"/>
        <v>45839</v>
      </c>
      <c r="AZ2" s="211">
        <f t="shared" si="0"/>
        <v>45870</v>
      </c>
      <c r="BA2" s="211">
        <f t="shared" si="0"/>
        <v>45901</v>
      </c>
      <c r="BB2" s="211">
        <f t="shared" si="0"/>
        <v>45931</v>
      </c>
      <c r="BC2" s="211">
        <f t="shared" si="0"/>
        <v>45962</v>
      </c>
      <c r="BD2" s="212">
        <f t="shared" si="0"/>
        <v>45992</v>
      </c>
      <c r="BE2" s="210">
        <f t="shared" si="0"/>
        <v>46023</v>
      </c>
      <c r="BF2" s="211">
        <f t="shared" si="0"/>
        <v>46054</v>
      </c>
      <c r="BG2" s="211">
        <f t="shared" si="0"/>
        <v>46082</v>
      </c>
      <c r="BH2" s="211">
        <f t="shared" si="0"/>
        <v>46113</v>
      </c>
      <c r="BI2" s="211">
        <f t="shared" si="0"/>
        <v>46143</v>
      </c>
      <c r="BJ2" s="211">
        <f t="shared" si="0"/>
        <v>46174</v>
      </c>
      <c r="BK2" s="211">
        <f t="shared" si="0"/>
        <v>46204</v>
      </c>
      <c r="BL2" s="211">
        <f t="shared" si="0"/>
        <v>46235</v>
      </c>
      <c r="BM2" s="211">
        <f t="shared" si="0"/>
        <v>46266</v>
      </c>
      <c r="BN2" s="211">
        <f t="shared" si="0"/>
        <v>46296</v>
      </c>
      <c r="BO2" s="211">
        <f t="shared" si="0"/>
        <v>46327</v>
      </c>
      <c r="BP2" s="212">
        <f t="shared" si="0"/>
        <v>46357</v>
      </c>
      <c r="BQ2" s="210">
        <f t="shared" si="0"/>
        <v>46388</v>
      </c>
      <c r="BR2" s="211">
        <f t="shared" si="0"/>
        <v>46419</v>
      </c>
      <c r="BS2" s="211">
        <f t="shared" si="0"/>
        <v>46447</v>
      </c>
      <c r="BT2" s="211">
        <f t="shared" si="0"/>
        <v>46478</v>
      </c>
      <c r="BU2" s="211">
        <f t="shared" si="0"/>
        <v>46508</v>
      </c>
      <c r="BV2" s="211">
        <f t="shared" si="0"/>
        <v>46539</v>
      </c>
      <c r="BW2" s="211">
        <f t="shared" si="0"/>
        <v>46569</v>
      </c>
      <c r="BX2" s="211">
        <f t="shared" si="0"/>
        <v>46600</v>
      </c>
      <c r="BY2" s="211">
        <f t="shared" si="0"/>
        <v>46631</v>
      </c>
      <c r="BZ2" s="211">
        <f t="shared" si="0"/>
        <v>46661</v>
      </c>
      <c r="CA2" s="211">
        <f t="shared" si="0"/>
        <v>46692</v>
      </c>
      <c r="CB2" s="212">
        <f t="shared" si="0"/>
        <v>46722</v>
      </c>
      <c r="CC2" s="210">
        <f t="shared" si="0"/>
        <v>46753</v>
      </c>
      <c r="CD2" s="211">
        <f t="shared" si="0"/>
        <v>46784</v>
      </c>
      <c r="CE2" s="211">
        <f t="shared" si="0"/>
        <v>46813</v>
      </c>
      <c r="CF2" s="211">
        <f t="shared" si="0"/>
        <v>46844</v>
      </c>
      <c r="CG2" s="211">
        <f t="shared" si="0"/>
        <v>46874</v>
      </c>
      <c r="CH2" s="211">
        <f t="shared" si="0"/>
        <v>46905</v>
      </c>
      <c r="CI2" s="211">
        <f t="shared" si="0"/>
        <v>46935</v>
      </c>
      <c r="CJ2" s="211">
        <f t="shared" si="0"/>
        <v>46966</v>
      </c>
      <c r="CK2" s="211">
        <f t="shared" si="0"/>
        <v>46997</v>
      </c>
      <c r="CL2" s="211">
        <f t="shared" si="0"/>
        <v>47027</v>
      </c>
      <c r="CM2" s="211">
        <f t="shared" si="0"/>
        <v>47058</v>
      </c>
      <c r="CN2" s="213">
        <f t="shared" si="0"/>
        <v>47088</v>
      </c>
      <c r="CO2" s="214"/>
      <c r="CP2" s="214"/>
    </row>
    <row r="3" spans="1:158">
      <c r="A3" s="73"/>
      <c r="B3" s="68"/>
      <c r="C3" s="68"/>
      <c r="D3" s="68"/>
      <c r="E3" s="72"/>
      <c r="F3" s="72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80"/>
      <c r="AO3" s="80"/>
      <c r="AP3" s="81"/>
      <c r="AQ3" s="80">
        <f t="shared" ref="AQ3:AQ36" si="1">M3-AP3</f>
        <v>0</v>
      </c>
      <c r="AS3" s="215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78"/>
      <c r="BE3" s="215"/>
      <c r="BF3" s="154"/>
      <c r="BG3" s="154"/>
      <c r="BH3" s="154"/>
      <c r="BI3" s="154"/>
      <c r="BJ3" s="154"/>
      <c r="BK3" s="154"/>
      <c r="BL3" s="154"/>
      <c r="BM3" s="154"/>
      <c r="BN3" s="154"/>
      <c r="BO3" s="154"/>
      <c r="BP3" s="78"/>
      <c r="BQ3" s="215"/>
      <c r="BR3" s="154"/>
      <c r="BS3" s="154"/>
      <c r="BT3" s="154"/>
      <c r="BU3" s="154"/>
      <c r="BV3" s="154"/>
      <c r="BW3" s="154"/>
      <c r="BX3" s="154"/>
      <c r="BY3" s="154"/>
      <c r="BZ3" s="154"/>
      <c r="CA3" s="154"/>
      <c r="CB3" s="78"/>
      <c r="CC3" s="215"/>
      <c r="CD3" s="154"/>
      <c r="CE3" s="154"/>
      <c r="CF3" s="154"/>
      <c r="CG3" s="154"/>
      <c r="CH3" s="154"/>
      <c r="CI3" s="154"/>
      <c r="CJ3" s="154"/>
      <c r="CK3" s="154"/>
      <c r="CL3" s="154"/>
      <c r="CM3" s="154"/>
      <c r="CN3" s="216"/>
    </row>
    <row r="4" spans="1:158">
      <c r="A4" s="74"/>
      <c r="B4" s="68"/>
      <c r="C4" s="68"/>
      <c r="D4" s="68"/>
      <c r="E4" s="72"/>
      <c r="F4" s="72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80"/>
      <c r="AO4" s="80"/>
      <c r="AP4" s="81"/>
      <c r="AQ4" s="80">
        <f t="shared" si="1"/>
        <v>0</v>
      </c>
      <c r="AS4" s="215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78"/>
      <c r="BE4" s="215"/>
      <c r="BF4" s="154"/>
      <c r="BG4" s="154"/>
      <c r="BH4" s="154"/>
      <c r="BI4" s="154"/>
      <c r="BJ4" s="154"/>
      <c r="BK4" s="154"/>
      <c r="BL4" s="154"/>
      <c r="BM4" s="154"/>
      <c r="BN4" s="154"/>
      <c r="BO4" s="154"/>
      <c r="BP4" s="78"/>
      <c r="BQ4" s="215"/>
      <c r="BR4" s="154"/>
      <c r="BS4" s="154"/>
      <c r="BT4" s="154"/>
      <c r="BU4" s="154"/>
      <c r="BV4" s="154"/>
      <c r="BW4" s="154"/>
      <c r="BX4" s="154"/>
      <c r="BY4" s="154"/>
      <c r="BZ4" s="154"/>
      <c r="CA4" s="154"/>
      <c r="CB4" s="78"/>
      <c r="CC4" s="215"/>
      <c r="CD4" s="154"/>
      <c r="CE4" s="154"/>
      <c r="CF4" s="154"/>
      <c r="CG4" s="154"/>
      <c r="CH4" s="154"/>
      <c r="CI4" s="154"/>
      <c r="CJ4" s="154"/>
      <c r="CK4" s="154"/>
      <c r="CL4" s="154"/>
      <c r="CM4" s="154"/>
      <c r="CN4" s="216"/>
    </row>
    <row r="5" spans="1:158">
      <c r="A5" s="75"/>
      <c r="B5" s="82" t="s">
        <v>129</v>
      </c>
      <c r="C5" s="68"/>
      <c r="D5" s="68"/>
      <c r="E5" s="72"/>
      <c r="F5" s="72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80"/>
      <c r="AO5" s="80"/>
      <c r="AP5" s="81"/>
      <c r="AQ5" s="80">
        <f t="shared" si="1"/>
        <v>0</v>
      </c>
      <c r="AS5" s="215"/>
      <c r="AT5" s="154"/>
      <c r="AU5" s="154"/>
      <c r="AV5" s="154"/>
      <c r="AW5" s="154"/>
      <c r="AX5" s="154"/>
      <c r="AY5" s="154"/>
      <c r="AZ5" s="154"/>
      <c r="BA5" s="154"/>
      <c r="BB5" s="154"/>
      <c r="BC5" s="154"/>
      <c r="BD5" s="78"/>
      <c r="BE5" s="215"/>
      <c r="BF5" s="154"/>
      <c r="BG5" s="154"/>
      <c r="BH5" s="154"/>
      <c r="BI5" s="154"/>
      <c r="BJ5" s="154"/>
      <c r="BK5" s="154"/>
      <c r="BL5" s="154"/>
      <c r="BM5" s="154"/>
      <c r="BN5" s="154"/>
      <c r="BO5" s="154"/>
      <c r="BP5" s="78"/>
      <c r="BQ5" s="215"/>
      <c r="BR5" s="154"/>
      <c r="BS5" s="154"/>
      <c r="BT5" s="154"/>
      <c r="BU5" s="154"/>
      <c r="BV5" s="154"/>
      <c r="BW5" s="154"/>
      <c r="BX5" s="154"/>
      <c r="BY5" s="154"/>
      <c r="BZ5" s="154"/>
      <c r="CA5" s="154"/>
      <c r="CB5" s="78"/>
      <c r="CC5" s="215"/>
      <c r="CD5" s="154"/>
      <c r="CE5" s="154"/>
      <c r="CF5" s="154"/>
      <c r="CG5" s="154"/>
      <c r="CH5" s="154"/>
      <c r="CI5" s="154"/>
      <c r="CJ5" s="154"/>
      <c r="CK5" s="154"/>
      <c r="CL5" s="154"/>
      <c r="CM5" s="154"/>
      <c r="CN5" s="216"/>
    </row>
    <row r="6" spans="1:158">
      <c r="A6" s="142">
        <v>1</v>
      </c>
      <c r="B6" s="68" t="s">
        <v>185</v>
      </c>
      <c r="C6" s="68" t="s">
        <v>186</v>
      </c>
      <c r="D6" s="143"/>
      <c r="E6" s="83">
        <v>44478</v>
      </c>
      <c r="F6" s="83"/>
      <c r="G6" s="79">
        <v>170476.19</v>
      </c>
      <c r="H6" s="79">
        <f t="shared" ref="H6:H43" si="2">G6*30%</f>
        <v>51142.856999999996</v>
      </c>
      <c r="I6" s="79">
        <f>G6*70%</f>
        <v>119333.333</v>
      </c>
      <c r="J6" s="217">
        <v>170476.19</v>
      </c>
      <c r="K6" s="79"/>
      <c r="L6" s="79"/>
      <c r="M6" s="79">
        <f t="shared" ref="M6:M32" si="3">J6+K6-L6</f>
        <v>170476.19</v>
      </c>
      <c r="N6" s="79">
        <f>G6*20%</f>
        <v>34095.238000000005</v>
      </c>
      <c r="O6" s="79">
        <f t="shared" ref="O6:O10" si="4">N6/12</f>
        <v>2841.2698333333337</v>
      </c>
      <c r="P6" s="79">
        <v>75889.404709677416</v>
      </c>
      <c r="Q6" s="79">
        <v>17374.304031875101</v>
      </c>
      <c r="R6" s="79">
        <v>17545.814258447499</v>
      </c>
      <c r="S6" s="79">
        <v>3289.8401734589061</v>
      </c>
      <c r="T6" s="79">
        <f>ROUND($O$6,2)</f>
        <v>2841.27</v>
      </c>
      <c r="U6" s="79">
        <f>ROUND($O$6,2)</f>
        <v>2841.27</v>
      </c>
      <c r="V6" s="79">
        <f>ROUND($O$6,2)</f>
        <v>2841.27</v>
      </c>
      <c r="W6" s="79">
        <f>ROUND($O$6,2)</f>
        <v>2841.27</v>
      </c>
      <c r="X6" s="79">
        <v>3289.8401734589102</v>
      </c>
      <c r="Y6" s="79">
        <v>2724.9438809765802</v>
      </c>
      <c r="Z6" s="218">
        <f t="shared" ref="Z6:AF21" si="5">X6</f>
        <v>3289.8401734589102</v>
      </c>
      <c r="AA6" s="219">
        <f t="shared" si="5"/>
        <v>2724.9438809765802</v>
      </c>
      <c r="AB6" s="219">
        <f t="shared" si="5"/>
        <v>3289.8401734589102</v>
      </c>
      <c r="AC6" s="219">
        <f t="shared" si="5"/>
        <v>2724.9438809765802</v>
      </c>
      <c r="AD6" s="219">
        <f t="shared" si="5"/>
        <v>3289.8401734589102</v>
      </c>
      <c r="AE6" s="219">
        <f t="shared" si="5"/>
        <v>2724.9438809765802</v>
      </c>
      <c r="AF6" s="219">
        <f t="shared" si="5"/>
        <v>3289.8401734589102</v>
      </c>
      <c r="AG6" s="219">
        <v>2724.94</v>
      </c>
      <c r="AH6" s="219">
        <v>3289.8401734589102</v>
      </c>
      <c r="AI6" s="154">
        <v>908.31</v>
      </c>
      <c r="AJ6" s="220">
        <v>-2193.23</v>
      </c>
      <c r="AK6" s="220">
        <v>0</v>
      </c>
      <c r="AL6" s="220">
        <v>0</v>
      </c>
      <c r="AM6" s="220">
        <v>0</v>
      </c>
      <c r="AN6" s="80">
        <f>SUM(T6:AM6)</f>
        <v>43443.916564659783</v>
      </c>
      <c r="AO6" s="80"/>
      <c r="AP6" s="144">
        <f t="shared" ref="AP6:AP44" si="6">P6+AN6-AO6</f>
        <v>119333.3212743372</v>
      </c>
      <c r="AQ6" s="144">
        <f t="shared" si="1"/>
        <v>51142.868725662804</v>
      </c>
      <c r="AR6" s="11"/>
      <c r="AS6" s="221">
        <f t="shared" ref="AS6:AS36" si="7">IF(AQ6&gt;H6,(AL6+AM6),0)</f>
        <v>0</v>
      </c>
      <c r="AT6" s="154">
        <f>IF(AS6+IF(AS6="0","0",AS6)&gt;AQ6,0,AS6)</f>
        <v>0</v>
      </c>
      <c r="AU6" s="145">
        <f>IF(SUM($AS6:AT$6)+IF(AT6="0","0",AT6)&gt;$AQ6,0,AT6)</f>
        <v>0</v>
      </c>
      <c r="AV6" s="145">
        <f>IF(SUM($AS6:AU$6)+IF(AU6="0","0",AU6)&gt;$AQ6,0,AU6)</f>
        <v>0</v>
      </c>
      <c r="AW6" s="145">
        <f>IF(SUM($AS6:AV$6)+IF(AV6="0","0",AV6)&gt;$AQ6,0,AV6)</f>
        <v>0</v>
      </c>
      <c r="AX6" s="145">
        <f>IF(SUM($AS6:AW$6)+IF(AW6="0","0",AW6)&gt;$AQ6,0,AW6)</f>
        <v>0</v>
      </c>
      <c r="AY6" s="145">
        <f>IF(SUM($AS6:AX$6)+IF(AX6="0","0",AX6)&gt;$AQ6,0,AX6)</f>
        <v>0</v>
      </c>
      <c r="AZ6" s="145">
        <f>IF(SUM($AS6:AY$6)+IF(AY6="0","0",AY6)&gt;$AQ6,0,AY6)</f>
        <v>0</v>
      </c>
      <c r="BA6" s="145">
        <f>IF(SUM($AS6:AZ$6)+IF(AZ6="0","0",AZ6)&gt;$AQ6,0,AZ6)</f>
        <v>0</v>
      </c>
      <c r="BB6" s="145">
        <f>IF(SUM($AS6:BA$6)+IF(BA6="0","0",BA6)&gt;$AQ6,0,BA6)</f>
        <v>0</v>
      </c>
      <c r="BC6" s="145">
        <f>IF(SUM($AS6:BB$6)+IF(BB6="0","0",BB6)&gt;$AQ6,0,BB6)</f>
        <v>0</v>
      </c>
      <c r="BD6" s="222">
        <f>IF(SUM($AS6:BC$6)+IF(BC6="0","0",BC6)&gt;$AQ6,0,BC6)</f>
        <v>0</v>
      </c>
      <c r="BE6" s="223">
        <f>IF(SUM($AS6:BD$6)+IF(BD6="0","0",BD6)&gt;$AQ6,0,BD6)</f>
        <v>0</v>
      </c>
      <c r="BF6" s="145">
        <f>IF(SUM($AS6:BE$6)+IF(BE6="0","0",BE6)&gt;$AQ6,0,BE6)</f>
        <v>0</v>
      </c>
      <c r="BG6" s="145">
        <f>IF(SUM($AS6:BF$6)+IF(BF6="0","0",BF6)&gt;$AQ6,0,BF6)</f>
        <v>0</v>
      </c>
      <c r="BH6" s="145">
        <f>IF(SUM($AS6:BG$6)+IF(BG6="0","0",BG6)&gt;$AQ6,0,BG6)</f>
        <v>0</v>
      </c>
      <c r="BI6" s="145">
        <f>IF(SUM($AS6:BH$6)+IF(BH6="0","0",BH6)&gt;$AQ6,0,BH6)</f>
        <v>0</v>
      </c>
      <c r="BJ6" s="145">
        <f>IF(SUM($AS6:BI$6)+IF(BI6="0","0",BI6)&gt;$AQ6,0,BI6)</f>
        <v>0</v>
      </c>
      <c r="BK6" s="145">
        <f>IF(SUM($AS6:BJ$6)+IF(BJ6="0","0",BJ6)&gt;$AQ6,0,BJ6)</f>
        <v>0</v>
      </c>
      <c r="BL6" s="145">
        <f>IF(SUM($AS6:BK$6)+IF(BK6="0","0",BK6)&gt;$AQ6,0,BK6)</f>
        <v>0</v>
      </c>
      <c r="BM6" s="145">
        <f>IF(SUM($AS6:BL$6)+IF(BL6="0","0",BL6)&gt;$AQ6,0,BL6)</f>
        <v>0</v>
      </c>
      <c r="BN6" s="145">
        <f>IF(SUM($AS6:BM$6)+IF(BM6="0","0",BM6)&gt;$AQ6,0,BM6)</f>
        <v>0</v>
      </c>
      <c r="BO6" s="145">
        <f>IF(SUM($AS6:BN$6)+IF(BN6="0","0",BN6)&gt;$AQ6,0,BN6)</f>
        <v>0</v>
      </c>
      <c r="BP6" s="222">
        <f>IF(SUM($AS6:BO$6)+IF(BO6="0","0",BO6)&gt;$AQ6,0,BO6)</f>
        <v>0</v>
      </c>
      <c r="BQ6" s="223">
        <f>IF(SUM($AS6:BP$6)+IF(BP6="0","0",BP6)&gt;$AQ6,0,BP6)</f>
        <v>0</v>
      </c>
      <c r="BR6" s="145">
        <f>IF(SUM($AS6:BQ$6)+IF(BQ6="0","0",BQ6)&gt;$AQ6,0,BQ6)</f>
        <v>0</v>
      </c>
      <c r="BS6" s="145">
        <f>IF(SUM($AS6:BR$6)+IF(BR6="0","0",BR6)&gt;$AQ6,0,BR6)</f>
        <v>0</v>
      </c>
      <c r="BT6" s="145">
        <f>IF(SUM($AS6:BS$6)+IF(BS6="0","0",BS6)&gt;$AQ6,0,BS6)</f>
        <v>0</v>
      </c>
      <c r="BU6" s="145">
        <f>IF(SUM($AS6:BT$6)+IF(BT6="0","0",BT6)&gt;$AQ6,0,BT6)</f>
        <v>0</v>
      </c>
      <c r="BV6" s="145">
        <f>IF(SUM($AS6:BU$6)+IF(BU6="0","0",BU6)&gt;$AQ6,0,BU6)</f>
        <v>0</v>
      </c>
      <c r="BW6" s="145">
        <f>IF(SUM($AS6:BV$6)+IF(BV6="0","0",BV6)&gt;$AQ6,0,BV6)</f>
        <v>0</v>
      </c>
      <c r="BX6" s="145">
        <f>IF(SUM($AS6:BW$6)+IF(BW6="0","0",BW6)&gt;$AQ6,0,BW6)</f>
        <v>0</v>
      </c>
      <c r="BY6" s="145">
        <f>IF(SUM($AS6:BX$6)+IF(BX6="0","0",BX6)&gt;$AQ6,0,BX6)</f>
        <v>0</v>
      </c>
      <c r="BZ6" s="145">
        <f>IF(SUM($AS6:BY$6)+IF(BY6="0","0",BY6)&gt;$AQ6,0,BY6)</f>
        <v>0</v>
      </c>
      <c r="CA6" s="145">
        <f>IF(SUM($AS6:BZ$6)+IF(BZ6="0","0",BZ6)&gt;$AQ6,0,BZ6)</f>
        <v>0</v>
      </c>
      <c r="CB6" s="222">
        <f>IF(SUM($AS6:CA$6)+IF(CA6="0","0",CA6)&gt;$AQ6,0,CA6)</f>
        <v>0</v>
      </c>
      <c r="CC6" s="223">
        <f>IF(SUM($AS6:CB$6)+IF(CB6="0","0",CB6)&gt;$AQ6,0,CB6)</f>
        <v>0</v>
      </c>
      <c r="CD6" s="145">
        <f>IF(SUM($AS6:CC$6)+IF(CC6="0","0",CC6)&gt;$AQ6,0,CC6)</f>
        <v>0</v>
      </c>
      <c r="CE6" s="145">
        <f>IF(SUM($AS6:CD$6)+IF(CD6="0","0",CD6)&gt;$AQ6,0,CD6)</f>
        <v>0</v>
      </c>
      <c r="CF6" s="145">
        <f>IF(SUM($AS6:CE$6)+IF(CE6="0","0",CE6)&gt;$AQ6,0,CE6)</f>
        <v>0</v>
      </c>
      <c r="CG6" s="145">
        <f>IF(SUM($AS6:CF$6)+IF(CF6="0","0",CF6)&gt;$AQ6,0,CF6)</f>
        <v>0</v>
      </c>
      <c r="CH6" s="145">
        <f>IF(SUM($AS6:CG$6)+IF(CG6="0","0",CG6)&gt;$AQ6,0,CG6)</f>
        <v>0</v>
      </c>
      <c r="CI6" s="145">
        <f>IF(SUM($AS6:CH$6)+IF(CH6="0","0",CH6)&gt;$AQ6,0,CH6)</f>
        <v>0</v>
      </c>
      <c r="CJ6" s="145">
        <f>IF(SUM($AS6:CI$6)+IF(CI6="0","0",CI6)&gt;$AQ6,0,CI6)</f>
        <v>0</v>
      </c>
      <c r="CK6" s="145">
        <f>IF(SUM($AS6:CJ$6)+IF(CJ6="0","0",CJ6)&gt;$AQ6,0,CJ6)</f>
        <v>0</v>
      </c>
      <c r="CL6" s="145">
        <f>IF(SUM($AS6:CK$6)+IF(CK6="0","0",CK6)&gt;$AQ6,0,CK6)</f>
        <v>0</v>
      </c>
      <c r="CM6" s="145">
        <f>IF(SUM($AS6:CL$6)+IF(CL6="0","0",CL6)&gt;$AQ6,0,CL6)</f>
        <v>0</v>
      </c>
      <c r="CN6" s="224">
        <f>IF(SUM($AS6:CM$6)+IF(CM6="0","0",CM6)&gt;$AQ6,0,CM6)</f>
        <v>0</v>
      </c>
    </row>
    <row r="7" spans="1:158">
      <c r="A7" s="142">
        <v>2</v>
      </c>
      <c r="B7" s="68" t="s">
        <v>188</v>
      </c>
      <c r="C7" s="68" t="s">
        <v>189</v>
      </c>
      <c r="D7" s="143"/>
      <c r="E7" s="83">
        <v>44516</v>
      </c>
      <c r="F7" s="83"/>
      <c r="G7" s="79">
        <v>366666.67</v>
      </c>
      <c r="H7" s="79">
        <f t="shared" si="2"/>
        <v>110000.00099999999</v>
      </c>
      <c r="I7" s="79">
        <f t="shared" ref="I7:I33" si="8">G7*70%</f>
        <v>256666.66899999997</v>
      </c>
      <c r="J7" s="217">
        <v>366666.67</v>
      </c>
      <c r="K7" s="79"/>
      <c r="L7" s="79"/>
      <c r="M7" s="79">
        <f t="shared" si="3"/>
        <v>366666.67</v>
      </c>
      <c r="N7" s="79">
        <f t="shared" ref="N7:N31" si="9">G7*20%</f>
        <v>73333.334000000003</v>
      </c>
      <c r="O7" s="79">
        <f t="shared" si="4"/>
        <v>6111.1111666666666</v>
      </c>
      <c r="P7" s="79">
        <v>155629.60304444443</v>
      </c>
      <c r="Q7" s="79">
        <v>36058.377845053299</v>
      </c>
      <c r="R7" s="79">
        <v>46645.358110502275</v>
      </c>
      <c r="S7" s="79">
        <v>7067.4785015912539</v>
      </c>
      <c r="T7" s="79">
        <f>ROUND($O$7,2)</f>
        <v>6111.11</v>
      </c>
      <c r="U7" s="79">
        <f>ROUND($O$7,2)</f>
        <v>6111.11</v>
      </c>
      <c r="V7" s="79">
        <f>ROUND($O$7,2)</f>
        <v>6111.11</v>
      </c>
      <c r="W7" s="79">
        <f>ROUND($O$7,2)</f>
        <v>6111.11</v>
      </c>
      <c r="X7" s="79">
        <v>7067.4785015912539</v>
      </c>
      <c r="Y7" s="79">
        <v>4537.4648250080736</v>
      </c>
      <c r="Z7" s="218">
        <f t="shared" si="5"/>
        <v>7067.4785015912539</v>
      </c>
      <c r="AA7" s="219">
        <f t="shared" si="5"/>
        <v>4537.4648250080736</v>
      </c>
      <c r="AB7" s="219">
        <f t="shared" si="5"/>
        <v>7067.4785015912539</v>
      </c>
      <c r="AC7" s="219">
        <f t="shared" si="5"/>
        <v>4537.4648250080736</v>
      </c>
      <c r="AD7" s="219">
        <f t="shared" si="5"/>
        <v>7067.4785015912539</v>
      </c>
      <c r="AE7" s="219">
        <f t="shared" si="5"/>
        <v>4537.4648250080736</v>
      </c>
      <c r="AF7" s="219">
        <f t="shared" si="5"/>
        <v>7067.4785015912539</v>
      </c>
      <c r="AG7" s="219">
        <v>4537.46</v>
      </c>
      <c r="AH7" s="219">
        <v>7067.4785015912539</v>
      </c>
      <c r="AI7" s="154">
        <v>4537.46</v>
      </c>
      <c r="AJ7" s="220">
        <v>4240.49</v>
      </c>
      <c r="AK7" s="220">
        <v>2722.48</v>
      </c>
      <c r="AL7" s="220">
        <v>0</v>
      </c>
      <c r="AM7" s="220">
        <v>0</v>
      </c>
      <c r="AN7" s="80">
        <f t="shared" ref="AN7:AN36" si="10">SUM(T7:AM7)</f>
        <v>101037.06030957983</v>
      </c>
      <c r="AO7" s="80"/>
      <c r="AP7" s="144">
        <f t="shared" si="6"/>
        <v>256666.66335402426</v>
      </c>
      <c r="AQ7" s="144">
        <f t="shared" si="1"/>
        <v>110000.00664597572</v>
      </c>
      <c r="AR7" s="11"/>
      <c r="AS7" s="221">
        <f t="shared" si="7"/>
        <v>0</v>
      </c>
      <c r="AT7" s="145">
        <f t="shared" ref="AT7:AT11" si="11">IF(AS7+IF(AS7="0","0",AS7)&gt;AQ7,0,AS7)</f>
        <v>0</v>
      </c>
      <c r="AU7" s="145">
        <f>IF(SUM($AS7:AT$7)+IF(AT7="0","0",AT7)&gt;$AQ7,0,AT7)</f>
        <v>0</v>
      </c>
      <c r="AV7" s="145">
        <f>IF(SUM($AS7:AU$7)+IF(AU7="0","0",AU7)&gt;$AQ7,0,AU7)</f>
        <v>0</v>
      </c>
      <c r="AW7" s="145">
        <f>IF(SUM($AS7:AV$7)+IF(AV7="0","0",AV7)&gt;$AQ7,0,AV7)</f>
        <v>0</v>
      </c>
      <c r="AX7" s="145">
        <f>IF(SUM($AS7:AW$7)+IF(AW7="0","0",AW7)&gt;$AQ7,0,AW7)</f>
        <v>0</v>
      </c>
      <c r="AY7" s="145">
        <f>IF(SUM($AS7:AX$7)+IF(AX7="0","0",AX7)&gt;$AQ7,0,AX7)</f>
        <v>0</v>
      </c>
      <c r="AZ7" s="145">
        <f>IF(SUM($AS7:AY$7)+IF(AY7="0","0",AY7)&gt;$AQ7,0,AY7)</f>
        <v>0</v>
      </c>
      <c r="BA7" s="145">
        <f>IF(SUM($AS7:AZ$7)+IF(AZ7="0","0",AZ7)&gt;$AQ7,0,AZ7)</f>
        <v>0</v>
      </c>
      <c r="BB7" s="145">
        <f>IF(SUM($AS7:BA$7)+IF(BA7="0","0",BA7)&gt;$AQ7,0,BA7)</f>
        <v>0</v>
      </c>
      <c r="BC7" s="145">
        <f>IF(SUM($AS7:BB$7)+IF(BB7="0","0",BB7)&gt;$AQ7,0,BB7)</f>
        <v>0</v>
      </c>
      <c r="BD7" s="222">
        <f>IF(SUM($AS7:BC$7)+IF(BC7="0","0",BC7)&gt;$AQ7,0,BC7)</f>
        <v>0</v>
      </c>
      <c r="BE7" s="223">
        <f>IF(SUM($AS7:BD$7)+IF(BD7="0","0",BD7)&gt;$AQ7,0,BD7)</f>
        <v>0</v>
      </c>
      <c r="BF7" s="145">
        <f>IF(SUM($AS7:BE$7)+IF(BE7="0","0",BE7)&gt;$AQ7,0,BE7)</f>
        <v>0</v>
      </c>
      <c r="BG7" s="145">
        <f>IF(SUM($AS7:BF$7)+IF(BF7="0","0",BF7)&gt;$AQ7,0,BF7)</f>
        <v>0</v>
      </c>
      <c r="BH7" s="145">
        <f>IF(SUM($AS7:BG$7)+IF(BG7="0","0",BG7)&gt;$AQ7,0,BG7)</f>
        <v>0</v>
      </c>
      <c r="BI7" s="145">
        <f>IF(SUM($AS7:BH$7)+IF(BH7="0","0",BH7)&gt;$AQ7,0,BH7)</f>
        <v>0</v>
      </c>
      <c r="BJ7" s="145">
        <f>IF(SUM($AS7:BI$7)+IF(BI7="0","0",BI7)&gt;$AQ7,0,BI7)</f>
        <v>0</v>
      </c>
      <c r="BK7" s="145">
        <f>IF(SUM($AS7:BJ$7)+IF(BJ7="0","0",BJ7)&gt;$AQ7,0,BJ7)</f>
        <v>0</v>
      </c>
      <c r="BL7" s="145">
        <f>IF(SUM($AS7:BK$7)+IF(BK7="0","0",BK7)&gt;$AQ7,0,BK7)</f>
        <v>0</v>
      </c>
      <c r="BM7" s="145">
        <f>IF(SUM($AS7:BL$7)+IF(BL7="0","0",BL7)&gt;$AQ7,0,BL7)</f>
        <v>0</v>
      </c>
      <c r="BN7" s="145">
        <f>IF(SUM($AS7:BM$7)+IF(BM7="0","0",BM7)&gt;$AQ7,0,BM7)</f>
        <v>0</v>
      </c>
      <c r="BO7" s="145">
        <f>IF(SUM($AS7:BN$7)+IF(BN7="0","0",BN7)&gt;$AQ7,0,BN7)</f>
        <v>0</v>
      </c>
      <c r="BP7" s="222">
        <f>IF(SUM($AS7:BO$7)+IF(BO7="0","0",BO7)&gt;$AQ7,0,BO7)</f>
        <v>0</v>
      </c>
      <c r="BQ7" s="223">
        <f>IF(SUM($AS7:BP$7)+IF(BP7="0","0",BP7)&gt;$AQ7,0,BP7)</f>
        <v>0</v>
      </c>
      <c r="BR7" s="145">
        <f>IF(SUM($AS7:BQ$7)+IF(BQ7="0","0",BQ7)&gt;$AQ7,0,BQ7)</f>
        <v>0</v>
      </c>
      <c r="BS7" s="145">
        <f>IF(SUM($AS7:BR$7)+IF(BR7="0","0",BR7)&gt;$AQ7,0,BR7)</f>
        <v>0</v>
      </c>
      <c r="BT7" s="145">
        <f>IF(SUM($AS7:BS$7)+IF(BS7="0","0",BS7)&gt;$AQ7,0,BS7)</f>
        <v>0</v>
      </c>
      <c r="BU7" s="145">
        <f>IF(SUM($AS7:BT$7)+IF(BT7="0","0",BT7)&gt;$AQ7,0,BT7)</f>
        <v>0</v>
      </c>
      <c r="BV7" s="145">
        <f>IF(SUM($AS7:BU$7)+IF(BU7="0","0",BU7)&gt;$AQ7,0,BU7)</f>
        <v>0</v>
      </c>
      <c r="BW7" s="145">
        <f>IF(SUM($AS7:BV$7)+IF(BV7="0","0",BV7)&gt;$AQ7,0,BV7)</f>
        <v>0</v>
      </c>
      <c r="BX7" s="145">
        <f>IF(SUM($AS7:BW$7)+IF(BW7="0","0",BW7)&gt;$AQ7,0,BW7)</f>
        <v>0</v>
      </c>
      <c r="BY7" s="145">
        <f>IF(SUM($AS7:BX$7)+IF(BX7="0","0",BX7)&gt;$AQ7,0,BX7)</f>
        <v>0</v>
      </c>
      <c r="BZ7" s="145">
        <f>IF(SUM($AS7:BY$7)+IF(BY7="0","0",BY7)&gt;$AQ7,0,BY7)</f>
        <v>0</v>
      </c>
      <c r="CA7" s="145">
        <f>IF(SUM($AS7:BZ$7)+IF(BZ7="0","0",BZ7)&gt;$AQ7,0,BZ7)</f>
        <v>0</v>
      </c>
      <c r="CB7" s="222">
        <f>IF(SUM($AS7:CA$7)+IF(CA7="0","0",CA7)&gt;$AQ7,0,CA7)</f>
        <v>0</v>
      </c>
      <c r="CC7" s="223">
        <f>IF(SUM($AS7:CB$7)+IF(CB7="0","0",CB7)&gt;$AQ7,0,CB7)</f>
        <v>0</v>
      </c>
      <c r="CD7" s="145">
        <f>IF(SUM($AS7:CC$7)+IF(CC7="0","0",CC7)&gt;$AQ7,0,CC7)</f>
        <v>0</v>
      </c>
      <c r="CE7" s="145">
        <f>IF(SUM($AS7:CD$7)+IF(CD7="0","0",CD7)&gt;$AQ7,0,CD7)</f>
        <v>0</v>
      </c>
      <c r="CF7" s="145">
        <f>IF(SUM($AS7:CE$7)+IF(CE7="0","0",CE7)&gt;$AQ7,0,CE7)</f>
        <v>0</v>
      </c>
      <c r="CG7" s="145">
        <f>IF(SUM($AS7:CF$7)+IF(CF7="0","0",CF7)&gt;$AQ7,0,CF7)</f>
        <v>0</v>
      </c>
      <c r="CH7" s="145">
        <f>IF(SUM($AS7:CG$7)+IF(CG7="0","0",CG7)&gt;$AQ7,0,CG7)</f>
        <v>0</v>
      </c>
      <c r="CI7" s="145">
        <f>IF(SUM($AS7:CH$7)+IF(CH7="0","0",CH7)&gt;$AQ7,0,CH7)</f>
        <v>0</v>
      </c>
      <c r="CJ7" s="145">
        <f>IF(SUM($AS7:CI$7)+IF(CI7="0","0",CI7)&gt;$AQ7,0,CI7)</f>
        <v>0</v>
      </c>
      <c r="CK7" s="145">
        <f>IF(SUM($AS7:CJ$7)+IF(CJ7="0","0",CJ7)&gt;$AQ7,0,CJ7)</f>
        <v>0</v>
      </c>
      <c r="CL7" s="145">
        <f>IF(SUM($AS7:CK$7)+IF(CK7="0","0",CK7)&gt;$AQ7,0,CK7)</f>
        <v>0</v>
      </c>
      <c r="CM7" s="145">
        <f>IF(SUM($AS7:CL$7)+IF(CL7="0","0",CL7)&gt;$AQ7,0,CL7)</f>
        <v>0</v>
      </c>
      <c r="CN7" s="224">
        <f>IF(SUM($AS7:CM$7)+IF(CM7="0","0",CM7)&gt;$AQ7,0,CM7)</f>
        <v>0</v>
      </c>
    </row>
    <row r="8" spans="1:158">
      <c r="A8" s="142">
        <v>3</v>
      </c>
      <c r="B8" s="68" t="s">
        <v>188</v>
      </c>
      <c r="C8" s="68" t="s">
        <v>194</v>
      </c>
      <c r="D8" s="143"/>
      <c r="E8" s="83">
        <v>44524</v>
      </c>
      <c r="F8" s="83"/>
      <c r="G8" s="79">
        <v>420952.38</v>
      </c>
      <c r="H8" s="79">
        <f t="shared" si="2"/>
        <v>126285.71399999999</v>
      </c>
      <c r="I8" s="79">
        <f t="shared" si="8"/>
        <v>294666.66599999997</v>
      </c>
      <c r="J8" s="217">
        <v>420952.38</v>
      </c>
      <c r="K8" s="79"/>
      <c r="L8" s="79"/>
      <c r="M8" s="79">
        <f t="shared" si="3"/>
        <v>420952.38</v>
      </c>
      <c r="N8" s="79">
        <f t="shared" si="9"/>
        <v>84190.47600000001</v>
      </c>
      <c r="O8" s="79">
        <f t="shared" si="4"/>
        <v>7015.8730000000005</v>
      </c>
      <c r="P8" s="79">
        <v>178670.82706666668</v>
      </c>
      <c r="Q8" s="79">
        <v>39244.119470319361</v>
      </c>
      <c r="R8" s="79">
        <v>55704.109463013679</v>
      </c>
      <c r="S8" s="79">
        <v>8112.2489509243223</v>
      </c>
      <c r="T8" s="79">
        <f>ROUND($O$8,2)</f>
        <v>7015.87</v>
      </c>
      <c r="U8" s="79">
        <f>ROUND($O$8,2)</f>
        <v>7015.87</v>
      </c>
      <c r="V8" s="79">
        <f>ROUND($O$8,2)</f>
        <v>7015.87</v>
      </c>
      <c r="W8" s="79">
        <f>ROUND($O$8,2)</f>
        <v>7015.87</v>
      </c>
      <c r="X8" s="79">
        <v>8112.2489509243223</v>
      </c>
      <c r="Y8" s="79">
        <v>4693.4343888815038</v>
      </c>
      <c r="Z8" s="218">
        <f t="shared" si="5"/>
        <v>8112.2489509243223</v>
      </c>
      <c r="AA8" s="219">
        <f t="shared" si="5"/>
        <v>4693.4343888815038</v>
      </c>
      <c r="AB8" s="219">
        <f t="shared" si="5"/>
        <v>8112.2489509243223</v>
      </c>
      <c r="AC8" s="219">
        <f t="shared" si="5"/>
        <v>4693.4343888815038</v>
      </c>
      <c r="AD8" s="219">
        <f t="shared" si="5"/>
        <v>8112.2489509243223</v>
      </c>
      <c r="AE8" s="219">
        <f t="shared" si="5"/>
        <v>4693.4343888815038</v>
      </c>
      <c r="AF8" s="219">
        <f t="shared" si="5"/>
        <v>8112.2489509243223</v>
      </c>
      <c r="AG8" s="219">
        <v>4693.43</v>
      </c>
      <c r="AH8" s="219">
        <v>8112.2489509243223</v>
      </c>
      <c r="AI8" s="154">
        <v>4693.43</v>
      </c>
      <c r="AJ8" s="220">
        <v>7030.62</v>
      </c>
      <c r="AK8" s="220">
        <v>4067.64</v>
      </c>
      <c r="AL8" s="220">
        <v>0</v>
      </c>
      <c r="AM8" s="220">
        <v>0</v>
      </c>
      <c r="AN8" s="80">
        <f t="shared" si="10"/>
        <v>115995.83126107191</v>
      </c>
      <c r="AO8" s="80"/>
      <c r="AP8" s="144">
        <f t="shared" si="6"/>
        <v>294666.65832773858</v>
      </c>
      <c r="AQ8" s="144">
        <f t="shared" si="1"/>
        <v>126285.72167226142</v>
      </c>
      <c r="AR8" s="11"/>
      <c r="AS8" s="221">
        <f t="shared" si="7"/>
        <v>0</v>
      </c>
      <c r="AT8" s="145">
        <f t="shared" si="11"/>
        <v>0</v>
      </c>
      <c r="AU8" s="145">
        <f>IF(SUM($AS$8:AT8)+IF(AT8="0","0",AT8)&gt;$AQ8,0,AT8)</f>
        <v>0</v>
      </c>
      <c r="AV8" s="145">
        <f>IF(SUM($AS$8:AU8)+IF(AU8="0","0",AU8)&gt;$AQ8,0,AU8)</f>
        <v>0</v>
      </c>
      <c r="AW8" s="145">
        <f>IF(SUM($AS$8:AV8)+IF(AV8="0","0",AV8)&gt;$AQ8,0,AV8)</f>
        <v>0</v>
      </c>
      <c r="AX8" s="145">
        <f>IF(SUM($AS$8:AW8)+IF(AW8="0","0",AW8)&gt;$AQ8,0,AW8)</f>
        <v>0</v>
      </c>
      <c r="AY8" s="145">
        <f>IF(SUM($AS$8:AX8)+IF(AX8="0","0",AX8)&gt;$AQ8,0,AX8)</f>
        <v>0</v>
      </c>
      <c r="AZ8" s="145">
        <f>IF(SUM($AS$8:AY8)+IF(AY8="0","0",AY8)&gt;$AQ8,0,AY8)</f>
        <v>0</v>
      </c>
      <c r="BA8" s="145">
        <f>IF(SUM($AS$8:AZ8)+IF(AZ8="0","0",AZ8)&gt;$AQ8,0,AZ8)</f>
        <v>0</v>
      </c>
      <c r="BB8" s="145">
        <f>IF(SUM($AS$8:BA8)+IF(BA8="0","0",BA8)&gt;$AQ8,0,BA8)</f>
        <v>0</v>
      </c>
      <c r="BC8" s="145">
        <f>IF(SUM($AS$8:BB8)+IF(BB8="0","0",BB8)&gt;$AQ8,0,BB8)</f>
        <v>0</v>
      </c>
      <c r="BD8" s="222">
        <f>IF(SUM($AS$8:BC8)+IF(BC8="0","0",BC8)&gt;$AQ8,0,BC8)</f>
        <v>0</v>
      </c>
      <c r="BE8" s="223">
        <f>IF(SUM($AS$8:BD8)+IF(BD8="0","0",BD8)&gt;$AQ8,0,BD8)</f>
        <v>0</v>
      </c>
      <c r="BF8" s="145">
        <f>IF(SUM($AS$8:BE8)+IF(BE8="0","0",BE8)&gt;$AQ8,0,BE8)</f>
        <v>0</v>
      </c>
      <c r="BG8" s="145">
        <f>IF(SUM($AS$8:BF8)+IF(BF8="0","0",BF8)&gt;$AQ8,0,BF8)</f>
        <v>0</v>
      </c>
      <c r="BH8" s="145">
        <f>IF(SUM($AS$8:BG8)+IF(BG8="0","0",BG8)&gt;$AQ8,0,BG8)</f>
        <v>0</v>
      </c>
      <c r="BI8" s="145">
        <f>IF(SUM($AS$8:BH8)+IF(BH8="0","0",BH8)&gt;$AQ8,0,BH8)</f>
        <v>0</v>
      </c>
      <c r="BJ8" s="145">
        <f>IF(SUM($AS$8:BI8)+IF(BI8="0","0",BI8)&gt;$AQ8,0,BI8)</f>
        <v>0</v>
      </c>
      <c r="BK8" s="145">
        <f>IF(SUM($AS$8:BJ8)+IF(BJ8="0","0",BJ8)&gt;$AQ8,0,BJ8)</f>
        <v>0</v>
      </c>
      <c r="BL8" s="145">
        <f>IF(SUM($AS$8:BK8)+IF(BK8="0","0",BK8)&gt;$AQ8,0,BK8)</f>
        <v>0</v>
      </c>
      <c r="BM8" s="145">
        <f>IF(SUM($AS$8:BL8)+IF(BL8="0","0",BL8)&gt;$AQ8,0,BL8)</f>
        <v>0</v>
      </c>
      <c r="BN8" s="145">
        <f>IF(SUM($AS$8:BM8)+IF(BM8="0","0",BM8)&gt;$AQ8,0,BM8)</f>
        <v>0</v>
      </c>
      <c r="BO8" s="145">
        <f>IF(SUM($AS$8:BN8)+IF(BN8="0","0",BN8)&gt;$AQ8,0,BN8)</f>
        <v>0</v>
      </c>
      <c r="BP8" s="222">
        <f>IF(SUM($AS$8:BO8)+IF(BO8="0","0",BO8)&gt;$AQ8,0,BO8)</f>
        <v>0</v>
      </c>
      <c r="BQ8" s="223">
        <f>IF(SUM($AS$8:BP8)+IF(BP8="0","0",BP8)&gt;$AQ8,0,BP8)</f>
        <v>0</v>
      </c>
      <c r="BR8" s="145">
        <f>IF(SUM($AS$8:BQ8)+IF(BQ8="0","0",BQ8)&gt;$AQ8,0,BQ8)</f>
        <v>0</v>
      </c>
      <c r="BS8" s="145">
        <f>IF(SUM($AS$8:BR8)+IF(BR8="0","0",BR8)&gt;$AQ8,0,BR8)</f>
        <v>0</v>
      </c>
      <c r="BT8" s="145">
        <f>IF(SUM($AS$8:BS8)+IF(BS8="0","0",BS8)&gt;$AQ8,0,BS8)</f>
        <v>0</v>
      </c>
      <c r="BU8" s="145">
        <f>IF(SUM($AS$8:BT8)+IF(BT8="0","0",BT8)&gt;$AQ8,0,BT8)</f>
        <v>0</v>
      </c>
      <c r="BV8" s="145">
        <f>IF(SUM($AS$8:BU8)+IF(BU8="0","0",BU8)&gt;$AQ8,0,BU8)</f>
        <v>0</v>
      </c>
      <c r="BW8" s="145">
        <f>IF(SUM($AS$8:BV8)+IF(BV8="0","0",BV8)&gt;$AQ8,0,BV8)</f>
        <v>0</v>
      </c>
      <c r="BX8" s="145">
        <f>IF(SUM($AS$8:BW8)+IF(BW8="0","0",BW8)&gt;$AQ8,0,BW8)</f>
        <v>0</v>
      </c>
      <c r="BY8" s="145">
        <f>IF(SUM($AS$8:BX8)+IF(BX8="0","0",BX8)&gt;$AQ8,0,BX8)</f>
        <v>0</v>
      </c>
      <c r="BZ8" s="145">
        <f>IF(SUM($AS$8:BY8)+IF(BY8="0","0",BY8)&gt;$AQ8,0,BY8)</f>
        <v>0</v>
      </c>
      <c r="CA8" s="145">
        <f>IF(SUM($AS$8:BZ8)+IF(BZ8="0","0",BZ8)&gt;$AQ8,0,BZ8)</f>
        <v>0</v>
      </c>
      <c r="CB8" s="222">
        <f>IF(SUM($AS$8:CA8)+IF(CA8="0","0",CA8)&gt;$AQ8,0,CA8)</f>
        <v>0</v>
      </c>
      <c r="CC8" s="223">
        <f>IF(SUM($AS$8:CB8)+IF(CB8="0","0",CB8)&gt;$AQ8,0,CB8)</f>
        <v>0</v>
      </c>
      <c r="CD8" s="145">
        <f>IF(SUM($AS$8:CC8)+IF(CC8="0","0",CC8)&gt;$AQ8,0,CC8)</f>
        <v>0</v>
      </c>
      <c r="CE8" s="145">
        <f>IF(SUM($AS$8:CD8)+IF(CD8="0","0",CD8)&gt;$AQ8,0,CD8)</f>
        <v>0</v>
      </c>
      <c r="CF8" s="145">
        <f>IF(SUM($AS$8:CE8)+IF(CE8="0","0",CE8)&gt;$AQ8,0,CE8)</f>
        <v>0</v>
      </c>
      <c r="CG8" s="145">
        <f>IF(SUM($AS$8:CF8)+IF(CF8="0","0",CF8)&gt;$AQ8,0,CF8)</f>
        <v>0</v>
      </c>
      <c r="CH8" s="145">
        <f>IF(SUM($AS$8:CG8)+IF(CG8="0","0",CG8)&gt;$AQ8,0,CG8)</f>
        <v>0</v>
      </c>
      <c r="CI8" s="145">
        <f>IF(SUM($AS$8:CH8)+IF(CH8="0","0",CH8)&gt;$AQ8,0,CH8)</f>
        <v>0</v>
      </c>
      <c r="CJ8" s="145">
        <f>IF(SUM($AS$8:CI8)+IF(CI8="0","0",CI8)&gt;$AQ8,0,CI8)</f>
        <v>0</v>
      </c>
      <c r="CK8" s="145">
        <f>IF(SUM($AS$8:CJ8)+IF(CJ8="0","0",CJ8)&gt;$AQ8,0,CJ8)</f>
        <v>0</v>
      </c>
      <c r="CL8" s="145">
        <f>IF(SUM($AS$8:CK8)+IF(CK8="0","0",CK8)&gt;$AQ8,0,CK8)</f>
        <v>0</v>
      </c>
      <c r="CM8" s="145">
        <f>IF(SUM($AS$8:CL8)+IF(CL8="0","0",CL8)&gt;$AQ8,0,CL8)</f>
        <v>0</v>
      </c>
      <c r="CN8" s="224">
        <f>IF(SUM($AS$8:CM8)+IF(CM8="0","0",CM8)&gt;$AQ8,0,CM8)</f>
        <v>0</v>
      </c>
    </row>
    <row r="9" spans="1:158">
      <c r="A9" s="142">
        <v>4</v>
      </c>
      <c r="B9" s="68" t="s">
        <v>188</v>
      </c>
      <c r="C9" s="68" t="s">
        <v>197</v>
      </c>
      <c r="D9" s="143"/>
      <c r="E9" s="83">
        <v>44516</v>
      </c>
      <c r="F9" s="83"/>
      <c r="G9" s="79">
        <v>420952.38</v>
      </c>
      <c r="H9" s="79">
        <f t="shared" si="2"/>
        <v>126285.71399999999</v>
      </c>
      <c r="I9" s="79">
        <f t="shared" si="8"/>
        <v>294666.66599999997</v>
      </c>
      <c r="J9" s="217">
        <v>420952.38</v>
      </c>
      <c r="K9" s="79"/>
      <c r="L9" s="79"/>
      <c r="M9" s="79">
        <f t="shared" si="3"/>
        <v>420952.38</v>
      </c>
      <c r="N9" s="79">
        <f t="shared" si="9"/>
        <v>84190.47600000001</v>
      </c>
      <c r="O9" s="79">
        <f t="shared" si="4"/>
        <v>7015.8730000000005</v>
      </c>
      <c r="P9" s="79">
        <v>176799.9276</v>
      </c>
      <c r="Q9" s="79">
        <v>43267.834761643899</v>
      </c>
      <c r="R9" s="79">
        <v>53551.293638356146</v>
      </c>
      <c r="S9" s="79">
        <v>8113.8323694479013</v>
      </c>
      <c r="T9" s="79">
        <f>ROUND($O$9,2)</f>
        <v>7015.87</v>
      </c>
      <c r="U9" s="79">
        <f>ROUND($O$9,2)</f>
        <v>7015.87</v>
      </c>
      <c r="V9" s="79">
        <f>ROUND($O$9,2)</f>
        <v>7015.87</v>
      </c>
      <c r="W9" s="79">
        <f>ROUND($O$9,2)</f>
        <v>7015.87</v>
      </c>
      <c r="X9" s="79">
        <v>8113.8323694479013</v>
      </c>
      <c r="Y9" s="79">
        <v>5492.7219335824057</v>
      </c>
      <c r="Z9" s="218">
        <f t="shared" si="5"/>
        <v>8113.8323694479013</v>
      </c>
      <c r="AA9" s="219">
        <f t="shared" si="5"/>
        <v>5492.7219335824057</v>
      </c>
      <c r="AB9" s="219">
        <f t="shared" si="5"/>
        <v>8113.8323694479013</v>
      </c>
      <c r="AC9" s="219">
        <f t="shared" si="5"/>
        <v>5492.7219335824057</v>
      </c>
      <c r="AD9" s="219">
        <f t="shared" si="5"/>
        <v>8113.8323694479013</v>
      </c>
      <c r="AE9" s="219">
        <f t="shared" si="5"/>
        <v>5492.7219335824057</v>
      </c>
      <c r="AF9" s="219">
        <f t="shared" si="5"/>
        <v>8113.8323694479013</v>
      </c>
      <c r="AG9" s="219">
        <v>5492.72</v>
      </c>
      <c r="AH9" s="219">
        <v>8113.8323694479013</v>
      </c>
      <c r="AI9" s="154">
        <v>5492.72</v>
      </c>
      <c r="AJ9" s="220">
        <v>4868.3</v>
      </c>
      <c r="AK9" s="220">
        <v>3295.63</v>
      </c>
      <c r="AL9" s="220">
        <v>0</v>
      </c>
      <c r="AM9" s="220">
        <v>0</v>
      </c>
      <c r="AN9" s="80">
        <f t="shared" si="10"/>
        <v>117866.73195101705</v>
      </c>
      <c r="AO9" s="80"/>
      <c r="AP9" s="144">
        <f t="shared" si="6"/>
        <v>294666.65955101704</v>
      </c>
      <c r="AQ9" s="144">
        <f t="shared" si="1"/>
        <v>126285.72044898296</v>
      </c>
      <c r="AR9" s="11"/>
      <c r="AS9" s="221">
        <f>IF(AQ9&gt;H9,(AL9+AM9),0)</f>
        <v>0</v>
      </c>
      <c r="AT9" s="145">
        <f t="shared" si="11"/>
        <v>0</v>
      </c>
      <c r="AU9" s="145">
        <f>IF(SUM($AS$9:AT9)+IF(AT9="0","0",AT9)&gt;$AQ9,0,AT9)</f>
        <v>0</v>
      </c>
      <c r="AV9" s="145">
        <f>IF(SUM($AS$9:AU9)+IF(AU9="0","0",AU9)&gt;$AQ9,0,AU9)</f>
        <v>0</v>
      </c>
      <c r="AW9" s="145">
        <f>IF(SUM($AS$9:AV9)+IF(AV9="0","0",AV9)&gt;$AQ9,0,AV9)</f>
        <v>0</v>
      </c>
      <c r="AX9" s="145">
        <f>IF(SUM($AS$9:AW9)+IF(AW9="0","0",AW9)&gt;$AQ9,0,AW9)</f>
        <v>0</v>
      </c>
      <c r="AY9" s="145">
        <f>IF(SUM($AS$9:AX9)+IF(AX9="0","0",AX9)&gt;$AQ9,0,AX9)</f>
        <v>0</v>
      </c>
      <c r="AZ9" s="145">
        <f>IF(SUM($AS$9:AY9)+IF(AY9="0","0",AY9)&gt;$AQ9,0,AY9)</f>
        <v>0</v>
      </c>
      <c r="BA9" s="145">
        <f>IF(SUM($AS$9:AZ9)+IF(AZ9="0","0",AZ9)&gt;$AQ9,0,AZ9)</f>
        <v>0</v>
      </c>
      <c r="BB9" s="145">
        <f>IF(SUM($AS$9:BA9)+IF(BA9="0","0",BA9)&gt;$AQ9,0,BA9)</f>
        <v>0</v>
      </c>
      <c r="BC9" s="145">
        <f>IF(SUM($AS$9:BB9)+IF(BB9="0","0",BB9)&gt;$AQ9,0,BB9)</f>
        <v>0</v>
      </c>
      <c r="BD9" s="222">
        <f>IF(SUM($AS$9:BC9)+IF(BC9="0","0",BC9)&gt;$AQ9,0,BC9)</f>
        <v>0</v>
      </c>
      <c r="BE9" s="223">
        <f>IF(SUM($AS$9:BD9)+IF(BD9="0","0",BD9)&gt;$AQ9,0,BD9)</f>
        <v>0</v>
      </c>
      <c r="BF9" s="145">
        <f>IF(SUM($AS$9:BE9)+IF(BE9="0","0",BE9)&gt;$AQ9,0,BE9)</f>
        <v>0</v>
      </c>
      <c r="BG9" s="145">
        <f>IF(SUM($AS$9:BF9)+IF(BF9="0","0",BF9)&gt;$AQ9,0,BF9)</f>
        <v>0</v>
      </c>
      <c r="BH9" s="145">
        <f>IF(SUM($AS$9:BG9)+IF(BG9="0","0",BG9)&gt;$AQ9,0,BG9)</f>
        <v>0</v>
      </c>
      <c r="BI9" s="145">
        <f>IF(SUM($AS$9:BH9)+IF(BH9="0","0",BH9)&gt;$AQ9,0,BH9)</f>
        <v>0</v>
      </c>
      <c r="BJ9" s="145">
        <f>IF(SUM($AS$9:BI9)+IF(BI9="0","0",BI9)&gt;$AQ9,0,BI9)</f>
        <v>0</v>
      </c>
      <c r="BK9" s="145">
        <f>IF(SUM($AS$9:BJ9)+IF(BJ9="0","0",BJ9)&gt;$AQ9,0,BJ9)</f>
        <v>0</v>
      </c>
      <c r="BL9" s="145">
        <f>IF(SUM($AS$9:BK9)+IF(BK9="0","0",BK9)&gt;$AQ9,0,BK9)</f>
        <v>0</v>
      </c>
      <c r="BM9" s="145">
        <f>IF(SUM($AS$9:BL9)+IF(BL9="0","0",BL9)&gt;$AQ9,0,BL9)</f>
        <v>0</v>
      </c>
      <c r="BN9" s="145">
        <f>IF(SUM($AS$9:BM9)+IF(BM9="0","0",BM9)&gt;$AQ9,0,BM9)</f>
        <v>0</v>
      </c>
      <c r="BO9" s="145">
        <f>IF(SUM($AS$9:BN9)+IF(BN9="0","0",BN9)&gt;$AQ9,0,BN9)</f>
        <v>0</v>
      </c>
      <c r="BP9" s="222">
        <f>IF(SUM($AS$9:BO9)+IF(BO9="0","0",BO9)&gt;$AQ9,0,BO9)</f>
        <v>0</v>
      </c>
      <c r="BQ9" s="223">
        <f>IF(SUM($AS$9:BP9)+IF(BP9="0","0",BP9)&gt;$AQ9,0,BP9)</f>
        <v>0</v>
      </c>
      <c r="BR9" s="145">
        <f>IF(SUM($AS$9:BQ9)+IF(BQ9="0","0",BQ9)&gt;$AQ9,0,BQ9)</f>
        <v>0</v>
      </c>
      <c r="BS9" s="145">
        <f>IF(SUM($AS$9:BR9)+IF(BR9="0","0",BR9)&gt;$AQ9,0,BR9)</f>
        <v>0</v>
      </c>
      <c r="BT9" s="145">
        <f>IF(SUM($AS$9:BS9)+IF(BS9="0","0",BS9)&gt;$AQ9,0,BS9)</f>
        <v>0</v>
      </c>
      <c r="BU9" s="145">
        <f>IF(SUM($AS$9:BT9)+IF(BT9="0","0",BT9)&gt;$AQ9,0,BT9)</f>
        <v>0</v>
      </c>
      <c r="BV9" s="145">
        <f>IF(SUM($AS$9:BU9)+IF(BU9="0","0",BU9)&gt;$AQ9,0,BU9)</f>
        <v>0</v>
      </c>
      <c r="BW9" s="145">
        <f>IF(SUM($AS$9:BV9)+IF(BV9="0","0",BV9)&gt;$AQ9,0,BV9)</f>
        <v>0</v>
      </c>
      <c r="BX9" s="145">
        <f>IF(SUM($AS$9:BW9)+IF(BW9="0","0",BW9)&gt;$AQ9,0,BW9)</f>
        <v>0</v>
      </c>
      <c r="BY9" s="145">
        <f>IF(SUM($AS$9:BX9)+IF(BX9="0","0",BX9)&gt;$AQ9,0,BX9)</f>
        <v>0</v>
      </c>
      <c r="BZ9" s="145">
        <f>IF(SUM($AS$9:BY9)+IF(BY9="0","0",BY9)&gt;$AQ9,0,BY9)</f>
        <v>0</v>
      </c>
      <c r="CA9" s="145">
        <f>IF(SUM($AS$9:BZ9)+IF(BZ9="0","0",BZ9)&gt;$AQ9,0,BZ9)</f>
        <v>0</v>
      </c>
      <c r="CB9" s="222">
        <f>IF(SUM($AS$9:CA9)+IF(CA9="0","0",CA9)&gt;$AQ9,0,CA9)</f>
        <v>0</v>
      </c>
      <c r="CC9" s="223">
        <f>IF(SUM($AS$9:CB9)+IF(CB9="0","0",CB9)&gt;$AQ9,0,CB9)</f>
        <v>0</v>
      </c>
      <c r="CD9" s="145">
        <f>IF(SUM($AS$9:CC9)+IF(CC9="0","0",CC9)&gt;$AQ9,0,CC9)</f>
        <v>0</v>
      </c>
      <c r="CE9" s="145">
        <f>IF(SUM($AS$9:CD9)+IF(CD9="0","0",CD9)&gt;$AQ9,0,CD9)</f>
        <v>0</v>
      </c>
      <c r="CF9" s="145">
        <f>IF(SUM($AS$9:CE9)+IF(CE9="0","0",CE9)&gt;$AQ9,0,CE9)</f>
        <v>0</v>
      </c>
      <c r="CG9" s="145">
        <f>IF(SUM($AS$9:CF9)+IF(CF9="0","0",CF9)&gt;$AQ9,0,CF9)</f>
        <v>0</v>
      </c>
      <c r="CH9" s="145">
        <f>IF(SUM($AS$9:CG9)+IF(CG9="0","0",CG9)&gt;$AQ9,0,CG9)</f>
        <v>0</v>
      </c>
      <c r="CI9" s="145">
        <f>IF(SUM($AS$9:CH9)+IF(CH9="0","0",CH9)&gt;$AQ9,0,CH9)</f>
        <v>0</v>
      </c>
      <c r="CJ9" s="145">
        <f>IF(SUM($AS$9:CI9)+IF(CI9="0","0",CI9)&gt;$AQ9,0,CI9)</f>
        <v>0</v>
      </c>
      <c r="CK9" s="145">
        <f>IF(SUM($AS$9:CJ9)+IF(CJ9="0","0",CJ9)&gt;$AQ9,0,CJ9)</f>
        <v>0</v>
      </c>
      <c r="CL9" s="145">
        <f>IF(SUM($AS$9:CK9)+IF(CK9="0","0",CK9)&gt;$AQ9,0,CK9)</f>
        <v>0</v>
      </c>
      <c r="CM9" s="145">
        <f>IF(SUM($AS$9:CL9)+IF(CL9="0","0",CL9)&gt;$AQ9,0,CL9)</f>
        <v>0</v>
      </c>
      <c r="CN9" s="224">
        <f>IF(SUM($AS$9:CM9)+IF(CM9="0","0",CM9)&gt;$AQ9,0,CM9)</f>
        <v>0</v>
      </c>
    </row>
    <row r="10" spans="1:158">
      <c r="A10" s="142">
        <v>5</v>
      </c>
      <c r="B10" s="68" t="s">
        <v>201</v>
      </c>
      <c r="C10" s="68" t="s">
        <v>202</v>
      </c>
      <c r="D10" s="143"/>
      <c r="E10" s="83">
        <v>44481</v>
      </c>
      <c r="F10" s="83"/>
      <c r="G10" s="79">
        <v>196500</v>
      </c>
      <c r="H10" s="79">
        <f t="shared" si="2"/>
        <v>58950</v>
      </c>
      <c r="I10" s="79">
        <f t="shared" si="8"/>
        <v>137550</v>
      </c>
      <c r="J10" s="217">
        <v>196500</v>
      </c>
      <c r="K10" s="79"/>
      <c r="L10" s="79"/>
      <c r="M10" s="79">
        <f t="shared" si="3"/>
        <v>196500</v>
      </c>
      <c r="N10" s="79">
        <f t="shared" si="9"/>
        <v>39300</v>
      </c>
      <c r="O10" s="79">
        <f t="shared" si="4"/>
        <v>3275</v>
      </c>
      <c r="P10" s="79">
        <v>87157.258064516122</v>
      </c>
      <c r="Q10" s="79">
        <v>19966.646045072921</v>
      </c>
      <c r="R10" s="79">
        <v>20601.095890410958</v>
      </c>
      <c r="S10" s="79">
        <v>3791.6127405664338</v>
      </c>
      <c r="T10" s="79">
        <f>ROUND($O$10,2)</f>
        <v>3275</v>
      </c>
      <c r="U10" s="79">
        <f>ROUND($O$10,2)</f>
        <v>3275</v>
      </c>
      <c r="V10" s="79">
        <f>ROUND($O$10,2)</f>
        <v>3275</v>
      </c>
      <c r="W10" s="79">
        <f>ROUND($O$10,2)</f>
        <v>3275</v>
      </c>
      <c r="X10" s="79">
        <v>3791.6127405664338</v>
      </c>
      <c r="Y10" s="79">
        <v>3072.0820941851998</v>
      </c>
      <c r="Z10" s="218">
        <f t="shared" si="5"/>
        <v>3791.6127405664338</v>
      </c>
      <c r="AA10" s="219">
        <f t="shared" si="5"/>
        <v>3072.0820941851998</v>
      </c>
      <c r="AB10" s="219">
        <f t="shared" si="5"/>
        <v>3791.6127405664338</v>
      </c>
      <c r="AC10" s="219">
        <f t="shared" si="5"/>
        <v>3072.0820941851998</v>
      </c>
      <c r="AD10" s="219">
        <f t="shared" si="5"/>
        <v>3791.6127405664338</v>
      </c>
      <c r="AE10" s="219">
        <f t="shared" si="5"/>
        <v>3072.0820941851998</v>
      </c>
      <c r="AF10" s="219">
        <f t="shared" si="5"/>
        <v>3791.6127405664338</v>
      </c>
      <c r="AG10" s="219">
        <v>3072.08</v>
      </c>
      <c r="AH10" s="219">
        <v>3791.6127405664338</v>
      </c>
      <c r="AI10" s="154">
        <v>1331.24</v>
      </c>
      <c r="AJ10" s="220">
        <v>-2148.58</v>
      </c>
      <c r="AK10" s="220">
        <v>0</v>
      </c>
      <c r="AL10" s="220">
        <v>0</v>
      </c>
      <c r="AM10" s="220">
        <v>0</v>
      </c>
      <c r="AN10" s="80">
        <f t="shared" si="10"/>
        <v>50392.744820139393</v>
      </c>
      <c r="AO10" s="80"/>
      <c r="AP10" s="144">
        <f t="shared" si="6"/>
        <v>137550.00288465552</v>
      </c>
      <c r="AQ10" s="144">
        <f t="shared" si="1"/>
        <v>58949.997115344479</v>
      </c>
      <c r="AR10" s="11"/>
      <c r="AS10" s="221">
        <f>IF(AQ10&gt;H10,(AL10+AM10),0)</f>
        <v>0</v>
      </c>
      <c r="AT10" s="145">
        <f t="shared" si="11"/>
        <v>0</v>
      </c>
      <c r="AU10" s="145">
        <f>IF(SUM($AS$10:AT10)+IF(AT10="0","0",AT10)&gt;$AQ10,0,AT10)</f>
        <v>0</v>
      </c>
      <c r="AV10" s="145">
        <f>IF(SUM($AS$10:AU10)+IF(AU10="0","0",AU10)&gt;$AQ10,0,AU10)</f>
        <v>0</v>
      </c>
      <c r="AW10" s="145">
        <f>IF(SUM($AS$10:AV10)+IF(AV10="0","0",AV10)&gt;$AQ10,0,AV10)</f>
        <v>0</v>
      </c>
      <c r="AX10" s="145">
        <f>IF(SUM($AS$10:AW10)+IF(AW10="0","0",AW10)&gt;$AQ10,0,AW10)</f>
        <v>0</v>
      </c>
      <c r="AY10" s="145">
        <f>IF(SUM($AS$10:AX10)+IF(AX10="0","0",AX10)&gt;$AQ10,0,AX10)</f>
        <v>0</v>
      </c>
      <c r="AZ10" s="145">
        <f>IF(SUM($AS$10:AY10)+IF(AY10="0","0",AY10)&gt;$AQ10,0,AY10)</f>
        <v>0</v>
      </c>
      <c r="BA10" s="145">
        <f>IF(SUM($AS$10:AZ10)+IF(AZ10="0","0",AZ10)&gt;$AQ10,0,AZ10)</f>
        <v>0</v>
      </c>
      <c r="BB10" s="145">
        <f>IF(SUM($AS$10:BA10)+IF(BA10="0","0",BA10)&gt;$AQ10,0,BA10)</f>
        <v>0</v>
      </c>
      <c r="BC10" s="145">
        <f>IF(SUM($AS$10:BB10)+IF(BB10="0","0",BB10)&gt;$AQ10,0,BB10)</f>
        <v>0</v>
      </c>
      <c r="BD10" s="222">
        <f>IF(SUM($AS$10:BC10)+IF(BC10="0","0",BC10)&gt;$AQ10,0,BC10)</f>
        <v>0</v>
      </c>
      <c r="BE10" s="223">
        <f>IF(SUM($AS$10:BD10)+IF(BD10="0","0",BD10)&gt;$AQ10,0,BD10)</f>
        <v>0</v>
      </c>
      <c r="BF10" s="145">
        <f>IF(SUM($AS$10:BE10)+IF(BE10="0","0",BE10)&gt;$AQ10,0,BE10)</f>
        <v>0</v>
      </c>
      <c r="BG10" s="145">
        <f>IF(SUM($AS$10:BF10)+IF(BF10="0","0",BF10)&gt;$AQ10,0,BF10)</f>
        <v>0</v>
      </c>
      <c r="BH10" s="145">
        <f>IF(SUM($AS$10:BG10)+IF(BG10="0","0",BG10)&gt;$AQ10,0,BG10)</f>
        <v>0</v>
      </c>
      <c r="BI10" s="145">
        <f>IF(SUM($AS$10:BH10)+IF(BH10="0","0",BH10)&gt;$AQ10,0,BH10)</f>
        <v>0</v>
      </c>
      <c r="BJ10" s="145">
        <f>IF(SUM($AS$10:BI10)+IF(BI10="0","0",BI10)&gt;$AQ10,0,BI10)</f>
        <v>0</v>
      </c>
      <c r="BK10" s="145">
        <f>IF(SUM($AS$10:BJ10)+IF(BJ10="0","0",BJ10)&gt;$AQ10,0,BJ10)</f>
        <v>0</v>
      </c>
      <c r="BL10" s="145">
        <f>IF(SUM($AS$10:BK10)+IF(BK10="0","0",BK10)&gt;$AQ10,0,BK10)</f>
        <v>0</v>
      </c>
      <c r="BM10" s="145">
        <f>IF(SUM($AS$10:BL10)+IF(BL10="0","0",BL10)&gt;$AQ10,0,BL10)</f>
        <v>0</v>
      </c>
      <c r="BN10" s="145">
        <f>IF(SUM($AS$10:BM10)+IF(BM10="0","0",BM10)&gt;$AQ10,0,BM10)</f>
        <v>0</v>
      </c>
      <c r="BO10" s="145">
        <f>IF(SUM($AS$10:BN10)+IF(BN10="0","0",BN10)&gt;$AQ10,0,BN10)</f>
        <v>0</v>
      </c>
      <c r="BP10" s="222">
        <f>IF(SUM($AS$10:BO10)+IF(BO10="0","0",BO10)&gt;$AQ10,0,BO10)</f>
        <v>0</v>
      </c>
      <c r="BQ10" s="223">
        <f>IF(SUM($AS$10:BP10)+IF(BP10="0","0",BP10)&gt;$AQ10,0,BP10)</f>
        <v>0</v>
      </c>
      <c r="BR10" s="145">
        <f>IF(SUM($AS$10:BQ10)+IF(BQ10="0","0",BQ10)&gt;$AQ10,0,BQ10)</f>
        <v>0</v>
      </c>
      <c r="BS10" s="145">
        <f>IF(SUM($AS$10:BR10)+IF(BR10="0","0",BR10)&gt;$AQ10,0,BR10)</f>
        <v>0</v>
      </c>
      <c r="BT10" s="145">
        <f>IF(SUM($AS$10:BS10)+IF(BS10="0","0",BS10)&gt;$AQ10,0,BS10)</f>
        <v>0</v>
      </c>
      <c r="BU10" s="145">
        <f>IF(SUM($AS$10:BT10)+IF(BT10="0","0",BT10)&gt;$AQ10,0,BT10)</f>
        <v>0</v>
      </c>
      <c r="BV10" s="145">
        <f>IF(SUM($AS$10:BU10)+IF(BU10="0","0",BU10)&gt;$AQ10,0,BU10)</f>
        <v>0</v>
      </c>
      <c r="BW10" s="145">
        <f>IF(SUM($AS$10:BV10)+IF(BV10="0","0",BV10)&gt;$AQ10,0,BV10)</f>
        <v>0</v>
      </c>
      <c r="BX10" s="145">
        <f>IF(SUM($AS$10:BW10)+IF(BW10="0","0",BW10)&gt;$AQ10,0,BW10)</f>
        <v>0</v>
      </c>
      <c r="BY10" s="145">
        <f>IF(SUM($AS$10:BX10)+IF(BX10="0","0",BX10)&gt;$AQ10,0,BX10)</f>
        <v>0</v>
      </c>
      <c r="BZ10" s="145">
        <f>IF(SUM($AS$10:BY10)+IF(BY10="0","0",BY10)&gt;$AQ10,0,BY10)</f>
        <v>0</v>
      </c>
      <c r="CA10" s="145">
        <f>IF(SUM($AS$10:BZ10)+IF(BZ10="0","0",BZ10)&gt;$AQ10,0,BZ10)</f>
        <v>0</v>
      </c>
      <c r="CB10" s="222">
        <f>IF(SUM($AS$10:CA10)+IF(CA10="0","0",CA10)&gt;$AQ10,0,CA10)</f>
        <v>0</v>
      </c>
      <c r="CC10" s="223">
        <f>IF(SUM($AS$10:CB10)+IF(CB10="0","0",CB10)&gt;$AQ10,0,CB10)</f>
        <v>0</v>
      </c>
      <c r="CD10" s="145">
        <f>IF(SUM($AS$10:CC10)+IF(CC10="0","0",CC10)&gt;$AQ10,0,CC10)</f>
        <v>0</v>
      </c>
      <c r="CE10" s="145">
        <f>IF(SUM($AS$10:CD10)+IF(CD10="0","0",CD10)&gt;$AQ10,0,CD10)</f>
        <v>0</v>
      </c>
      <c r="CF10" s="145">
        <f>IF(SUM($AS$10:CE10)+IF(CE10="0","0",CE10)&gt;$AQ10,0,CE10)</f>
        <v>0</v>
      </c>
      <c r="CG10" s="145">
        <f>IF(SUM($AS$10:CF10)+IF(CF10="0","0",CF10)&gt;$AQ10,0,CF10)</f>
        <v>0</v>
      </c>
      <c r="CH10" s="145">
        <f>IF(SUM($AS$10:CG10)+IF(CG10="0","0",CG10)&gt;$AQ10,0,CG10)</f>
        <v>0</v>
      </c>
      <c r="CI10" s="145">
        <f>IF(SUM($AS$10:CH10)+IF(CH10="0","0",CH10)&gt;$AQ10,0,CH10)</f>
        <v>0</v>
      </c>
      <c r="CJ10" s="145">
        <f>IF(SUM($AS$10:CI10)+IF(CI10="0","0",CI10)&gt;$AQ10,0,CI10)</f>
        <v>0</v>
      </c>
      <c r="CK10" s="145">
        <f>IF(SUM($AS$10:CJ10)+IF(CJ10="0","0",CJ10)&gt;$AQ10,0,CJ10)</f>
        <v>0</v>
      </c>
      <c r="CL10" s="145">
        <f>IF(SUM($AS$10:CK10)+IF(CK10="0","0",CK10)&gt;$AQ10,0,CK10)</f>
        <v>0</v>
      </c>
      <c r="CM10" s="145">
        <f>IF(SUM($AS$10:CL10)+IF(CL10="0","0",CL10)&gt;$AQ10,0,CL10)</f>
        <v>0</v>
      </c>
      <c r="CN10" s="224">
        <f>IF(SUM($AS$10:CM10)+IF(CM10="0","0",CM10)&gt;$AQ10,0,CM10)</f>
        <v>0</v>
      </c>
    </row>
    <row r="11" spans="1:158">
      <c r="A11" s="142">
        <v>6</v>
      </c>
      <c r="B11" s="68" t="s">
        <v>206</v>
      </c>
      <c r="C11" s="68" t="s">
        <v>207</v>
      </c>
      <c r="D11" s="143"/>
      <c r="E11" s="83">
        <v>44521</v>
      </c>
      <c r="F11" s="83"/>
      <c r="G11" s="79">
        <v>523761.91</v>
      </c>
      <c r="H11" s="79">
        <f t="shared" si="2"/>
        <v>157128.57299999997</v>
      </c>
      <c r="I11" s="79">
        <f t="shared" si="8"/>
        <v>366633.33699999994</v>
      </c>
      <c r="J11" s="217">
        <v>523761.91</v>
      </c>
      <c r="K11" s="79"/>
      <c r="L11" s="79"/>
      <c r="M11" s="79">
        <f t="shared" si="3"/>
        <v>523761.91</v>
      </c>
      <c r="N11" s="79">
        <f>G11*20%</f>
        <v>104752.382</v>
      </c>
      <c r="O11" s="79">
        <f>N11/12</f>
        <v>8729.3651666666665</v>
      </c>
      <c r="P11" s="79">
        <v>220853.05471666664</v>
      </c>
      <c r="Q11" s="79">
        <v>51287.879362785432</v>
      </c>
      <c r="R11" s="79">
        <v>68304.292920547945</v>
      </c>
      <c r="S11" s="79">
        <v>10094.230480869155</v>
      </c>
      <c r="T11" s="79">
        <f>ROUND($O$11,2)</f>
        <v>8729.3700000000008</v>
      </c>
      <c r="U11" s="79">
        <f>ROUND($O$11,2)</f>
        <v>8729.3700000000008</v>
      </c>
      <c r="V11" s="79">
        <f>ROUND($O$11,2)</f>
        <v>8729.3700000000008</v>
      </c>
      <c r="W11" s="79">
        <f>ROUND($O$11,2)</f>
        <v>8729.3700000000008</v>
      </c>
      <c r="X11" s="79">
        <v>10094.230480869155</v>
      </c>
      <c r="Y11" s="79">
        <v>6289.4348811998143</v>
      </c>
      <c r="Z11" s="218">
        <f t="shared" si="5"/>
        <v>10094.230480869155</v>
      </c>
      <c r="AA11" s="219">
        <f t="shared" si="5"/>
        <v>6289.4348811998143</v>
      </c>
      <c r="AB11" s="219">
        <f t="shared" si="5"/>
        <v>10094.230480869155</v>
      </c>
      <c r="AC11" s="219">
        <f t="shared" si="5"/>
        <v>6289.4348811998143</v>
      </c>
      <c r="AD11" s="219">
        <f t="shared" si="5"/>
        <v>10094.230480869155</v>
      </c>
      <c r="AE11" s="219">
        <f t="shared" si="5"/>
        <v>6289.4348811998143</v>
      </c>
      <c r="AF11" s="219">
        <f t="shared" si="5"/>
        <v>10094.230480869155</v>
      </c>
      <c r="AG11" s="219">
        <v>6289.43</v>
      </c>
      <c r="AH11" s="219">
        <v>10094.230480869155</v>
      </c>
      <c r="AI11" s="154">
        <v>6289.43</v>
      </c>
      <c r="AJ11" s="220">
        <v>7738.91</v>
      </c>
      <c r="AK11" s="220">
        <v>4821.8999999999996</v>
      </c>
      <c r="AL11" s="220">
        <v>0</v>
      </c>
      <c r="AM11" s="220">
        <v>0</v>
      </c>
      <c r="AN11" s="80">
        <f t="shared" si="10"/>
        <v>145780.27241001421</v>
      </c>
      <c r="AO11" s="80"/>
      <c r="AP11" s="144">
        <f t="shared" si="6"/>
        <v>366633.32712668087</v>
      </c>
      <c r="AQ11" s="144">
        <f t="shared" si="1"/>
        <v>157128.5828733191</v>
      </c>
      <c r="AR11" s="11"/>
      <c r="AS11" s="221">
        <f t="shared" si="7"/>
        <v>0</v>
      </c>
      <c r="AT11" s="145">
        <f t="shared" si="11"/>
        <v>0</v>
      </c>
      <c r="AU11" s="145">
        <f>IF(SUM($AS$11:AT11)+IF(AT11="0","0",AT11)&gt;$AQ11,0,AT11)</f>
        <v>0</v>
      </c>
      <c r="AV11" s="145">
        <f>IF(SUM($AS$11:AU11)+IF(AU11="0","0",AU11)&gt;$AQ11,0,AU11)</f>
        <v>0</v>
      </c>
      <c r="AW11" s="145">
        <f>IF(SUM($AS$11:AV11)+IF(AV11="0","0",AV11)&gt;$AQ11,0,AV11)</f>
        <v>0</v>
      </c>
      <c r="AX11" s="145">
        <f>IF(SUM($AS$11:AW11)+IF(AW11="0","0",AW11)&gt;$AQ11,0,AW11)</f>
        <v>0</v>
      </c>
      <c r="AY11" s="145">
        <f>IF(SUM($AS$11:AX11)+IF(AX11="0","0",AX11)&gt;$AQ11,0,AX11)</f>
        <v>0</v>
      </c>
      <c r="AZ11" s="145">
        <f>IF(SUM($AS$11:AY11)+IF(AY11="0","0",AY11)&gt;$AQ11,0,AY11)</f>
        <v>0</v>
      </c>
      <c r="BA11" s="145">
        <f>IF(SUM($AS$11:AZ11)+IF(AZ11="0","0",AZ11)&gt;$AQ11,0,AZ11)</f>
        <v>0</v>
      </c>
      <c r="BB11" s="145">
        <f>IF(SUM($AS$11:BA11)+IF(BA11="0","0",BA11)&gt;$AQ11,0,BA11)</f>
        <v>0</v>
      </c>
      <c r="BC11" s="145">
        <f>IF(SUM($AS$11:BB11)+IF(BB11="0","0",BB11)&gt;$AQ11,0,BB11)</f>
        <v>0</v>
      </c>
      <c r="BD11" s="222">
        <f>IF(SUM($AS$11:BC11)+IF(BC11="0","0",BC11)&gt;$AQ11,0,BC11)</f>
        <v>0</v>
      </c>
      <c r="BE11" s="223">
        <f>IF(SUM($AS$11:BD11)+IF(BD11="0","0",BD11)&gt;$AQ11,0,BD11)</f>
        <v>0</v>
      </c>
      <c r="BF11" s="145">
        <f>IF(SUM($AS$11:BE11)+IF(BE11="0","0",BE11)&gt;$AQ11,0,BE11)</f>
        <v>0</v>
      </c>
      <c r="BG11" s="145">
        <f>IF(SUM($AS$11:BF11)+IF(BF11="0","0",BF11)&gt;$AQ11,0,BF11)</f>
        <v>0</v>
      </c>
      <c r="BH11" s="145">
        <f>IF(SUM($AS$11:BG11)+IF(BG11="0","0",BG11)&gt;$AQ11,0,BG11)</f>
        <v>0</v>
      </c>
      <c r="BI11" s="145">
        <f>IF(SUM($AS$11:BH11)+IF(BH11="0","0",BH11)&gt;$AQ11,0,BH11)</f>
        <v>0</v>
      </c>
      <c r="BJ11" s="145">
        <f>IF(SUM($AS$11:BI11)+IF(BI11="0","0",BI11)&gt;$AQ11,0,BI11)</f>
        <v>0</v>
      </c>
      <c r="BK11" s="145">
        <f>IF(SUM($AS$11:BJ11)+IF(BJ11="0","0",BJ11)&gt;$AQ11,0,BJ11)</f>
        <v>0</v>
      </c>
      <c r="BL11" s="145">
        <f>IF(SUM($AS$11:BK11)+IF(BK11="0","0",BK11)&gt;$AQ11,0,BK11)</f>
        <v>0</v>
      </c>
      <c r="BM11" s="145">
        <f>IF(SUM($AS$11:BL11)+IF(BL11="0","0",BL11)&gt;$AQ11,0,BL11)</f>
        <v>0</v>
      </c>
      <c r="BN11" s="145">
        <f>IF(SUM($AS$11:BM11)+IF(BM11="0","0",BM11)&gt;$AQ11,0,BM11)</f>
        <v>0</v>
      </c>
      <c r="BO11" s="145">
        <f>IF(SUM($AS$11:BN11)+IF(BN11="0","0",BN11)&gt;$AQ11,0,BN11)</f>
        <v>0</v>
      </c>
      <c r="BP11" s="222">
        <f>IF(SUM($AS$11:BO11)+IF(BO11="0","0",BO11)&gt;$AQ11,0,BO11)</f>
        <v>0</v>
      </c>
      <c r="BQ11" s="223">
        <f>IF(SUM($AS$11:BP11)+IF(BP11="0","0",BP11)&gt;$AQ11,0,BP11)</f>
        <v>0</v>
      </c>
      <c r="BR11" s="145">
        <f>IF(SUM($AS$11:BQ11)+IF(BQ11="0","0",BQ11)&gt;$AQ11,0,BQ11)</f>
        <v>0</v>
      </c>
      <c r="BS11" s="145">
        <f>IF(SUM($AS$11:BR11)+IF(BR11="0","0",BR11)&gt;$AQ11,0,BR11)</f>
        <v>0</v>
      </c>
      <c r="BT11" s="145">
        <f>IF(SUM($AS$11:BS11)+IF(BS11="0","0",BS11)&gt;$AQ11,0,BS11)</f>
        <v>0</v>
      </c>
      <c r="BU11" s="145">
        <f>IF(SUM($AS$11:BT11)+IF(BT11="0","0",BT11)&gt;$AQ11,0,BT11)</f>
        <v>0</v>
      </c>
      <c r="BV11" s="145">
        <f>IF(SUM($AS$11:BU11)+IF(BU11="0","0",BU11)&gt;$AQ11,0,BU11)</f>
        <v>0</v>
      </c>
      <c r="BW11" s="145">
        <f>IF(SUM($AS$11:BV11)+IF(BV11="0","0",BV11)&gt;$AQ11,0,BV11)</f>
        <v>0</v>
      </c>
      <c r="BX11" s="145">
        <f>IF(SUM($AS$11:BW11)+IF(BW11="0","0",BW11)&gt;$AQ11,0,BW11)</f>
        <v>0</v>
      </c>
      <c r="BY11" s="145">
        <f>IF(SUM($AS$11:BX11)+IF(BX11="0","0",BX11)&gt;$AQ11,0,BX11)</f>
        <v>0</v>
      </c>
      <c r="BZ11" s="145">
        <f>IF(SUM($AS$11:BY11)+IF(BY11="0","0",BY11)&gt;$AQ11,0,BY11)</f>
        <v>0</v>
      </c>
      <c r="CA11" s="145">
        <f>IF(SUM($AS$11:BZ11)+IF(BZ11="0","0",BZ11)&gt;$AQ11,0,BZ11)</f>
        <v>0</v>
      </c>
      <c r="CB11" s="222">
        <f>IF(SUM($AS$11:CA11)+IF(CA11="0","0",CA11)&gt;$AQ11,0,CA11)</f>
        <v>0</v>
      </c>
      <c r="CC11" s="223">
        <f>IF(SUM($AS$11:CB11)+IF(CB11="0","0",CB11)&gt;$AQ11,0,CB11)</f>
        <v>0</v>
      </c>
      <c r="CD11" s="145">
        <f>IF(SUM($AS$11:CC11)+IF(CC11="0","0",CC11)&gt;$AQ11,0,CC11)</f>
        <v>0</v>
      </c>
      <c r="CE11" s="145">
        <f>IF(SUM($AS$11:CD11)+IF(CD11="0","0",CD11)&gt;$AQ11,0,CD11)</f>
        <v>0</v>
      </c>
      <c r="CF11" s="145">
        <f>IF(SUM($AS$11:CE11)+IF(CE11="0","0",CE11)&gt;$AQ11,0,CE11)</f>
        <v>0</v>
      </c>
      <c r="CG11" s="145">
        <f>IF(SUM($AS$11:CF11)+IF(CF11="0","0",CF11)&gt;$AQ11,0,CF11)</f>
        <v>0</v>
      </c>
      <c r="CH11" s="145">
        <f>IF(SUM($AS$11:CG11)+IF(CG11="0","0",CG11)&gt;$AQ11,0,CG11)</f>
        <v>0</v>
      </c>
      <c r="CI11" s="145">
        <f>IF(SUM($AS$11:CH11)+IF(CH11="0","0",CH11)&gt;$AQ11,0,CH11)</f>
        <v>0</v>
      </c>
      <c r="CJ11" s="145">
        <f>IF(SUM($AS$11:CI11)+IF(CI11="0","0",CI11)&gt;$AQ11,0,CI11)</f>
        <v>0</v>
      </c>
      <c r="CK11" s="145">
        <f>IF(SUM($AS$11:CJ11)+IF(CJ11="0","0",CJ11)&gt;$AQ11,0,CJ11)</f>
        <v>0</v>
      </c>
      <c r="CL11" s="145">
        <f>IF(SUM($AS$11:CK11)+IF(CK11="0","0",CK11)&gt;$AQ11,0,CK11)</f>
        <v>0</v>
      </c>
      <c r="CM11" s="145">
        <f>IF(SUM($AS$11:CL11)+IF(CL11="0","0",CL11)&gt;$AQ11,0,CL11)</f>
        <v>0</v>
      </c>
      <c r="CN11" s="224">
        <f>IF(SUM($AS$11:CM11)+IF(CM11="0","0",CM11)&gt;$AQ11,0,CM11)</f>
        <v>0</v>
      </c>
    </row>
    <row r="12" spans="1:158" s="70" customFormat="1">
      <c r="A12" s="225">
        <v>7</v>
      </c>
      <c r="B12" s="226" t="s">
        <v>130</v>
      </c>
      <c r="C12" s="226" t="s">
        <v>210</v>
      </c>
      <c r="D12" s="227"/>
      <c r="E12" s="228">
        <v>44672</v>
      </c>
      <c r="F12" s="228"/>
      <c r="G12" s="229">
        <v>532380.94999999995</v>
      </c>
      <c r="H12" s="229">
        <f t="shared" si="2"/>
        <v>159714.28499999997</v>
      </c>
      <c r="I12" s="229">
        <f t="shared" si="8"/>
        <v>372666.66499999992</v>
      </c>
      <c r="J12" s="230">
        <v>532380.94999999995</v>
      </c>
      <c r="K12" s="229"/>
      <c r="L12" s="229"/>
      <c r="M12" s="229">
        <f t="shared" si="3"/>
        <v>532380.94999999995</v>
      </c>
      <c r="N12" s="229">
        <f t="shared" si="9"/>
        <v>106476.19</v>
      </c>
      <c r="O12" s="229">
        <f>ROUND(N12/12,2)</f>
        <v>8873.02</v>
      </c>
      <c r="P12" s="229">
        <v>177460.40000000002</v>
      </c>
      <c r="Q12" s="229">
        <v>47768.331872146111</v>
      </c>
      <c r="R12" s="229">
        <v>120818.87312785385</v>
      </c>
      <c r="S12" s="229">
        <v>10238.887553207953</v>
      </c>
      <c r="T12" s="229">
        <f>ROUND($O$12,2)</f>
        <v>8873.02</v>
      </c>
      <c r="U12" s="229">
        <f>ROUND($O$12,2)</f>
        <v>8873.02</v>
      </c>
      <c r="V12" s="229">
        <f>ROUND($O$12,2)</f>
        <v>8873.02</v>
      </c>
      <c r="W12" s="229">
        <f>ROUND($O$12,2)</f>
        <v>8873.02</v>
      </c>
      <c r="X12" s="229">
        <v>10238.887553207953</v>
      </c>
      <c r="Y12" s="229">
        <v>4861.9139840182615</v>
      </c>
      <c r="Z12" s="231">
        <f t="shared" si="5"/>
        <v>10238.887553207953</v>
      </c>
      <c r="AA12" s="232">
        <f t="shared" si="5"/>
        <v>4861.9139840182615</v>
      </c>
      <c r="AB12" s="232">
        <f t="shared" si="5"/>
        <v>10238.887553207953</v>
      </c>
      <c r="AC12" s="232">
        <f t="shared" si="5"/>
        <v>4861.9139840182615</v>
      </c>
      <c r="AD12" s="232">
        <f t="shared" si="5"/>
        <v>10238.887553207953</v>
      </c>
      <c r="AE12" s="232">
        <f t="shared" si="5"/>
        <v>4861.9139840182615</v>
      </c>
      <c r="AF12" s="232">
        <f t="shared" si="5"/>
        <v>10238.887553207953</v>
      </c>
      <c r="AG12" s="232">
        <v>4861.91</v>
      </c>
      <c r="AH12" s="232">
        <v>10238.887553207953</v>
      </c>
      <c r="AI12" s="233">
        <v>4861.91</v>
      </c>
      <c r="AJ12" s="234">
        <v>10238.89</v>
      </c>
      <c r="AK12" s="234">
        <v>4861.91</v>
      </c>
      <c r="AL12" s="234">
        <v>10238.89</v>
      </c>
      <c r="AM12" s="234">
        <v>4861.91</v>
      </c>
      <c r="AN12" s="235">
        <f t="shared" si="10"/>
        <v>156298.4812553208</v>
      </c>
      <c r="AO12" s="235"/>
      <c r="AP12" s="206">
        <f t="shared" si="6"/>
        <v>333758.88125532086</v>
      </c>
      <c r="AQ12" s="206">
        <f t="shared" si="1"/>
        <v>198622.0687446791</v>
      </c>
      <c r="AR12" s="236"/>
      <c r="AS12" s="237">
        <f>IF(AQ12&gt;H12,(AL12+AM12),0)</f>
        <v>15100.8</v>
      </c>
      <c r="AT12" s="238">
        <f>IF(AS12+IF(AS12="0","0",AS12)&gt;$AQ12,0,AS12)</f>
        <v>15100.8</v>
      </c>
      <c r="AU12" s="238">
        <f>IF(SUM($AS$12:AT12)+IF(AT12="0","0",AT12)&gt;$AQ12,0,AT12)</f>
        <v>15100.8</v>
      </c>
      <c r="AV12" s="238">
        <f>IF(SUM($AS$12:AU12)+IF(AU12="0","0",AU12)&gt;$AQ12,0,AU12)</f>
        <v>15100.8</v>
      </c>
      <c r="AW12" s="238">
        <f>IF(SUM($AS$12:AV12)+IF(AV12="0","0",AV12)&gt;$AQ12,0,AV12)</f>
        <v>15100.8</v>
      </c>
      <c r="AX12" s="238">
        <f>IF(SUM($AS$12:AW12)+IF(AW12="0","0",AW12)&gt;$AQ12,0,AW12)</f>
        <v>15100.8</v>
      </c>
      <c r="AY12" s="238">
        <f>IF(SUM($AS$12:AX12)+IF(AX12="0","0",AX12)&gt;$AQ12,0,AX12)</f>
        <v>15100.8</v>
      </c>
      <c r="AZ12" s="238">
        <f>IF(SUM($AS$12:AY12)+IF(AY12="0","0",AY12)&gt;$AQ12,0,AY12)</f>
        <v>15100.8</v>
      </c>
      <c r="BA12" s="238">
        <f>IF(SUM($AS$12:AZ12)+IF(AZ12="0","0",AZ12)&gt;$AQ12,0,AZ12)</f>
        <v>15100.8</v>
      </c>
      <c r="BB12" s="238">
        <f>IF(SUM($AS$12:BA12)+IF(BA12="0","0",BA12)&gt;$AQ12,0,BA12)</f>
        <v>15100.8</v>
      </c>
      <c r="BC12" s="238">
        <f>IF(SUM($AS$12:BB12)+IF(BB12="0","0",BB12)&gt;$AQ12,0,BB12)</f>
        <v>15100.8</v>
      </c>
      <c r="BD12" s="239">
        <f>IF(SUM($AS$12:BC12)+IF(BC12="0","0",BC12)&gt;$AQ12,0,BC12)</f>
        <v>15100.8</v>
      </c>
      <c r="BE12" s="237">
        <f>IF(SUM($AS$12:BD12)+IF(BD12="0","0",BD12)&gt;$AQ12,0,BD12)</f>
        <v>15100.8</v>
      </c>
      <c r="BF12" s="145">
        <f>IF(SUM($AS$12:BE12)+IF(BE12="0","0",BE12)&gt;$AQ12,0,BE12)</f>
        <v>0</v>
      </c>
      <c r="BG12" s="145">
        <f>IF(SUM($AS$12:BF12)+IF(BF12="0","0",BF12)&gt;$AQ12,0,BF12)</f>
        <v>0</v>
      </c>
      <c r="BH12" s="145">
        <f>IF(SUM($AS$12:BG12)+IF(BG12="0","0",BG12)&gt;$AQ12,0,BG12)</f>
        <v>0</v>
      </c>
      <c r="BI12" s="145">
        <f>IF(SUM($AS$12:BH12)+IF(BH12="0","0",BH12)&gt;$AQ12,0,BH12)</f>
        <v>0</v>
      </c>
      <c r="BJ12" s="145">
        <f>IF(SUM($AS$12:BI12)+IF(BI12="0","0",BI12)&gt;$AQ12,0,BI12)</f>
        <v>0</v>
      </c>
      <c r="BK12" s="145">
        <f>IF(SUM($AS$12:BJ12)+IF(BJ12="0","0",BJ12)&gt;$AQ12,0,BJ12)</f>
        <v>0</v>
      </c>
      <c r="BL12" s="145">
        <f>IF(SUM($AS$12:BK12)+IF(BK12="0","0",BK12)&gt;$AQ12,0,BK12)</f>
        <v>0</v>
      </c>
      <c r="BM12" s="145">
        <f>IF(SUM($AS$12:BL12)+IF(BL12="0","0",BL12)&gt;$AQ12,0,BL12)</f>
        <v>0</v>
      </c>
      <c r="BN12" s="145">
        <f>IF(SUM($AS$12:BM12)+IF(BM12="0","0",BM12)&gt;$AQ12,0,BM12)</f>
        <v>0</v>
      </c>
      <c r="BO12" s="145">
        <f>IF(SUM($AS$12:BN12)+IF(BN12="0","0",BN12)&gt;$AQ12,0,BN12)</f>
        <v>0</v>
      </c>
      <c r="BP12" s="222">
        <f>IF(SUM($AS$12:BO12)+IF(BO12="0","0",BO12)&gt;$AQ12,0,BO12)</f>
        <v>0</v>
      </c>
      <c r="BQ12" s="223">
        <f>IF(SUM($AS$12:BP12)+IF(BP12="0","0",BP12)&gt;$AQ12,0,BP12)</f>
        <v>0</v>
      </c>
      <c r="BR12" s="145">
        <f>IF(SUM($AS$12:BQ12)+IF(BQ12="0","0",BQ12)&gt;$AQ12,0,BQ12)</f>
        <v>0</v>
      </c>
      <c r="BS12" s="145">
        <f>IF(SUM($AS$12:BR12)+IF(BR12="0","0",BR12)&gt;$AQ12,0,BR12)</f>
        <v>0</v>
      </c>
      <c r="BT12" s="145">
        <f>IF(SUM($AS$12:BS12)+IF(BS12="0","0",BS12)&gt;$AQ12,0,BS12)</f>
        <v>0</v>
      </c>
      <c r="BU12" s="145">
        <f>IF(SUM($AS$12:BT12)+IF(BT12="0","0",BT12)&gt;$AQ12,0,BT12)</f>
        <v>0</v>
      </c>
      <c r="BV12" s="145">
        <f>IF(SUM($AS$12:BU12)+IF(BU12="0","0",BU12)&gt;$AQ12,0,BU12)</f>
        <v>0</v>
      </c>
      <c r="BW12" s="145">
        <f>IF(SUM($AS$12:BV12)+IF(BV12="0","0",BV12)&gt;$AQ12,0,BV12)</f>
        <v>0</v>
      </c>
      <c r="BX12" s="145">
        <f>IF(SUM($AS$12:BW12)+IF(BW12="0","0",BW12)&gt;$AQ12,0,BW12)</f>
        <v>0</v>
      </c>
      <c r="BY12" s="145">
        <f>IF(SUM($AS$12:BX12)+IF(BX12="0","0",BX12)&gt;$AQ12,0,BX12)</f>
        <v>0</v>
      </c>
      <c r="BZ12" s="145">
        <f>IF(SUM($AS$12:BY12)+IF(BY12="0","0",BY12)&gt;$AQ12,0,BY12)</f>
        <v>0</v>
      </c>
      <c r="CA12" s="145">
        <f>IF(SUM($AS$12:BZ12)+IF(BZ12="0","0",BZ12)&gt;$AQ12,0,BZ12)</f>
        <v>0</v>
      </c>
      <c r="CB12" s="222">
        <f>IF(SUM($AS$12:CA12)+IF(CA12="0","0",CA12)&gt;$AQ12,0,CA12)</f>
        <v>0</v>
      </c>
      <c r="CC12" s="223">
        <f>IF(SUM($AS$12:CB12)+IF(CB12="0","0",CB12)&gt;$AQ12,0,CB12)</f>
        <v>0</v>
      </c>
      <c r="CD12" s="145">
        <f>IF(SUM($AS$12:CC12)+IF(CC12="0","0",CC12)&gt;$AQ12,0,CC12)</f>
        <v>0</v>
      </c>
      <c r="CE12" s="145">
        <f>IF(SUM($AS$12:CD12)+IF(CD12="0","0",CD12)&gt;$AQ12,0,CD12)</f>
        <v>0</v>
      </c>
      <c r="CF12" s="145">
        <f>IF(SUM($AS$12:CE12)+IF(CE12="0","0",CE12)&gt;$AQ12,0,CE12)</f>
        <v>0</v>
      </c>
      <c r="CG12" s="145">
        <f>IF(SUM($AS$12:CF12)+IF(CF12="0","0",CF12)&gt;$AQ12,0,CF12)</f>
        <v>0</v>
      </c>
      <c r="CH12" s="145">
        <f>IF(SUM($AS$12:CG12)+IF(CG12="0","0",CG12)&gt;$AQ12,0,CG12)</f>
        <v>0</v>
      </c>
      <c r="CI12" s="145">
        <f>IF(SUM($AS$12:CH12)+IF(CH12="0","0",CH12)&gt;$AQ12,0,CH12)</f>
        <v>0</v>
      </c>
      <c r="CJ12" s="145">
        <f>IF(SUM($AS$12:CI12)+IF(CI12="0","0",CI12)&gt;$AQ12,0,CI12)</f>
        <v>0</v>
      </c>
      <c r="CK12" s="145">
        <f>IF(SUM($AS$12:CJ12)+IF(CJ12="0","0",CJ12)&gt;$AQ12,0,CJ12)</f>
        <v>0</v>
      </c>
      <c r="CL12" s="145">
        <f>IF(SUM($AS$12:CK12)+IF(CK12="0","0",CK12)&gt;$AQ12,0,CK12)</f>
        <v>0</v>
      </c>
      <c r="CM12" s="145">
        <f>IF(SUM($AS$12:CL12)+IF(CL12="0","0",CL12)&gt;$AQ12,0,CL12)</f>
        <v>0</v>
      </c>
      <c r="CN12" s="224">
        <f>IF(SUM($AS$12:CM12)+IF(CM12="0","0",CM12)&gt;$AQ12,0,CM12)</f>
        <v>0</v>
      </c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</row>
    <row r="13" spans="1:158" s="70" customFormat="1">
      <c r="A13" s="225">
        <v>8</v>
      </c>
      <c r="B13" s="226" t="s">
        <v>130</v>
      </c>
      <c r="C13" s="226" t="s">
        <v>212</v>
      </c>
      <c r="D13" s="227"/>
      <c r="E13" s="228">
        <v>44705</v>
      </c>
      <c r="F13" s="228"/>
      <c r="G13" s="229">
        <v>532380.94999999995</v>
      </c>
      <c r="H13" s="229">
        <f t="shared" si="2"/>
        <v>159714.28499999997</v>
      </c>
      <c r="I13" s="229">
        <f t="shared" si="8"/>
        <v>372666.66499999992</v>
      </c>
      <c r="J13" s="230">
        <v>532380.94999999995</v>
      </c>
      <c r="K13" s="229"/>
      <c r="L13" s="229"/>
      <c r="M13" s="229">
        <f t="shared" si="3"/>
        <v>532380.94999999995</v>
      </c>
      <c r="N13" s="229">
        <f t="shared" si="9"/>
        <v>106476.19</v>
      </c>
      <c r="O13" s="229">
        <f t="shared" ref="O13:O35" si="12">ROUND(N13/12,2)</f>
        <v>8873.02</v>
      </c>
      <c r="P13" s="229">
        <v>170657.75000000003</v>
      </c>
      <c r="Q13" s="229">
        <v>43339.931694063882</v>
      </c>
      <c r="R13" s="229">
        <v>132049.92330593607</v>
      </c>
      <c r="S13" s="229">
        <v>10236.428163250857</v>
      </c>
      <c r="T13" s="229">
        <f>ROUND($O$13,2)</f>
        <v>8873.02</v>
      </c>
      <c r="U13" s="229">
        <f>ROUND($O$13,2)</f>
        <v>8873.02</v>
      </c>
      <c r="V13" s="229">
        <f>ROUND($O$13,2)</f>
        <v>8873.02</v>
      </c>
      <c r="W13" s="229">
        <f>ROUND($O$13,2)</f>
        <v>8873.02</v>
      </c>
      <c r="X13" s="229">
        <v>10236.428163250857</v>
      </c>
      <c r="Y13" s="229">
        <v>4308.3639617579865</v>
      </c>
      <c r="Z13" s="231">
        <f t="shared" si="5"/>
        <v>10236.428163250857</v>
      </c>
      <c r="AA13" s="232">
        <f t="shared" si="5"/>
        <v>4308.3639617579865</v>
      </c>
      <c r="AB13" s="232">
        <f t="shared" si="5"/>
        <v>10236.428163250857</v>
      </c>
      <c r="AC13" s="232">
        <f t="shared" si="5"/>
        <v>4308.3639617579865</v>
      </c>
      <c r="AD13" s="232">
        <f t="shared" si="5"/>
        <v>10236.428163250857</v>
      </c>
      <c r="AE13" s="232">
        <f t="shared" si="5"/>
        <v>4308.3639617579865</v>
      </c>
      <c r="AF13" s="232">
        <f t="shared" si="5"/>
        <v>10236.428163250857</v>
      </c>
      <c r="AG13" s="232">
        <v>4308.3599999999997</v>
      </c>
      <c r="AH13" s="232">
        <v>10236.428163250857</v>
      </c>
      <c r="AI13" s="233">
        <v>4308.3599999999997</v>
      </c>
      <c r="AJ13" s="234">
        <v>10236.43</v>
      </c>
      <c r="AK13" s="234">
        <v>4308.3599999999997</v>
      </c>
      <c r="AL13" s="234">
        <v>10236.43</v>
      </c>
      <c r="AM13" s="234">
        <v>4308.3599999999997</v>
      </c>
      <c r="AN13" s="235">
        <f t="shared" si="10"/>
        <v>151850.40482653709</v>
      </c>
      <c r="AO13" s="235"/>
      <c r="AP13" s="206">
        <f t="shared" si="6"/>
        <v>322508.15482653712</v>
      </c>
      <c r="AQ13" s="206">
        <f>M13-AP13</f>
        <v>209872.79517346283</v>
      </c>
      <c r="AR13" s="236"/>
      <c r="AS13" s="237">
        <f t="shared" si="7"/>
        <v>14544.79</v>
      </c>
      <c r="AT13" s="238">
        <f>IF(AS13+IF(AS13="0","0",AS13)&gt;$AQ13,0,AS13)</f>
        <v>14544.79</v>
      </c>
      <c r="AU13" s="238">
        <f>IF(SUM($AS$13:AT13)+IF(AT13="0","0",AT13)&gt;$AQ13,0,AT13)</f>
        <v>14544.79</v>
      </c>
      <c r="AV13" s="238">
        <f>IF(SUM($AS$13:AU13)+IF(AU13="0","0",AU13)&gt;$AQ13,0,AU13)</f>
        <v>14544.79</v>
      </c>
      <c r="AW13" s="238">
        <f>IF(SUM($AS$13:AV13)+IF(AV13="0","0",AV13)&gt;$AQ13,0,AV13)</f>
        <v>14544.79</v>
      </c>
      <c r="AX13" s="238">
        <f>IF(SUM($AS$13:AW13)+IF(AW13="0","0",AW13)&gt;$AQ13,0,AW13)</f>
        <v>14544.79</v>
      </c>
      <c r="AY13" s="238">
        <f>IF(SUM($AS$13:AX13)+IF(AX13="0","0",AX13)&gt;$AQ13,0,AX13)</f>
        <v>14544.79</v>
      </c>
      <c r="AZ13" s="238">
        <f>IF(SUM($AS$13:AY13)+IF(AY13="0","0",AY13)&gt;$AQ13,0,AY13)</f>
        <v>14544.79</v>
      </c>
      <c r="BA13" s="238">
        <f>IF(SUM($AS$13:AZ13)+IF(AZ13="0","0",AZ13)&gt;$AQ13,0,AZ13)</f>
        <v>14544.79</v>
      </c>
      <c r="BB13" s="238">
        <f>IF(SUM($AS$13:BA13)+IF(BA13="0","0",BA13)&gt;$AQ13,0,BA13)</f>
        <v>14544.79</v>
      </c>
      <c r="BC13" s="238">
        <f>IF(SUM($AS$13:BB13)+IF(BB13="0","0",BB13)&gt;$AQ13,0,BB13)</f>
        <v>14544.79</v>
      </c>
      <c r="BD13" s="239">
        <f>IF(SUM($AS$13:BC13)+IF(BC13="0","0",BC13)&gt;$AQ13,0,BC13)</f>
        <v>14544.79</v>
      </c>
      <c r="BE13" s="237">
        <f>IF(SUM($AS$13:BD13)+IF(BD13="0","0",BD13)&gt;$AQ13,0,BD13)</f>
        <v>14544.79</v>
      </c>
      <c r="BF13" s="238">
        <f>IF(SUM($AS$13:BE13)+IF(BE13="0","0",BE13)&gt;$AQ13,0,BE13)</f>
        <v>14544.79</v>
      </c>
      <c r="BG13" s="145">
        <f>IF(SUM($AS$13:BF13)+IF(BF13="0","0",BF13)&gt;$AQ13,0,BF13)</f>
        <v>0</v>
      </c>
      <c r="BH13" s="145">
        <f>IF(SUM($AS$13:BG13)+IF(BG13="0","0",BG13)&gt;$AQ13,0,BG13)</f>
        <v>0</v>
      </c>
      <c r="BI13" s="145">
        <f>IF(SUM($AS$13:BH13)+IF(BH13="0","0",BH13)&gt;$AQ13,0,BH13)</f>
        <v>0</v>
      </c>
      <c r="BJ13" s="145">
        <f>IF(SUM($AS$13:BI13)+IF(BI13="0","0",BI13)&gt;$AQ13,0,BI13)</f>
        <v>0</v>
      </c>
      <c r="BK13" s="145">
        <f>IF(SUM($AS$13:BJ13)+IF(BJ13="0","0",BJ13)&gt;$AQ13,0,BJ13)</f>
        <v>0</v>
      </c>
      <c r="BL13" s="145">
        <f>IF(SUM($AS$13:BK13)+IF(BK13="0","0",BK13)&gt;$AQ13,0,BK13)</f>
        <v>0</v>
      </c>
      <c r="BM13" s="145">
        <f>IF(SUM($AS$13:BL13)+IF(BL13="0","0",BL13)&gt;$AQ13,0,BL13)</f>
        <v>0</v>
      </c>
      <c r="BN13" s="145">
        <f>IF(SUM($AS$13:BM13)+IF(BM13="0","0",BM13)&gt;$AQ13,0,BM13)</f>
        <v>0</v>
      </c>
      <c r="BO13" s="145">
        <f>IF(SUM($AS$13:BN13)+IF(BN13="0","0",BN13)&gt;$AQ13,0,BN13)</f>
        <v>0</v>
      </c>
      <c r="BP13" s="222">
        <f>IF(SUM($AS$13:BO13)+IF(BO13="0","0",BO13)&gt;$AQ13,0,BO13)</f>
        <v>0</v>
      </c>
      <c r="BQ13" s="223">
        <f>IF(SUM($AS$13:BP13)+IF(BP13="0","0",BP13)&gt;$AQ13,0,BP13)</f>
        <v>0</v>
      </c>
      <c r="BR13" s="145">
        <f>IF(SUM($AS$13:BQ13)+IF(BQ13="0","0",BQ13)&gt;$AQ13,0,BQ13)</f>
        <v>0</v>
      </c>
      <c r="BS13" s="145">
        <f>IF(SUM($AS$13:BR13)+IF(BR13="0","0",BR13)&gt;$AQ13,0,BR13)</f>
        <v>0</v>
      </c>
      <c r="BT13" s="145">
        <f>IF(SUM($AS$13:BS13)+IF(BS13="0","0",BS13)&gt;$AQ13,0,BS13)</f>
        <v>0</v>
      </c>
      <c r="BU13" s="145">
        <f>IF(SUM($AS$13:BT13)+IF(BT13="0","0",BT13)&gt;$AQ13,0,BT13)</f>
        <v>0</v>
      </c>
      <c r="BV13" s="145">
        <f>IF(SUM($AS$13:BU13)+IF(BU13="0","0",BU13)&gt;$AQ13,0,BU13)</f>
        <v>0</v>
      </c>
      <c r="BW13" s="145">
        <f>IF(SUM($AS$13:BV13)+IF(BV13="0","0",BV13)&gt;$AQ13,0,BV13)</f>
        <v>0</v>
      </c>
      <c r="BX13" s="145">
        <f>IF(SUM($AS$13:BW13)+IF(BW13="0","0",BW13)&gt;$AQ13,0,BW13)</f>
        <v>0</v>
      </c>
      <c r="BY13" s="145">
        <f>IF(SUM($AS$13:BX13)+IF(BX13="0","0",BX13)&gt;$AQ13,0,BX13)</f>
        <v>0</v>
      </c>
      <c r="BZ13" s="145">
        <f>IF(SUM($AS$13:BY13)+IF(BY13="0","0",BY13)&gt;$AQ13,0,BY13)</f>
        <v>0</v>
      </c>
      <c r="CA13" s="145">
        <f>IF(SUM($AS$13:BZ13)+IF(BZ13="0","0",BZ13)&gt;$AQ13,0,BZ13)</f>
        <v>0</v>
      </c>
      <c r="CB13" s="222">
        <f>IF(SUM($AS$13:CA13)+IF(CA13="0","0",CA13)&gt;$AQ13,0,CA13)</f>
        <v>0</v>
      </c>
      <c r="CC13" s="223">
        <f>IF(SUM($AS$13:CB13)+IF(CB13="0","0",CB13)&gt;$AQ13,0,CB13)</f>
        <v>0</v>
      </c>
      <c r="CD13" s="145">
        <f>IF(SUM($AS$13:CC13)+IF(CC13="0","0",CC13)&gt;$AQ13,0,CC13)</f>
        <v>0</v>
      </c>
      <c r="CE13" s="145">
        <f>IF(SUM($AS$13:CD13)+IF(CD13="0","0",CD13)&gt;$AQ13,0,CD13)</f>
        <v>0</v>
      </c>
      <c r="CF13" s="145">
        <f>IF(SUM($AS$13:CE13)+IF(CE13="0","0",CE13)&gt;$AQ13,0,CE13)</f>
        <v>0</v>
      </c>
      <c r="CG13" s="145">
        <f>IF(SUM($AS$13:CF13)+IF(CF13="0","0",CF13)&gt;$AQ13,0,CF13)</f>
        <v>0</v>
      </c>
      <c r="CH13" s="145">
        <f>IF(SUM($AS$13:CG13)+IF(CG13="0","0",CG13)&gt;$AQ13,0,CG13)</f>
        <v>0</v>
      </c>
      <c r="CI13" s="145">
        <f>IF(SUM($AS$13:CH13)+IF(CH13="0","0",CH13)&gt;$AQ13,0,CH13)</f>
        <v>0</v>
      </c>
      <c r="CJ13" s="145">
        <f>IF(SUM($AS$13:CI13)+IF(CI13="0","0",CI13)&gt;$AQ13,0,CI13)</f>
        <v>0</v>
      </c>
      <c r="CK13" s="145">
        <f>IF(SUM($AS$13:CJ13)+IF(CJ13="0","0",CJ13)&gt;$AQ13,0,CJ13)</f>
        <v>0</v>
      </c>
      <c r="CL13" s="145">
        <f>IF(SUM($AS$13:CK13)+IF(CK13="0","0",CK13)&gt;$AQ13,0,CK13)</f>
        <v>0</v>
      </c>
      <c r="CM13" s="145">
        <f>IF(SUM($AS$13:CL13)+IF(CL13="0","0",CL13)&gt;$AQ13,0,CL13)</f>
        <v>0</v>
      </c>
      <c r="CN13" s="224">
        <f>IF(SUM($AS$13:CM13)+IF(CM13="0","0",CM13)&gt;$AQ13,0,CM13)</f>
        <v>0</v>
      </c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</row>
    <row r="14" spans="1:158" s="70" customFormat="1">
      <c r="A14" s="225">
        <v>9</v>
      </c>
      <c r="B14" s="226" t="s">
        <v>130</v>
      </c>
      <c r="C14" s="226" t="s">
        <v>216</v>
      </c>
      <c r="D14" s="227"/>
      <c r="E14" s="228">
        <v>44719</v>
      </c>
      <c r="F14" s="228"/>
      <c r="G14" s="229">
        <v>532380.94999999995</v>
      </c>
      <c r="H14" s="229">
        <f t="shared" si="2"/>
        <v>159714.28499999997</v>
      </c>
      <c r="I14" s="229">
        <f t="shared" si="8"/>
        <v>372666.66499999992</v>
      </c>
      <c r="J14" s="230">
        <v>532380.94999999995</v>
      </c>
      <c r="K14" s="229"/>
      <c r="L14" s="229"/>
      <c r="M14" s="229">
        <f t="shared" si="3"/>
        <v>532380.94999999995</v>
      </c>
      <c r="N14" s="229">
        <f t="shared" si="9"/>
        <v>106476.19</v>
      </c>
      <c r="O14" s="229">
        <f t="shared" si="12"/>
        <v>8873.02</v>
      </c>
      <c r="P14" s="229">
        <v>166517.01</v>
      </c>
      <c r="Q14" s="229">
        <v>42715.983739726013</v>
      </c>
      <c r="R14" s="229">
        <v>136814.61126027396</v>
      </c>
      <c r="S14" s="229">
        <v>10235.507076828475</v>
      </c>
      <c r="T14" s="229">
        <f>ROUND($O$14,2)</f>
        <v>8873.02</v>
      </c>
      <c r="U14" s="229">
        <f>ROUND($O$14,2)</f>
        <v>8873.02</v>
      </c>
      <c r="V14" s="229">
        <f>ROUND($O$14,2)</f>
        <v>8873.02</v>
      </c>
      <c r="W14" s="229">
        <f>ROUND($O$14,2)</f>
        <v>8873.02</v>
      </c>
      <c r="X14" s="229">
        <v>10235.507076828475</v>
      </c>
      <c r="Y14" s="229">
        <v>4230.3704674657492</v>
      </c>
      <c r="Z14" s="231">
        <f>X14</f>
        <v>10235.507076828475</v>
      </c>
      <c r="AA14" s="232">
        <f t="shared" si="5"/>
        <v>4230.3704674657492</v>
      </c>
      <c r="AB14" s="232">
        <f>Z14</f>
        <v>10235.507076828475</v>
      </c>
      <c r="AC14" s="232">
        <f t="shared" si="5"/>
        <v>4230.3704674657492</v>
      </c>
      <c r="AD14" s="232">
        <f>AB14</f>
        <v>10235.507076828475</v>
      </c>
      <c r="AE14" s="232">
        <f t="shared" si="5"/>
        <v>4230.3704674657492</v>
      </c>
      <c r="AF14" s="232">
        <f>AD14</f>
        <v>10235.507076828475</v>
      </c>
      <c r="AG14" s="232">
        <v>4230.37</v>
      </c>
      <c r="AH14" s="232">
        <v>10235.507076828475</v>
      </c>
      <c r="AI14" s="233">
        <v>4230.37</v>
      </c>
      <c r="AJ14" s="234">
        <v>10235.51</v>
      </c>
      <c r="AK14" s="234">
        <v>4230.37</v>
      </c>
      <c r="AL14" s="234">
        <v>10235.51</v>
      </c>
      <c r="AM14" s="234">
        <v>4230.37</v>
      </c>
      <c r="AN14" s="235">
        <f t="shared" si="10"/>
        <v>151219.10433083386</v>
      </c>
      <c r="AO14" s="235"/>
      <c r="AP14" s="206">
        <f>P14+AN14-AO14</f>
        <v>317736.11433083389</v>
      </c>
      <c r="AQ14" s="206">
        <f t="shared" si="1"/>
        <v>214644.83566916606</v>
      </c>
      <c r="AR14" s="236"/>
      <c r="AS14" s="237">
        <f t="shared" si="7"/>
        <v>14465.880000000001</v>
      </c>
      <c r="AT14" s="238">
        <f t="shared" ref="AT14:AT36" si="13">IF(AS14+IF(AS14="0","0",AS14)&gt;$AQ14,0,AS14)</f>
        <v>14465.880000000001</v>
      </c>
      <c r="AU14" s="238">
        <f>IF(SUM($AS$14:AT14)+IF(AT14="0","0",AT14)&gt;$AQ14,0,AT14)</f>
        <v>14465.880000000001</v>
      </c>
      <c r="AV14" s="238">
        <f>IF(SUM($AS$14:AU14)+IF(AU14="0","0",AU14)&gt;$AQ14,0,AU14)</f>
        <v>14465.880000000001</v>
      </c>
      <c r="AW14" s="238">
        <f>IF(SUM($AS$14:AV14)+IF(AV14="0","0",AV14)&gt;$AQ14,0,AV14)</f>
        <v>14465.880000000001</v>
      </c>
      <c r="AX14" s="238">
        <f>IF(SUM($AS$14:AW14)+IF(AW14="0","0",AW14)&gt;$AQ14,0,AW14)</f>
        <v>14465.880000000001</v>
      </c>
      <c r="AY14" s="238">
        <f>IF(SUM($AS$14:AX14)+IF(AX14="0","0",AX14)&gt;$AQ14,0,AX14)</f>
        <v>14465.880000000001</v>
      </c>
      <c r="AZ14" s="238">
        <f>IF(SUM($AS$14:AY14)+IF(AY14="0","0",AY14)&gt;$AQ14,0,AY14)</f>
        <v>14465.880000000001</v>
      </c>
      <c r="BA14" s="238">
        <f>IF(SUM($AS$14:AZ14)+IF(AZ14="0","0",AZ14)&gt;$AQ14,0,AZ14)</f>
        <v>14465.880000000001</v>
      </c>
      <c r="BB14" s="238">
        <f>IF(SUM($AS$14:BA14)+IF(BA14="0","0",BA14)&gt;$AQ14,0,BA14)</f>
        <v>14465.880000000001</v>
      </c>
      <c r="BC14" s="238">
        <f>IF(SUM($AS$14:BB14)+IF(BB14="0","0",BB14)&gt;$AQ14,0,BB14)</f>
        <v>14465.880000000001</v>
      </c>
      <c r="BD14" s="239">
        <f>IF(SUM($AS$14:BC14)+IF(BC14="0","0",BC14)&gt;$AQ14,0,BC14)</f>
        <v>14465.880000000001</v>
      </c>
      <c r="BE14" s="237">
        <f>IF(SUM($AS$14:BD14)+IF(BD14="0","0",BD14)&gt;$AQ14,0,BD14)</f>
        <v>14465.880000000001</v>
      </c>
      <c r="BF14" s="238">
        <f>IF(SUM($AS$14:BE14)+IF(BE14="0","0",BE14)&gt;$AQ14,0,BE14)</f>
        <v>14465.880000000001</v>
      </c>
      <c r="BG14" s="145">
        <f>IF(SUM($AS$14:BF14)+IF(BF14="0","0",BF14)&gt;$AQ14,0,BF14)</f>
        <v>0</v>
      </c>
      <c r="BH14" s="145">
        <f>IF(SUM($AS$14:BG14)+IF(BG14="0","0",BG14)&gt;$AQ14,0,BG14)</f>
        <v>0</v>
      </c>
      <c r="BI14" s="145">
        <f>IF(SUM($AS$14:BH14)+IF(BH14="0","0",BH14)&gt;$AQ14,0,BH14)</f>
        <v>0</v>
      </c>
      <c r="BJ14" s="145">
        <f>IF(SUM($AS$14:BI14)+IF(BI14="0","0",BI14)&gt;$AQ14,0,BI14)</f>
        <v>0</v>
      </c>
      <c r="BK14" s="145">
        <f>IF(SUM($AS$14:BJ14)+IF(BJ14="0","0",BJ14)&gt;$AQ14,0,BJ14)</f>
        <v>0</v>
      </c>
      <c r="BL14" s="145">
        <f>IF(SUM($AS$14:BK14)+IF(BK14="0","0",BK14)&gt;$AQ14,0,BK14)</f>
        <v>0</v>
      </c>
      <c r="BM14" s="145">
        <f>IF(SUM($AS$14:BL14)+IF(BL14="0","0",BL14)&gt;$AQ14,0,BL14)</f>
        <v>0</v>
      </c>
      <c r="BN14" s="145">
        <f>IF(SUM($AS$14:BM14)+IF(BM14="0","0",BM14)&gt;$AQ14,0,BM14)</f>
        <v>0</v>
      </c>
      <c r="BO14" s="145">
        <f>IF(SUM($AS$14:BN14)+IF(BN14="0","0",BN14)&gt;$AQ14,0,BN14)</f>
        <v>0</v>
      </c>
      <c r="BP14" s="222">
        <f>IF(SUM($AS$14:BO14)+IF(BO14="0","0",BO14)&gt;$AQ14,0,BO14)</f>
        <v>0</v>
      </c>
      <c r="BQ14" s="223">
        <f>IF(SUM($AS$14:BP14)+IF(BP14="0","0",BP14)&gt;$AQ14,0,BP14)</f>
        <v>0</v>
      </c>
      <c r="BR14" s="145">
        <f>IF(SUM($AS$14:BQ14)+IF(BQ14="0","0",BQ14)&gt;$AQ14,0,BQ14)</f>
        <v>0</v>
      </c>
      <c r="BS14" s="145">
        <f>IF(SUM($AS$14:BR14)+IF(BR14="0","0",BR14)&gt;$AQ14,0,BR14)</f>
        <v>0</v>
      </c>
      <c r="BT14" s="145">
        <f>IF(SUM($AS$14:BS14)+IF(BS14="0","0",BS14)&gt;$AQ14,0,BS14)</f>
        <v>0</v>
      </c>
      <c r="BU14" s="145">
        <f>IF(SUM($AS$14:BT14)+IF(BT14="0","0",BT14)&gt;$AQ14,0,BT14)</f>
        <v>0</v>
      </c>
      <c r="BV14" s="145">
        <f>IF(SUM($AS$14:BU14)+IF(BU14="0","0",BU14)&gt;$AQ14,0,BU14)</f>
        <v>0</v>
      </c>
      <c r="BW14" s="145">
        <f>IF(SUM($AS$14:BV14)+IF(BV14="0","0",BV14)&gt;$AQ14,0,BV14)</f>
        <v>0</v>
      </c>
      <c r="BX14" s="145">
        <f>IF(SUM($AS$14:BW14)+IF(BW14="0","0",BW14)&gt;$AQ14,0,BW14)</f>
        <v>0</v>
      </c>
      <c r="BY14" s="145">
        <f>IF(SUM($AS$14:BX14)+IF(BX14="0","0",BX14)&gt;$AQ14,0,BX14)</f>
        <v>0</v>
      </c>
      <c r="BZ14" s="145">
        <f>IF(SUM($AS$14:BY14)+IF(BY14="0","0",BY14)&gt;$AQ14,0,BY14)</f>
        <v>0</v>
      </c>
      <c r="CA14" s="145">
        <f>IF(SUM($AS$14:BZ14)+IF(BZ14="0","0",BZ14)&gt;$AQ14,0,BZ14)</f>
        <v>0</v>
      </c>
      <c r="CB14" s="222">
        <f>IF(SUM($AS$14:CA14)+IF(CA14="0","0",CA14)&gt;$AQ14,0,CA14)</f>
        <v>0</v>
      </c>
      <c r="CC14" s="223">
        <f>IF(SUM($AS$14:CB14)+IF(CB14="0","0",CB14)&gt;$AQ14,0,CB14)</f>
        <v>0</v>
      </c>
      <c r="CD14" s="145">
        <f>IF(SUM($AS$14:CC14)+IF(CC14="0","0",CC14)&gt;$AQ14,0,CC14)</f>
        <v>0</v>
      </c>
      <c r="CE14" s="145">
        <f>IF(SUM($AS$14:CD14)+IF(CD14="0","0",CD14)&gt;$AQ14,0,CD14)</f>
        <v>0</v>
      </c>
      <c r="CF14" s="145">
        <f>IF(SUM($AS$14:CE14)+IF(CE14="0","0",CE14)&gt;$AQ14,0,CE14)</f>
        <v>0</v>
      </c>
      <c r="CG14" s="145">
        <f>IF(SUM($AS$14:CF14)+IF(CF14="0","0",CF14)&gt;$AQ14,0,CF14)</f>
        <v>0</v>
      </c>
      <c r="CH14" s="145">
        <f>IF(SUM($AS$14:CG14)+IF(CG14="0","0",CG14)&gt;$AQ14,0,CG14)</f>
        <v>0</v>
      </c>
      <c r="CI14" s="145">
        <f>IF(SUM($AS$14:CH14)+IF(CH14="0","0",CH14)&gt;$AQ14,0,CH14)</f>
        <v>0</v>
      </c>
      <c r="CJ14" s="145">
        <f>IF(SUM($AS$14:CI14)+IF(CI14="0","0",CI14)&gt;$AQ14,0,CI14)</f>
        <v>0</v>
      </c>
      <c r="CK14" s="145">
        <f>IF(SUM($AS$14:CJ14)+IF(CJ14="0","0",CJ14)&gt;$AQ14,0,CJ14)</f>
        <v>0</v>
      </c>
      <c r="CL14" s="145">
        <f>IF(SUM($AS$14:CK14)+IF(CK14="0","0",CK14)&gt;$AQ14,0,CK14)</f>
        <v>0</v>
      </c>
      <c r="CM14" s="145">
        <f>IF(SUM($AS$14:CL14)+IF(CL14="0","0",CL14)&gt;$AQ14,0,CL14)</f>
        <v>0</v>
      </c>
      <c r="CN14" s="224">
        <f>IF(SUM($AS$14:CM14)+IF(CM14="0","0",CM14)&gt;$AQ14,0,CM14)</f>
        <v>0</v>
      </c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</row>
    <row r="15" spans="1:158" s="70" customFormat="1">
      <c r="A15" s="225">
        <v>10</v>
      </c>
      <c r="B15" s="226" t="s">
        <v>130</v>
      </c>
      <c r="C15" s="226" t="s">
        <v>131</v>
      </c>
      <c r="D15" s="227"/>
      <c r="E15" s="228">
        <v>44769</v>
      </c>
      <c r="F15" s="228"/>
      <c r="G15" s="229">
        <v>532380.94999999995</v>
      </c>
      <c r="H15" s="229">
        <f t="shared" si="2"/>
        <v>159714.28499999997</v>
      </c>
      <c r="I15" s="229">
        <f t="shared" si="8"/>
        <v>372666.66499999992</v>
      </c>
      <c r="J15" s="230">
        <v>532380.94999999995</v>
      </c>
      <c r="K15" s="229"/>
      <c r="L15" s="229"/>
      <c r="M15" s="229">
        <f t="shared" si="3"/>
        <v>532380.94999999995</v>
      </c>
      <c r="N15" s="229">
        <f t="shared" si="9"/>
        <v>106476.19</v>
      </c>
      <c r="O15" s="229">
        <f t="shared" si="12"/>
        <v>8873.02</v>
      </c>
      <c r="P15" s="229">
        <v>150841.34000000003</v>
      </c>
      <c r="Q15" s="229">
        <v>41374.911045662069</v>
      </c>
      <c r="R15" s="229">
        <v>153831.35395433789</v>
      </c>
      <c r="S15" s="229">
        <v>10232.684298514716</v>
      </c>
      <c r="T15" s="229">
        <f>ROUND($O$15,2)</f>
        <v>8873.02</v>
      </c>
      <c r="U15" s="229">
        <f>ROUND($O$15,2)</f>
        <v>8873.02</v>
      </c>
      <c r="V15" s="229">
        <f>ROUND($O$15,2)</f>
        <v>8873.02</v>
      </c>
      <c r="W15" s="229">
        <f>ROUND($O$15,2)</f>
        <v>8873.02</v>
      </c>
      <c r="X15" s="229">
        <v>10232.684298514716</v>
      </c>
      <c r="Y15" s="229">
        <v>4062.7363807077563</v>
      </c>
      <c r="Z15" s="231">
        <f t="shared" si="5"/>
        <v>10232.684298514716</v>
      </c>
      <c r="AA15" s="232">
        <f t="shared" si="5"/>
        <v>4062.7363807077563</v>
      </c>
      <c r="AB15" s="232">
        <f t="shared" si="5"/>
        <v>10232.684298514716</v>
      </c>
      <c r="AC15" s="232">
        <f t="shared" si="5"/>
        <v>4062.7363807077563</v>
      </c>
      <c r="AD15" s="232">
        <f t="shared" si="5"/>
        <v>10232.684298514716</v>
      </c>
      <c r="AE15" s="232">
        <f t="shared" si="5"/>
        <v>4062.7363807077563</v>
      </c>
      <c r="AF15" s="232">
        <f t="shared" si="5"/>
        <v>10232.684298514716</v>
      </c>
      <c r="AG15" s="232">
        <v>4062.74</v>
      </c>
      <c r="AH15" s="232">
        <v>10232.684298514716</v>
      </c>
      <c r="AI15" s="233">
        <v>4062.74</v>
      </c>
      <c r="AJ15" s="234">
        <v>10232.68</v>
      </c>
      <c r="AK15" s="234">
        <v>4062.74</v>
      </c>
      <c r="AL15" s="234">
        <v>10232.68</v>
      </c>
      <c r="AM15" s="234">
        <v>4062.74</v>
      </c>
      <c r="AN15" s="235">
        <f t="shared" si="10"/>
        <v>149855.45131391933</v>
      </c>
      <c r="AO15" s="235"/>
      <c r="AP15" s="206">
        <f t="shared" si="6"/>
        <v>300696.79131391936</v>
      </c>
      <c r="AQ15" s="206">
        <f t="shared" si="1"/>
        <v>231684.1586860806</v>
      </c>
      <c r="AR15" s="236"/>
      <c r="AS15" s="237">
        <f t="shared" si="7"/>
        <v>14295.42</v>
      </c>
      <c r="AT15" s="238">
        <f t="shared" si="13"/>
        <v>14295.42</v>
      </c>
      <c r="AU15" s="238">
        <f>IF(SUM($AS$15:AT15)+IF(AT15="0","0",AT15)&gt;$AQ15,0,AT15)</f>
        <v>14295.42</v>
      </c>
      <c r="AV15" s="238">
        <f>IF(SUM($AS$15:AU15)+IF(AU15="0","0",AU15)&gt;$AQ15,0,AU15)</f>
        <v>14295.42</v>
      </c>
      <c r="AW15" s="238">
        <f>IF(SUM($AS$15:AV15)+IF(AV15="0","0",AV15)&gt;$AQ15,0,AV15)</f>
        <v>14295.42</v>
      </c>
      <c r="AX15" s="238">
        <f>IF(SUM($AS$15:AW15)+IF(AW15="0","0",AW15)&gt;$AQ15,0,AW15)</f>
        <v>14295.42</v>
      </c>
      <c r="AY15" s="238">
        <f>IF(SUM($AS$15:AX15)+IF(AX15="0","0",AX15)&gt;$AQ15,0,AX15)</f>
        <v>14295.42</v>
      </c>
      <c r="AZ15" s="238">
        <f>IF(SUM($AS$15:AY15)+IF(AY15="0","0",AY15)&gt;$AQ15,0,AY15)</f>
        <v>14295.42</v>
      </c>
      <c r="BA15" s="238">
        <f>IF(SUM($AS$15:AZ15)+IF(AZ15="0","0",AZ15)&gt;$AQ15,0,AZ15)</f>
        <v>14295.42</v>
      </c>
      <c r="BB15" s="238">
        <f>IF(SUM($AS$15:BA15)+IF(BA15="0","0",BA15)&gt;$AQ15,0,BA15)</f>
        <v>14295.42</v>
      </c>
      <c r="BC15" s="238">
        <f>IF(SUM($AS$15:BB15)+IF(BB15="0","0",BB15)&gt;$AQ15,0,BB15)</f>
        <v>14295.42</v>
      </c>
      <c r="BD15" s="239">
        <f>IF(SUM($AS$15:BC15)+IF(BC15="0","0",BC15)&gt;$AQ15,0,BC15)</f>
        <v>14295.42</v>
      </c>
      <c r="BE15" s="237">
        <f>IF(SUM($AS$15:BD15)+IF(BD15="0","0",BD15)&gt;$AQ15,0,BD15)</f>
        <v>14295.42</v>
      </c>
      <c r="BF15" s="238">
        <f>IF(SUM($AS$15:BE15)+IF(BE15="0","0",BE15)&gt;$AQ15,0,BE15)</f>
        <v>14295.42</v>
      </c>
      <c r="BG15" s="238">
        <f>IF(SUM($AS$15:BF15)+IF(BF15="0","0",BF15)&gt;$AQ15,0,BF15)</f>
        <v>14295.42</v>
      </c>
      <c r="BH15" s="238">
        <f>IF(SUM($AS$15:BG15)+IF(BG15="0","0",BG15)&gt;$AQ15,0,BG15)</f>
        <v>14295.42</v>
      </c>
      <c r="BI15" s="145">
        <f>IF(SUM($AS$15:BH15)+IF(BH15="0","0",BH15)&gt;$AQ15,0,BH15)</f>
        <v>0</v>
      </c>
      <c r="BJ15" s="145">
        <f>IF(SUM($AS$15:BI15)+IF(BI15="0","0",BI15)&gt;$AQ15,0,BI15)</f>
        <v>0</v>
      </c>
      <c r="BK15" s="145">
        <f>IF(SUM($AS$15:BJ15)+IF(BJ15="0","0",BJ15)&gt;$AQ15,0,BJ15)</f>
        <v>0</v>
      </c>
      <c r="BL15" s="145">
        <f>IF(SUM($AS$15:BK15)+IF(BK15="0","0",BK15)&gt;$AQ15,0,BK15)</f>
        <v>0</v>
      </c>
      <c r="BM15" s="145">
        <f>IF(SUM($AS$15:BL15)+IF(BL15="0","0",BL15)&gt;$AQ15,0,BL15)</f>
        <v>0</v>
      </c>
      <c r="BN15" s="145">
        <f>IF(SUM($AS$15:BM15)+IF(BM15="0","0",BM15)&gt;$AQ15,0,BM15)</f>
        <v>0</v>
      </c>
      <c r="BO15" s="145">
        <f>IF(SUM($AS$15:BN15)+IF(BN15="0","0",BN15)&gt;$AQ15,0,BN15)</f>
        <v>0</v>
      </c>
      <c r="BP15" s="222">
        <f>IF(SUM($AS$15:BO15)+IF(BO15="0","0",BO15)&gt;$AQ15,0,BO15)</f>
        <v>0</v>
      </c>
      <c r="BQ15" s="223">
        <f>IF(SUM($AS$15:BP15)+IF(BP15="0","0",BP15)&gt;$AQ15,0,BP15)</f>
        <v>0</v>
      </c>
      <c r="BR15" s="145">
        <f>IF(SUM($AS$15:BQ15)+IF(BQ15="0","0",BQ15)&gt;$AQ15,0,BQ15)</f>
        <v>0</v>
      </c>
      <c r="BS15" s="145">
        <f>IF(SUM($AS$15:BR15)+IF(BR15="0","0",BR15)&gt;$AQ15,0,BR15)</f>
        <v>0</v>
      </c>
      <c r="BT15" s="145">
        <f>IF(SUM($AS$15:BS15)+IF(BS15="0","0",BS15)&gt;$AQ15,0,BS15)</f>
        <v>0</v>
      </c>
      <c r="BU15" s="145">
        <f>IF(SUM($AS$15:BT15)+IF(BT15="0","0",BT15)&gt;$AQ15,0,BT15)</f>
        <v>0</v>
      </c>
      <c r="BV15" s="145">
        <f>IF(SUM($AS$15:BU15)+IF(BU15="0","0",BU15)&gt;$AQ15,0,BU15)</f>
        <v>0</v>
      </c>
      <c r="BW15" s="145">
        <f>IF(SUM($AS$15:BV15)+IF(BV15="0","0",BV15)&gt;$AQ15,0,BV15)</f>
        <v>0</v>
      </c>
      <c r="BX15" s="145">
        <f>IF(SUM($AS$15:BW15)+IF(BW15="0","0",BW15)&gt;$AQ15,0,BW15)</f>
        <v>0</v>
      </c>
      <c r="BY15" s="145">
        <f>IF(SUM($AS$15:BX15)+IF(BX15="0","0",BX15)&gt;$AQ15,0,BX15)</f>
        <v>0</v>
      </c>
      <c r="BZ15" s="145">
        <f>IF(SUM($AS$15:BY15)+IF(BY15="0","0",BY15)&gt;$AQ15,0,BY15)</f>
        <v>0</v>
      </c>
      <c r="CA15" s="145">
        <f>IF(SUM($AS$15:BZ15)+IF(BZ15="0","0",BZ15)&gt;$AQ15,0,BZ15)</f>
        <v>0</v>
      </c>
      <c r="CB15" s="222">
        <f>IF(SUM($AS$15:CA15)+IF(CA15="0","0",CA15)&gt;$AQ15,0,CA15)</f>
        <v>0</v>
      </c>
      <c r="CC15" s="223">
        <f>IF(SUM($AS$15:CB15)+IF(CB15="0","0",CB15)&gt;$AQ15,0,CB15)</f>
        <v>0</v>
      </c>
      <c r="CD15" s="145">
        <f>IF(SUM($AS$15:CC15)+IF(CC15="0","0",CC15)&gt;$AQ15,0,CC15)</f>
        <v>0</v>
      </c>
      <c r="CE15" s="145">
        <f>IF(SUM($AS$15:CD15)+IF(CD15="0","0",CD15)&gt;$AQ15,0,CD15)</f>
        <v>0</v>
      </c>
      <c r="CF15" s="145">
        <f>IF(SUM($AS$15:CE15)+IF(CE15="0","0",CE15)&gt;$AQ15,0,CE15)</f>
        <v>0</v>
      </c>
      <c r="CG15" s="145">
        <f>IF(SUM($AS$15:CF15)+IF(CF15="0","0",CF15)&gt;$AQ15,0,CF15)</f>
        <v>0</v>
      </c>
      <c r="CH15" s="145">
        <f>IF(SUM($AS$15:CG15)+IF(CG15="0","0",CG15)&gt;$AQ15,0,CG15)</f>
        <v>0</v>
      </c>
      <c r="CI15" s="145">
        <f>IF(SUM($AS$15:CH15)+IF(CH15="0","0",CH15)&gt;$AQ15,0,CH15)</f>
        <v>0</v>
      </c>
      <c r="CJ15" s="145">
        <f>IF(SUM($AS$15:CI15)+IF(CI15="0","0",CI15)&gt;$AQ15,0,CI15)</f>
        <v>0</v>
      </c>
      <c r="CK15" s="145">
        <f>IF(SUM($AS$15:CJ15)+IF(CJ15="0","0",CJ15)&gt;$AQ15,0,CJ15)</f>
        <v>0</v>
      </c>
      <c r="CL15" s="145">
        <f>IF(SUM($AS$15:CK15)+IF(CK15="0","0",CK15)&gt;$AQ15,0,CK15)</f>
        <v>0</v>
      </c>
      <c r="CM15" s="145">
        <f>IF(SUM($AS$15:CL15)+IF(CL15="0","0",CL15)&gt;$AQ15,0,CL15)</f>
        <v>0</v>
      </c>
      <c r="CN15" s="224">
        <f>IF(SUM($AS$15:CM15)+IF(CM15="0","0",CM15)&gt;$AQ15,0,CM15)</f>
        <v>0</v>
      </c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</row>
    <row r="16" spans="1:158" s="70" customFormat="1">
      <c r="A16" s="225">
        <v>11</v>
      </c>
      <c r="B16" s="226" t="s">
        <v>138</v>
      </c>
      <c r="C16" s="226" t="s">
        <v>220</v>
      </c>
      <c r="D16" s="227"/>
      <c r="E16" s="228">
        <v>44833</v>
      </c>
      <c r="F16" s="228"/>
      <c r="G16" s="229">
        <v>238095.24</v>
      </c>
      <c r="H16" s="229">
        <f t="shared" si="2"/>
        <v>71428.572</v>
      </c>
      <c r="I16" s="229">
        <f t="shared" si="8"/>
        <v>166666.66799999998</v>
      </c>
      <c r="J16" s="230">
        <v>238095.24</v>
      </c>
      <c r="K16" s="229"/>
      <c r="L16" s="229"/>
      <c r="M16" s="229">
        <f t="shared" si="3"/>
        <v>238095.24</v>
      </c>
      <c r="N16" s="229">
        <f t="shared" si="9"/>
        <v>47619.048000000003</v>
      </c>
      <c r="O16" s="229">
        <f t="shared" si="12"/>
        <v>3968.25</v>
      </c>
      <c r="P16" s="229">
        <v>59523.75</v>
      </c>
      <c r="Q16" s="229">
        <v>16699.354586301371</v>
      </c>
      <c r="R16" s="229">
        <v>78538.813413698634</v>
      </c>
      <c r="S16" s="229">
        <v>4575.076509535842</v>
      </c>
      <c r="T16" s="229">
        <f>ROUND($O$16,2)</f>
        <v>3968.25</v>
      </c>
      <c r="U16" s="229">
        <f>ROUND($O$16,2)</f>
        <v>3968.25</v>
      </c>
      <c r="V16" s="229">
        <f>ROUND($O$16,2)</f>
        <v>3968.25</v>
      </c>
      <c r="W16" s="229">
        <f>ROUND($O$16,2)</f>
        <v>3968.25</v>
      </c>
      <c r="X16" s="229">
        <v>4575.076509535842</v>
      </c>
      <c r="Y16" s="229">
        <v>1591.3880732876714</v>
      </c>
      <c r="Z16" s="231">
        <f t="shared" si="5"/>
        <v>4575.076509535842</v>
      </c>
      <c r="AA16" s="232">
        <f t="shared" si="5"/>
        <v>1591.3880732876714</v>
      </c>
      <c r="AB16" s="232">
        <f t="shared" si="5"/>
        <v>4575.076509535842</v>
      </c>
      <c r="AC16" s="232">
        <f t="shared" si="5"/>
        <v>1591.3880732876714</v>
      </c>
      <c r="AD16" s="232">
        <f t="shared" si="5"/>
        <v>4575.076509535842</v>
      </c>
      <c r="AE16" s="232">
        <f t="shared" si="5"/>
        <v>1591.3880732876714</v>
      </c>
      <c r="AF16" s="232">
        <f t="shared" si="5"/>
        <v>4575.076509535842</v>
      </c>
      <c r="AG16" s="232">
        <v>1591.39</v>
      </c>
      <c r="AH16" s="232">
        <v>4575.076509535842</v>
      </c>
      <c r="AI16" s="233">
        <v>1591.39</v>
      </c>
      <c r="AJ16" s="234">
        <v>4575.08</v>
      </c>
      <c r="AK16" s="234">
        <v>1591.39</v>
      </c>
      <c r="AL16" s="234">
        <v>4575.08</v>
      </c>
      <c r="AM16" s="234">
        <v>1591.39</v>
      </c>
      <c r="AN16" s="235">
        <f t="shared" si="10"/>
        <v>65204.73135036575</v>
      </c>
      <c r="AO16" s="235"/>
      <c r="AP16" s="206">
        <f t="shared" si="6"/>
        <v>124728.48135036575</v>
      </c>
      <c r="AQ16" s="206">
        <f t="shared" si="1"/>
        <v>113366.75864963424</v>
      </c>
      <c r="AR16" s="236"/>
      <c r="AS16" s="237">
        <f t="shared" si="7"/>
        <v>6166.47</v>
      </c>
      <c r="AT16" s="238">
        <f t="shared" si="13"/>
        <v>6166.47</v>
      </c>
      <c r="AU16" s="238">
        <f>IF(SUM($AS$16:AT16)+IF(AT16="0","0",AT16)&gt;$AQ16,0,AT16)</f>
        <v>6166.47</v>
      </c>
      <c r="AV16" s="238">
        <f>IF(SUM($AS$16:AU16)+IF(AU16="0","0",AU16)&gt;$AQ16,0,AU16)</f>
        <v>6166.47</v>
      </c>
      <c r="AW16" s="238">
        <f>IF(SUM($AS$16:AV16)+IF(AV16="0","0",AV16)&gt;$AQ16,0,AV16)</f>
        <v>6166.47</v>
      </c>
      <c r="AX16" s="238">
        <f>IF(SUM($AS$16:AW16)+IF(AW16="0","0",AW16)&gt;$AQ16,0,AW16)</f>
        <v>6166.47</v>
      </c>
      <c r="AY16" s="238">
        <f>IF(SUM($AS$16:AX16)+IF(AX16="0","0",AX16)&gt;$AQ16,0,AX16)</f>
        <v>6166.47</v>
      </c>
      <c r="AZ16" s="238">
        <f>IF(SUM($AS$16:AY16)+IF(AY16="0","0",AY16)&gt;$AQ16,0,AY16)</f>
        <v>6166.47</v>
      </c>
      <c r="BA16" s="238">
        <f>IF(SUM($AS$16:AZ16)+IF(AZ16="0","0",AZ16)&gt;$AQ16,0,AZ16)</f>
        <v>6166.47</v>
      </c>
      <c r="BB16" s="238">
        <f>IF(SUM($AS$16:BA16)+IF(BA16="0","0",BA16)&gt;$AQ16,0,BA16)</f>
        <v>6166.47</v>
      </c>
      <c r="BC16" s="238">
        <f>IF(SUM($AS$16:BB16)+IF(BB16="0","0",BB16)&gt;$AQ16,0,BB16)</f>
        <v>6166.47</v>
      </c>
      <c r="BD16" s="239">
        <f>IF(SUM($AS$16:BC16)+IF(BC16="0","0",BC16)&gt;$AQ16,0,BC16)</f>
        <v>6166.47</v>
      </c>
      <c r="BE16" s="237">
        <f>IF(SUM($AS$16:BD16)+IF(BD16="0","0",BD16)&gt;$AQ16,0,BD16)</f>
        <v>6166.47</v>
      </c>
      <c r="BF16" s="238">
        <f>IF(SUM($AS$16:BE16)+IF(BE16="0","0",BE16)&gt;$AQ16,0,BE16)</f>
        <v>6166.47</v>
      </c>
      <c r="BG16" s="238">
        <f>IF(SUM($AS$16:BF16)+IF(BF16="0","0",BF16)&gt;$AQ16,0,BF16)</f>
        <v>6166.47</v>
      </c>
      <c r="BH16" s="238">
        <f>IF(SUM($AS$16:BG16)+IF(BG16="0","0",BG16)&gt;$AQ16,0,BG16)</f>
        <v>6166.47</v>
      </c>
      <c r="BI16" s="238">
        <f>IF(SUM($AS$16:BH16)+IF(BH16="0","0",BH16)&gt;$AQ16,0,BH16)</f>
        <v>6166.47</v>
      </c>
      <c r="BJ16" s="238">
        <f>IF(SUM($AS$16:BI16)+IF(BI16="0","0",BI16)&gt;$AQ16,0,BI16)</f>
        <v>6166.47</v>
      </c>
      <c r="BK16" s="145">
        <f>IF(SUM($AS$16:BJ16)+IF(BJ16="0","0",BJ16)&gt;$AQ16,0,BJ16)</f>
        <v>0</v>
      </c>
      <c r="BL16" s="145">
        <f>IF(SUM($AS$16:BK16)+IF(BK16="0","0",BK16)&gt;$AQ16,0,BK16)</f>
        <v>0</v>
      </c>
      <c r="BM16" s="145">
        <f>IF(SUM($AS$16:BL16)+IF(BL16="0","0",BL16)&gt;$AQ16,0,BL16)</f>
        <v>0</v>
      </c>
      <c r="BN16" s="145">
        <f>IF(SUM($AS$16:BM16)+IF(BM16="0","0",BM16)&gt;$AQ16,0,BM16)</f>
        <v>0</v>
      </c>
      <c r="BO16" s="145">
        <f>IF(SUM($AS$16:BN16)+IF(BN16="0","0",BN16)&gt;$AQ16,0,BN16)</f>
        <v>0</v>
      </c>
      <c r="BP16" s="222">
        <f>IF(SUM($AS$16:BO16)+IF(BO16="0","0",BO16)&gt;$AQ16,0,BO16)</f>
        <v>0</v>
      </c>
      <c r="BQ16" s="223">
        <f>IF(SUM($AS$16:BP16)+IF(BP16="0","0",BP16)&gt;$AQ16,0,BP16)</f>
        <v>0</v>
      </c>
      <c r="BR16" s="145">
        <f>IF(SUM($AS$16:BQ16)+IF(BQ16="0","0",BQ16)&gt;$AQ16,0,BQ16)</f>
        <v>0</v>
      </c>
      <c r="BS16" s="145">
        <f>IF(SUM($AS$16:BR16)+IF(BR16="0","0",BR16)&gt;$AQ16,0,BR16)</f>
        <v>0</v>
      </c>
      <c r="BT16" s="145">
        <f>IF(SUM($AS$16:BS16)+IF(BS16="0","0",BS16)&gt;$AQ16,0,BS16)</f>
        <v>0</v>
      </c>
      <c r="BU16" s="145">
        <f>IF(SUM($AS$16:BT16)+IF(BT16="0","0",BT16)&gt;$AQ16,0,BT16)</f>
        <v>0</v>
      </c>
      <c r="BV16" s="145">
        <f>IF(SUM($AS$16:BU16)+IF(BU16="0","0",BU16)&gt;$AQ16,0,BU16)</f>
        <v>0</v>
      </c>
      <c r="BW16" s="145">
        <f>IF(SUM($AS$16:BV16)+IF(BV16="0","0",BV16)&gt;$AQ16,0,BV16)</f>
        <v>0</v>
      </c>
      <c r="BX16" s="145">
        <f>IF(SUM($AS$16:BW16)+IF(BW16="0","0",BW16)&gt;$AQ16,0,BW16)</f>
        <v>0</v>
      </c>
      <c r="BY16" s="145">
        <f>IF(SUM($AS$16:BX16)+IF(BX16="0","0",BX16)&gt;$AQ16,0,BX16)</f>
        <v>0</v>
      </c>
      <c r="BZ16" s="145">
        <f>IF(SUM($AS$16:BY16)+IF(BY16="0","0",BY16)&gt;$AQ16,0,BY16)</f>
        <v>0</v>
      </c>
      <c r="CA16" s="145">
        <f>IF(SUM($AS$16:BZ16)+IF(BZ16="0","0",BZ16)&gt;$AQ16,0,BZ16)</f>
        <v>0</v>
      </c>
      <c r="CB16" s="222">
        <f>IF(SUM($AS$16:CA16)+IF(CA16="0","0",CA16)&gt;$AQ16,0,CA16)</f>
        <v>0</v>
      </c>
      <c r="CC16" s="223">
        <f>IF(SUM($AS$16:CB16)+IF(CB16="0","0",CB16)&gt;$AQ16,0,CB16)</f>
        <v>0</v>
      </c>
      <c r="CD16" s="145">
        <f>IF(SUM($AS$16:CC16)+IF(CC16="0","0",CC16)&gt;$AQ16,0,CC16)</f>
        <v>0</v>
      </c>
      <c r="CE16" s="145">
        <f>IF(SUM($AS$16:CD16)+IF(CD16="0","0",CD16)&gt;$AQ16,0,CD16)</f>
        <v>0</v>
      </c>
      <c r="CF16" s="145">
        <f>IF(SUM($AS$16:CE16)+IF(CE16="0","0",CE16)&gt;$AQ16,0,CE16)</f>
        <v>0</v>
      </c>
      <c r="CG16" s="145">
        <f>IF(SUM($AS$16:CF16)+IF(CF16="0","0",CF16)&gt;$AQ16,0,CF16)</f>
        <v>0</v>
      </c>
      <c r="CH16" s="145">
        <f>IF(SUM($AS$16:CG16)+IF(CG16="0","0",CG16)&gt;$AQ16,0,CG16)</f>
        <v>0</v>
      </c>
      <c r="CI16" s="145">
        <f>IF(SUM($AS$16:CH16)+IF(CH16="0","0",CH16)&gt;$AQ16,0,CH16)</f>
        <v>0</v>
      </c>
      <c r="CJ16" s="145">
        <f>IF(SUM($AS$16:CI16)+IF(CI16="0","0",CI16)&gt;$AQ16,0,CI16)</f>
        <v>0</v>
      </c>
      <c r="CK16" s="145">
        <f>IF(SUM($AS$16:CJ16)+IF(CJ16="0","0",CJ16)&gt;$AQ16,0,CJ16)</f>
        <v>0</v>
      </c>
      <c r="CL16" s="145">
        <f>IF(SUM($AS$16:CK16)+IF(CK16="0","0",CK16)&gt;$AQ16,0,CK16)</f>
        <v>0</v>
      </c>
      <c r="CM16" s="145">
        <f>IF(SUM($AS$16:CL16)+IF(CL16="0","0",CL16)&gt;$AQ16,0,CL16)</f>
        <v>0</v>
      </c>
      <c r="CN16" s="224">
        <f>IF(SUM($AS$16:CM16)+IF(CM16="0","0",CM16)&gt;$AQ16,0,CM16)</f>
        <v>0</v>
      </c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</row>
    <row r="17" spans="1:158" s="70" customFormat="1">
      <c r="A17" s="225">
        <v>12</v>
      </c>
      <c r="B17" s="226" t="s">
        <v>138</v>
      </c>
      <c r="C17" s="226" t="s">
        <v>223</v>
      </c>
      <c r="D17" s="227"/>
      <c r="E17" s="228">
        <v>45007</v>
      </c>
      <c r="F17" s="228"/>
      <c r="G17" s="229">
        <v>219047.62</v>
      </c>
      <c r="H17" s="229">
        <f t="shared" si="2"/>
        <v>65714.285999999993</v>
      </c>
      <c r="I17" s="229">
        <f t="shared" si="8"/>
        <v>153333.33399999997</v>
      </c>
      <c r="J17" s="230">
        <v>219048</v>
      </c>
      <c r="K17" s="229"/>
      <c r="L17" s="229"/>
      <c r="M17" s="229">
        <f t="shared" si="3"/>
        <v>219048</v>
      </c>
      <c r="N17" s="229">
        <f t="shared" si="9"/>
        <v>43809.524000000005</v>
      </c>
      <c r="O17" s="229">
        <f t="shared" si="12"/>
        <v>3650.79</v>
      </c>
      <c r="P17" s="229">
        <v>32857.11</v>
      </c>
      <c r="Q17" s="229">
        <v>12902.849013698637</v>
      </c>
      <c r="R17" s="229">
        <v>96621.00498630137</v>
      </c>
      <c r="S17" s="229">
        <v>4207.010376762034</v>
      </c>
      <c r="T17" s="229">
        <f>ROUND($O$17,2)</f>
        <v>3650.79</v>
      </c>
      <c r="U17" s="229">
        <f>ROUND($O$17,2)</f>
        <v>3650.79</v>
      </c>
      <c r="V17" s="229">
        <f>ROUND($O$17,2)</f>
        <v>3650.79</v>
      </c>
      <c r="W17" s="229">
        <f>ROUND($O$17,2)</f>
        <v>3650.79</v>
      </c>
      <c r="X17" s="229">
        <v>4207.010376762034</v>
      </c>
      <c r="Y17" s="229">
        <v>1156.5073767123286</v>
      </c>
      <c r="Z17" s="231">
        <f t="shared" si="5"/>
        <v>4207.010376762034</v>
      </c>
      <c r="AA17" s="232">
        <f t="shared" si="5"/>
        <v>1156.5073767123286</v>
      </c>
      <c r="AB17" s="232">
        <f t="shared" si="5"/>
        <v>4207.010376762034</v>
      </c>
      <c r="AC17" s="232">
        <f t="shared" si="5"/>
        <v>1156.5073767123286</v>
      </c>
      <c r="AD17" s="232">
        <f t="shared" si="5"/>
        <v>4207.010376762034</v>
      </c>
      <c r="AE17" s="232">
        <f t="shared" si="5"/>
        <v>1156.5073767123286</v>
      </c>
      <c r="AF17" s="232">
        <f t="shared" si="5"/>
        <v>4207.010376762034</v>
      </c>
      <c r="AG17" s="232">
        <v>1156.51</v>
      </c>
      <c r="AH17" s="232">
        <v>4207.010376762034</v>
      </c>
      <c r="AI17" s="233">
        <v>1156.51</v>
      </c>
      <c r="AJ17" s="234">
        <v>4207.01</v>
      </c>
      <c r="AK17" s="234">
        <v>1156.51</v>
      </c>
      <c r="AL17" s="234">
        <v>4207.01</v>
      </c>
      <c r="AM17" s="234">
        <v>1156.51</v>
      </c>
      <c r="AN17" s="235">
        <f>SUM(T17:AM17)</f>
        <v>57511.311767421532</v>
      </c>
      <c r="AO17" s="235"/>
      <c r="AP17" s="206">
        <f>P17+AN17-AO17</f>
        <v>90368.421767421532</v>
      </c>
      <c r="AQ17" s="206">
        <f t="shared" si="1"/>
        <v>128679.57823257847</v>
      </c>
      <c r="AR17" s="236"/>
      <c r="AS17" s="237">
        <f t="shared" si="7"/>
        <v>5363.52</v>
      </c>
      <c r="AT17" s="238">
        <f t="shared" si="13"/>
        <v>5363.52</v>
      </c>
      <c r="AU17" s="238">
        <f>IF(SUM($AS$17:AT17)+IF(AT17="0","0",AT17)&gt;$AQ17,0,AT17)</f>
        <v>5363.52</v>
      </c>
      <c r="AV17" s="238">
        <f>IF(SUM($AS$17:AU17)+IF(AU17="0","0",AU17)&gt;$AQ17,0,AU17)</f>
        <v>5363.52</v>
      </c>
      <c r="AW17" s="238">
        <f>IF(SUM($AS$17:AV17)+IF(AV17="0","0",AV17)&gt;$AQ17,0,AV17)</f>
        <v>5363.52</v>
      </c>
      <c r="AX17" s="238">
        <f>IF(SUM($AS$17:AW17)+IF(AW17="0","0",AW17)&gt;$AQ17,0,AW17)</f>
        <v>5363.52</v>
      </c>
      <c r="AY17" s="238">
        <f>IF(SUM($AS$17:AX17)+IF(AX17="0","0",AX17)&gt;$AQ17,0,AX17)</f>
        <v>5363.52</v>
      </c>
      <c r="AZ17" s="238">
        <f>IF(SUM($AS$17:AY17)+IF(AY17="0","0",AY17)&gt;$AQ17,0,AY17)</f>
        <v>5363.52</v>
      </c>
      <c r="BA17" s="238">
        <f>IF(SUM($AS$17:AZ17)+IF(AZ17="0","0",AZ17)&gt;$AQ17,0,AZ17)</f>
        <v>5363.52</v>
      </c>
      <c r="BB17" s="238">
        <f>IF(SUM($AS$17:BA17)+IF(BA17="0","0",BA17)&gt;$AQ17,0,BA17)</f>
        <v>5363.52</v>
      </c>
      <c r="BC17" s="238">
        <f>IF(SUM($AS$17:BB17)+IF(BB17="0","0",BB17)&gt;$AQ17,0,BB17)</f>
        <v>5363.52</v>
      </c>
      <c r="BD17" s="239">
        <f>IF(SUM($AS$17:BC17)+IF(BC17="0","0",BC17)&gt;$AQ17,0,BC17)</f>
        <v>5363.52</v>
      </c>
      <c r="BE17" s="237">
        <f>IF(SUM($AS$17:BD17)+IF(BD17="0","0",BD17)&gt;$AQ17,0,BD17)</f>
        <v>5363.52</v>
      </c>
      <c r="BF17" s="238">
        <f>IF(SUM($AS$17:BE17)+IF(BE17="0","0",BE17)&gt;$AQ17,0,BE17)</f>
        <v>5363.52</v>
      </c>
      <c r="BG17" s="238">
        <f>IF(SUM($AS$17:BF17)+IF(BF17="0","0",BF17)&gt;$AQ17,0,BF17)</f>
        <v>5363.52</v>
      </c>
      <c r="BH17" s="238">
        <f>IF(SUM($AS$17:BG17)+IF(BG17="0","0",BG17)&gt;$AQ17,0,BG17)</f>
        <v>5363.52</v>
      </c>
      <c r="BI17" s="238">
        <f>IF(SUM($AS$17:BH17)+IF(BH17="0","0",BH17)&gt;$AQ17,0,BH17)</f>
        <v>5363.52</v>
      </c>
      <c r="BJ17" s="238">
        <f>IF(SUM($AS$17:BI17)+IF(BI17="0","0",BI17)&gt;$AQ17,0,BI17)</f>
        <v>5363.52</v>
      </c>
      <c r="BK17" s="238">
        <f>IF(SUM($AS$17:BJ17)+IF(BJ17="0","0",BJ17)&gt;$AQ17,0,BJ17)</f>
        <v>5363.52</v>
      </c>
      <c r="BL17" s="238">
        <f>IF(SUM($AS$17:BK17)+IF(BK17="0","0",BK17)&gt;$AQ17,0,BK17)</f>
        <v>5363.52</v>
      </c>
      <c r="BM17" s="238">
        <f>IF(SUM($AS$17:BL17)+IF(BL17="0","0",BL17)&gt;$AQ17,0,BL17)</f>
        <v>5363.52</v>
      </c>
      <c r="BN17" s="238">
        <f>IF(SUM($AS$17:BM17)+IF(BM17="0","0",BM17)&gt;$AQ17,0,BM17)</f>
        <v>5363.52</v>
      </c>
      <c r="BO17" s="238">
        <f>IF(SUM($AS$17:BN17)+IF(BN17="0","0",BN17)&gt;$AQ17,0,BN17)</f>
        <v>5363.52</v>
      </c>
      <c r="BP17" s="222">
        <f>IF(SUM($AS$17:BO17)+IF(BO17="0","0",BO17)&gt;$AQ17,0,BO17)</f>
        <v>0</v>
      </c>
      <c r="BQ17" s="223">
        <f>IF(SUM($AS$17:BP17)+IF(BP17="0","0",BP17)&gt;$AQ17,0,BP17)</f>
        <v>0</v>
      </c>
      <c r="BR17" s="145">
        <f>IF(SUM($AS$17:BQ17)+IF(BQ17="0","0",BQ17)&gt;$AQ17,0,BQ17)</f>
        <v>0</v>
      </c>
      <c r="BS17" s="145">
        <f>IF(SUM($AS$17:BR17)+IF(BR17="0","0",BR17)&gt;$AQ17,0,BR17)</f>
        <v>0</v>
      </c>
      <c r="BT17" s="145">
        <f>IF(SUM($AS$17:BS17)+IF(BS17="0","0",BS17)&gt;$AQ17,0,BS17)</f>
        <v>0</v>
      </c>
      <c r="BU17" s="145">
        <f>IF(SUM($AS$17:BT17)+IF(BT17="0","0",BT17)&gt;$AQ17,0,BT17)</f>
        <v>0</v>
      </c>
      <c r="BV17" s="145">
        <f>IF(SUM($AS$17:BU17)+IF(BU17="0","0",BU17)&gt;$AQ17,0,BU17)</f>
        <v>0</v>
      </c>
      <c r="BW17" s="145">
        <f>IF(SUM($AS$17:BV17)+IF(BV17="0","0",BV17)&gt;$AQ17,0,BV17)</f>
        <v>0</v>
      </c>
      <c r="BX17" s="145">
        <f>IF(SUM($AS$17:BW17)+IF(BW17="0","0",BW17)&gt;$AQ17,0,BW17)</f>
        <v>0</v>
      </c>
      <c r="BY17" s="145">
        <f>IF(SUM($AS$17:BX17)+IF(BX17="0","0",BX17)&gt;$AQ17,0,BX17)</f>
        <v>0</v>
      </c>
      <c r="BZ17" s="145">
        <f>IF(SUM($AS$17:BY17)+IF(BY17="0","0",BY17)&gt;$AQ17,0,BY17)</f>
        <v>0</v>
      </c>
      <c r="CA17" s="145">
        <f>IF(SUM($AS$17:BZ17)+IF(BZ17="0","0",BZ17)&gt;$AQ17,0,BZ17)</f>
        <v>0</v>
      </c>
      <c r="CB17" s="222">
        <f>IF(SUM($AS$17:CA17)+IF(CA17="0","0",CA17)&gt;$AQ17,0,CA17)</f>
        <v>0</v>
      </c>
      <c r="CC17" s="223">
        <f>IF(SUM($AS$17:CB17)+IF(CB17="0","0",CB17)&gt;$AQ17,0,CB17)</f>
        <v>0</v>
      </c>
      <c r="CD17" s="145">
        <f>IF(SUM($AS$17:CC17)+IF(CC17="0","0",CC17)&gt;$AQ17,0,CC17)</f>
        <v>0</v>
      </c>
      <c r="CE17" s="145">
        <f>IF(SUM($AS$17:CD17)+IF(CD17="0","0",CD17)&gt;$AQ17,0,CD17)</f>
        <v>0</v>
      </c>
      <c r="CF17" s="145">
        <f>IF(SUM($AS$17:CE17)+IF(CE17="0","0",CE17)&gt;$AQ17,0,CE17)</f>
        <v>0</v>
      </c>
      <c r="CG17" s="145">
        <f>IF(SUM($AS$17:CF17)+IF(CF17="0","0",CF17)&gt;$AQ17,0,CF17)</f>
        <v>0</v>
      </c>
      <c r="CH17" s="145">
        <f>IF(SUM($AS$17:CG17)+IF(CG17="0","0",CG17)&gt;$AQ17,0,CG17)</f>
        <v>0</v>
      </c>
      <c r="CI17" s="145">
        <f>IF(SUM($AS$17:CH17)+IF(CH17="0","0",CH17)&gt;$AQ17,0,CH17)</f>
        <v>0</v>
      </c>
      <c r="CJ17" s="145">
        <f>IF(SUM($AS$17:CI17)+IF(CI17="0","0",CI17)&gt;$AQ17,0,CI17)</f>
        <v>0</v>
      </c>
      <c r="CK17" s="145">
        <f>IF(SUM($AS$17:CJ17)+IF(CJ17="0","0",CJ17)&gt;$AQ17,0,CJ17)</f>
        <v>0</v>
      </c>
      <c r="CL17" s="145">
        <f>IF(SUM($AS$17:CK17)+IF(CK17="0","0",CK17)&gt;$AQ17,0,CK17)</f>
        <v>0</v>
      </c>
      <c r="CM17" s="145">
        <f>IF(SUM($AS$17:CL17)+IF(CL17="0","0",CL17)&gt;$AQ17,0,CL17)</f>
        <v>0</v>
      </c>
      <c r="CN17" s="224">
        <f>IF(SUM($AS$17:CM17)+IF(CM17="0","0",CM17)&gt;$AQ17,0,CM17)</f>
        <v>0</v>
      </c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</row>
    <row r="18" spans="1:158" s="70" customFormat="1">
      <c r="A18" s="225">
        <v>13</v>
      </c>
      <c r="B18" s="226" t="s">
        <v>132</v>
      </c>
      <c r="C18" s="226" t="s">
        <v>133</v>
      </c>
      <c r="D18" s="226"/>
      <c r="E18" s="228">
        <v>45061</v>
      </c>
      <c r="F18" s="228"/>
      <c r="G18" s="229">
        <v>561102.32999999996</v>
      </c>
      <c r="H18" s="229">
        <f t="shared" si="2"/>
        <v>168330.69899999999</v>
      </c>
      <c r="I18" s="229">
        <f t="shared" si="8"/>
        <v>392771.63099999994</v>
      </c>
      <c r="J18" s="230">
        <v>561102.32999999996</v>
      </c>
      <c r="K18" s="229"/>
      <c r="L18" s="229"/>
      <c r="M18" s="229">
        <f t="shared" si="3"/>
        <v>561102.32999999996</v>
      </c>
      <c r="N18" s="229">
        <f t="shared" si="9"/>
        <v>112220.466</v>
      </c>
      <c r="O18" s="229">
        <f t="shared" si="12"/>
        <v>9351.7099999999991</v>
      </c>
      <c r="P18" s="229">
        <v>70288.65903225806</v>
      </c>
      <c r="Q18" s="229">
        <v>27558.350219796717</v>
      </c>
      <c r="R18" s="229">
        <v>266869.49174794514</v>
      </c>
      <c r="S18" s="229">
        <v>10775.349599513263</v>
      </c>
      <c r="T18" s="229">
        <f>ROUND(O18,2)</f>
        <v>9351.7099999999991</v>
      </c>
      <c r="U18" s="229">
        <f>ROUND($O$18,2)</f>
        <v>9351.7099999999991</v>
      </c>
      <c r="V18" s="229">
        <f>ROUND($O$18,2)</f>
        <v>9351.7099999999991</v>
      </c>
      <c r="W18" s="229">
        <f>ROUND($O$18,2)</f>
        <v>9351.7099999999991</v>
      </c>
      <c r="X18" s="229">
        <v>10775.349599513263</v>
      </c>
      <c r="Y18" s="229">
        <v>2275.8300274745907</v>
      </c>
      <c r="Z18" s="231">
        <f t="shared" si="5"/>
        <v>10775.349599513263</v>
      </c>
      <c r="AA18" s="229">
        <f t="shared" si="5"/>
        <v>2275.8300274745907</v>
      </c>
      <c r="AB18" s="232">
        <f t="shared" si="5"/>
        <v>10775.349599513263</v>
      </c>
      <c r="AC18" s="234">
        <f t="shared" si="5"/>
        <v>2275.8300274745907</v>
      </c>
      <c r="AD18" s="232">
        <f t="shared" si="5"/>
        <v>10775.349599513263</v>
      </c>
      <c r="AE18" s="234">
        <f t="shared" si="5"/>
        <v>2275.8300274745907</v>
      </c>
      <c r="AF18" s="232">
        <f t="shared" si="5"/>
        <v>10775.349599513263</v>
      </c>
      <c r="AG18" s="234">
        <v>2275.83</v>
      </c>
      <c r="AH18" s="234">
        <v>10775.349599513263</v>
      </c>
      <c r="AI18" s="238">
        <v>2275.83</v>
      </c>
      <c r="AJ18" s="229">
        <v>10775.35</v>
      </c>
      <c r="AK18" s="229">
        <v>2275.83</v>
      </c>
      <c r="AL18" s="229">
        <v>10775.35</v>
      </c>
      <c r="AM18" s="229">
        <v>2275.83</v>
      </c>
      <c r="AN18" s="235">
        <f t="shared" si="10"/>
        <v>141816.27770697794</v>
      </c>
      <c r="AO18" s="235"/>
      <c r="AP18" s="206">
        <f t="shared" si="6"/>
        <v>212104.936739236</v>
      </c>
      <c r="AQ18" s="206">
        <f t="shared" si="1"/>
        <v>348997.39326076396</v>
      </c>
      <c r="AR18" s="236"/>
      <c r="AS18" s="237">
        <f t="shared" si="7"/>
        <v>13051.18</v>
      </c>
      <c r="AT18" s="238">
        <f t="shared" si="13"/>
        <v>13051.18</v>
      </c>
      <c r="AU18" s="238">
        <f>IF(SUM($AS$18:AT18)+IF(AT18="0","0",AT18)&gt;$AQ18,0,AT18)</f>
        <v>13051.18</v>
      </c>
      <c r="AV18" s="238">
        <f>IF(SUM($AS$18:AU18)+IF(AU18="0","0",AU18)&gt;$AQ18,0,AU18)</f>
        <v>13051.18</v>
      </c>
      <c r="AW18" s="238">
        <f>IF(SUM($AS$18:AV18)+IF(AV18="0","0",AV18)&gt;$AQ18,0,AV18)</f>
        <v>13051.18</v>
      </c>
      <c r="AX18" s="238">
        <f>IF(SUM($AS$18:AW18)+IF(AW18="0","0",AW18)&gt;$AQ18,0,AW18)</f>
        <v>13051.18</v>
      </c>
      <c r="AY18" s="238">
        <f>IF(SUM($AS$18:AX18)+IF(AX18="0","0",AX18)&gt;$AQ18,0,AX18)</f>
        <v>13051.18</v>
      </c>
      <c r="AZ18" s="238">
        <f>IF(SUM($AS$18:AY18)+IF(AY18="0","0",AY18)&gt;$AQ18,0,AY18)</f>
        <v>13051.18</v>
      </c>
      <c r="BA18" s="238">
        <f>IF(SUM($AS$18:AZ18)+IF(AZ18="0","0",AZ18)&gt;$AQ18,0,AZ18)</f>
        <v>13051.18</v>
      </c>
      <c r="BB18" s="238">
        <f>IF(SUM($AS$18:BA18)+IF(BA18="0","0",BA18)&gt;$AQ18,0,BA18)</f>
        <v>13051.18</v>
      </c>
      <c r="BC18" s="238">
        <f>IF(SUM($AS$18:BB18)+IF(BB18="0","0",BB18)&gt;$AQ18,0,BB18)</f>
        <v>13051.18</v>
      </c>
      <c r="BD18" s="239">
        <f>IF(SUM($AS$18:BC18)+IF(BC18="0","0",BC18)&gt;$AQ18,0,BC18)</f>
        <v>13051.18</v>
      </c>
      <c r="BE18" s="237">
        <f>IF(SUM($AS$18:BD18)+IF(BD18="0","0",BD18)&gt;$AQ18,0,BD18)</f>
        <v>13051.18</v>
      </c>
      <c r="BF18" s="238">
        <f>IF(SUM($AS$18:BE18)+IF(BE18="0","0",BE18)&gt;$AQ18,0,BE18)</f>
        <v>13051.18</v>
      </c>
      <c r="BG18" s="238">
        <f>IF(SUM($AS$18:BF18)+IF(BF18="0","0",BF18)&gt;$AQ18,0,BF18)</f>
        <v>13051.18</v>
      </c>
      <c r="BH18" s="238">
        <f>IF(SUM($AS$18:BG18)+IF(BG18="0","0",BG18)&gt;$AQ18,0,BG18)</f>
        <v>13051.18</v>
      </c>
      <c r="BI18" s="238">
        <f>IF(SUM($AS$18:BH18)+IF(BH18="0","0",BH18)&gt;$AQ18,0,BH18)</f>
        <v>13051.18</v>
      </c>
      <c r="BJ18" s="238">
        <f>IF(SUM($AS$18:BI18)+IF(BI18="0","0",BI18)&gt;$AQ18,0,BI18)</f>
        <v>13051.18</v>
      </c>
      <c r="BK18" s="238">
        <f>IF(SUM($AS$18:BJ18)+IF(BJ18="0","0",BJ18)&gt;$AQ18,0,BJ18)</f>
        <v>13051.18</v>
      </c>
      <c r="BL18" s="238">
        <f>IF(SUM($AS$18:BK18)+IF(BK18="0","0",BK18)&gt;$AQ18,0,BK18)</f>
        <v>13051.18</v>
      </c>
      <c r="BM18" s="238">
        <f>IF(SUM($AS$18:BL18)+IF(BL18="0","0",BL18)&gt;$AQ18,0,BL18)</f>
        <v>13051.18</v>
      </c>
      <c r="BN18" s="238">
        <f>IF(SUM($AS$18:BM18)+IF(BM18="0","0",BM18)&gt;$AQ18,0,BM18)</f>
        <v>13051.18</v>
      </c>
      <c r="BO18" s="238">
        <f>IF(SUM($AS$18:BN18)+IF(BN18="0","0",BN18)&gt;$AQ18,0,BN18)</f>
        <v>13051.18</v>
      </c>
      <c r="BP18" s="239">
        <f>IF(SUM($AS$18:BO18)+IF(BO18="0","0",BO18)&gt;$AQ18,0,BO18)</f>
        <v>13051.18</v>
      </c>
      <c r="BQ18" s="237">
        <f>IF(SUM($AS$18:BP18)+IF(BP18="0","0",BP18)&gt;$AQ18,0,BP18)</f>
        <v>13051.18</v>
      </c>
      <c r="BR18" s="238">
        <f>IF(SUM($AS$18:BQ18)+IF(BQ18="0","0",BQ18)&gt;$AQ18,0,BQ18)</f>
        <v>13051.18</v>
      </c>
      <c r="BS18" s="145">
        <f>IF(SUM($AS$18:BR18)+IF(BR18="0","0",BR18)&gt;$AQ18,0,BR18)</f>
        <v>0</v>
      </c>
      <c r="BT18" s="145">
        <f>IF(SUM($AS$18:BS18)+IF(BS18="0","0",BS18)&gt;$AQ18,0,BS18)</f>
        <v>0</v>
      </c>
      <c r="BU18" s="145">
        <f>IF(SUM($AS$18:BT18)+IF(BT18="0","0",BT18)&gt;$AQ18,0,BT18)</f>
        <v>0</v>
      </c>
      <c r="BV18" s="145">
        <f>IF(SUM($AS$18:BU18)+IF(BU18="0","0",BU18)&gt;$AQ18,0,BU18)</f>
        <v>0</v>
      </c>
      <c r="BW18" s="145">
        <f>IF(SUM($AS$18:BV18)+IF(BV18="0","0",BV18)&gt;$AQ18,0,BV18)</f>
        <v>0</v>
      </c>
      <c r="BX18" s="145">
        <f>IF(SUM($AS$18:BW18)+IF(BW18="0","0",BW18)&gt;$AQ18,0,BW18)</f>
        <v>0</v>
      </c>
      <c r="BY18" s="145">
        <f>IF(SUM($AS$18:BX18)+IF(BX18="0","0",BX18)&gt;$AQ18,0,BX18)</f>
        <v>0</v>
      </c>
      <c r="BZ18" s="145">
        <f>IF(SUM($AS$18:BY18)+IF(BY18="0","0",BY18)&gt;$AQ18,0,BY18)</f>
        <v>0</v>
      </c>
      <c r="CA18" s="145">
        <f>IF(SUM($AS$18:BZ18)+IF(BZ18="0","0",BZ18)&gt;$AQ18,0,BZ18)</f>
        <v>0</v>
      </c>
      <c r="CB18" s="222">
        <f>IF(SUM($AS$18:CA18)+IF(CA18="0","0",CA18)&gt;$AQ18,0,CA18)</f>
        <v>0</v>
      </c>
      <c r="CC18" s="223">
        <f>IF(SUM($AS$18:CB18)+IF(CB18="0","0",CB18)&gt;$AQ18,0,CB18)</f>
        <v>0</v>
      </c>
      <c r="CD18" s="145">
        <f>IF(SUM($AS$18:CC18)+IF(CC18="0","0",CC18)&gt;$AQ18,0,CC18)</f>
        <v>0</v>
      </c>
      <c r="CE18" s="145">
        <f>IF(SUM($AS$18:CD18)+IF(CD18="0","0",CD18)&gt;$AQ18,0,CD18)</f>
        <v>0</v>
      </c>
      <c r="CF18" s="145">
        <f>IF(SUM($AS$18:CE18)+IF(CE18="0","0",CE18)&gt;$AQ18,0,CE18)</f>
        <v>0</v>
      </c>
      <c r="CG18" s="145">
        <f>IF(SUM($AS$18:CF18)+IF(CF18="0","0",CF18)&gt;$AQ18,0,CF18)</f>
        <v>0</v>
      </c>
      <c r="CH18" s="145">
        <f>IF(SUM($AS$18:CG18)+IF(CG18="0","0",CG18)&gt;$AQ18,0,CG18)</f>
        <v>0</v>
      </c>
      <c r="CI18" s="145">
        <f>IF(SUM($AS$18:CH18)+IF(CH18="0","0",CH18)&gt;$AQ18,0,CH18)</f>
        <v>0</v>
      </c>
      <c r="CJ18" s="145">
        <f>IF(SUM($AS$18:CI18)+IF(CI18="0","0",CI18)&gt;$AQ18,0,CI18)</f>
        <v>0</v>
      </c>
      <c r="CK18" s="145">
        <f>IF(SUM($AS$18:CJ18)+IF(CJ18="0","0",CJ18)&gt;$AQ18,0,CJ18)</f>
        <v>0</v>
      </c>
      <c r="CL18" s="145">
        <f>IF(SUM($AS$18:CK18)+IF(CK18="0","0",CK18)&gt;$AQ18,0,CK18)</f>
        <v>0</v>
      </c>
      <c r="CM18" s="145">
        <f>IF(SUM($AS$18:CL18)+IF(CL18="0","0",CL18)&gt;$AQ18,0,CL18)</f>
        <v>0</v>
      </c>
      <c r="CN18" s="224">
        <f>IF(SUM($AS$18:CM18)+IF(CM18="0","0",CM18)&gt;$AQ18,0,CM18)</f>
        <v>0</v>
      </c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</row>
    <row r="19" spans="1:158" s="70" customFormat="1">
      <c r="A19" s="225">
        <v>14</v>
      </c>
      <c r="B19" s="226" t="s">
        <v>134</v>
      </c>
      <c r="C19" s="226" t="s">
        <v>135</v>
      </c>
      <c r="D19" s="226"/>
      <c r="E19" s="228">
        <v>45093</v>
      </c>
      <c r="F19" s="228"/>
      <c r="G19" s="229">
        <v>561052.4</v>
      </c>
      <c r="H19" s="229">
        <f t="shared" si="2"/>
        <v>168315.72</v>
      </c>
      <c r="I19" s="229">
        <f t="shared" si="8"/>
        <v>392736.68</v>
      </c>
      <c r="J19" s="230">
        <v>561052.4</v>
      </c>
      <c r="K19" s="229"/>
      <c r="L19" s="229"/>
      <c r="M19" s="229">
        <f t="shared" si="3"/>
        <v>561052.4</v>
      </c>
      <c r="N19" s="229">
        <f t="shared" si="9"/>
        <v>112210.48000000001</v>
      </c>
      <c r="O19" s="229">
        <f t="shared" si="12"/>
        <v>9350.8700000000008</v>
      </c>
      <c r="P19" s="229">
        <v>60468.959333333347</v>
      </c>
      <c r="Q19" s="229">
        <v>25892.130136986292</v>
      </c>
      <c r="R19" s="229">
        <v>278322.98052968038</v>
      </c>
      <c r="S19" s="229">
        <v>10773.792794697305</v>
      </c>
      <c r="T19" s="229">
        <f>ROUND($O$19,2)</f>
        <v>9350.8700000000008</v>
      </c>
      <c r="U19" s="229">
        <f>ROUND($O$19,2)</f>
        <v>9350.8700000000008</v>
      </c>
      <c r="V19" s="229">
        <f>ROUND($O$19,2)</f>
        <v>9350.8700000000008</v>
      </c>
      <c r="W19" s="229">
        <f>ROUND($O$19,2)</f>
        <v>9350.8700000000008</v>
      </c>
      <c r="X19" s="229">
        <v>10773.792794697305</v>
      </c>
      <c r="Y19" s="229">
        <v>2067.6575171232871</v>
      </c>
      <c r="Z19" s="231">
        <f t="shared" si="5"/>
        <v>10773.792794697305</v>
      </c>
      <c r="AA19" s="229">
        <f t="shared" si="5"/>
        <v>2067.6575171232871</v>
      </c>
      <c r="AB19" s="232">
        <f t="shared" si="5"/>
        <v>10773.792794697305</v>
      </c>
      <c r="AC19" s="234">
        <f t="shared" si="5"/>
        <v>2067.6575171232871</v>
      </c>
      <c r="AD19" s="232">
        <f t="shared" si="5"/>
        <v>10773.792794697305</v>
      </c>
      <c r="AE19" s="234">
        <f t="shared" si="5"/>
        <v>2067.6575171232871</v>
      </c>
      <c r="AF19" s="232">
        <f t="shared" si="5"/>
        <v>10773.792794697305</v>
      </c>
      <c r="AG19" s="234">
        <v>2067.66</v>
      </c>
      <c r="AH19" s="234">
        <v>10773.792794697305</v>
      </c>
      <c r="AI19" s="238">
        <v>2067.66</v>
      </c>
      <c r="AJ19" s="229">
        <v>10773.79</v>
      </c>
      <c r="AK19" s="229">
        <v>2067.66</v>
      </c>
      <c r="AL19" s="229">
        <v>10773.79</v>
      </c>
      <c r="AM19" s="229">
        <v>2067.66</v>
      </c>
      <c r="AN19" s="235">
        <f>SUM(T19:AM19)</f>
        <v>140135.08683667702</v>
      </c>
      <c r="AO19" s="235"/>
      <c r="AP19" s="206">
        <f t="shared" si="6"/>
        <v>200604.04617001035</v>
      </c>
      <c r="AQ19" s="206">
        <f t="shared" si="1"/>
        <v>360448.35382998968</v>
      </c>
      <c r="AR19" s="236"/>
      <c r="AS19" s="237">
        <f t="shared" si="7"/>
        <v>12841.45</v>
      </c>
      <c r="AT19" s="238">
        <f t="shared" si="13"/>
        <v>12841.45</v>
      </c>
      <c r="AU19" s="238">
        <f>IF(SUM($AS$19:AT19)+IF(AT19="0","0",AT19)&gt;$AQ19,0,AT19)</f>
        <v>12841.45</v>
      </c>
      <c r="AV19" s="238">
        <f>IF(SUM($AS$19:AU19)+IF(AU19="0","0",AU19)&gt;$AQ19,0,AU19)</f>
        <v>12841.45</v>
      </c>
      <c r="AW19" s="238">
        <f>IF(SUM($AS$19:AV19)+IF(AV19="0","0",AV19)&gt;$AQ19,0,AV19)</f>
        <v>12841.45</v>
      </c>
      <c r="AX19" s="238">
        <f>IF(SUM($AS$19:AW19)+IF(AW19="0","0",AW19)&gt;$AQ19,0,AW19)</f>
        <v>12841.45</v>
      </c>
      <c r="AY19" s="238">
        <f>IF(SUM($AS$19:AX19)+IF(AX19="0","0",AX19)&gt;$AQ19,0,AX19)</f>
        <v>12841.45</v>
      </c>
      <c r="AZ19" s="238">
        <f>IF(SUM($AS$19:AY19)+IF(AY19="0","0",AY19)&gt;$AQ19,0,AY19)</f>
        <v>12841.45</v>
      </c>
      <c r="BA19" s="238">
        <f>IF(SUM($AS$19:AZ19)+IF(AZ19="0","0",AZ19)&gt;$AQ19,0,AZ19)</f>
        <v>12841.45</v>
      </c>
      <c r="BB19" s="238">
        <f>IF(SUM($AS$19:BA19)+IF(BA19="0","0",BA19)&gt;$AQ19,0,BA19)</f>
        <v>12841.45</v>
      </c>
      <c r="BC19" s="238">
        <f>IF(SUM($AS$19:BB19)+IF(BB19="0","0",BB19)&gt;$AQ19,0,BB19)</f>
        <v>12841.45</v>
      </c>
      <c r="BD19" s="239">
        <f>IF(SUM($AS$19:BC19)+IF(BC19="0","0",BC19)&gt;$AQ19,0,BC19)</f>
        <v>12841.45</v>
      </c>
      <c r="BE19" s="237">
        <f>IF(SUM($AS$19:BD19)+IF(BD19="0","0",BD19)&gt;$AQ19,0,BD19)</f>
        <v>12841.45</v>
      </c>
      <c r="BF19" s="238">
        <f>IF(SUM($AS$19:BE19)+IF(BE19="0","0",BE19)&gt;$AQ19,0,BE19)</f>
        <v>12841.45</v>
      </c>
      <c r="BG19" s="238">
        <f>IF(SUM($AS$19:BF19)+IF(BF19="0","0",BF19)&gt;$AQ19,0,BF19)</f>
        <v>12841.45</v>
      </c>
      <c r="BH19" s="238">
        <f>IF(SUM($AS$19:BG19)+IF(BG19="0","0",BG19)&gt;$AQ19,0,BG19)</f>
        <v>12841.45</v>
      </c>
      <c r="BI19" s="238">
        <f>IF(SUM($AS$19:BH19)+IF(BH19="0","0",BH19)&gt;$AQ19,0,BH19)</f>
        <v>12841.45</v>
      </c>
      <c r="BJ19" s="238">
        <f>IF(SUM($AS$19:BI19)+IF(BI19="0","0",BI19)&gt;$AQ19,0,BI19)</f>
        <v>12841.45</v>
      </c>
      <c r="BK19" s="238">
        <f>IF(SUM($AS$19:BJ19)+IF(BJ19="0","0",BJ19)&gt;$AQ19,0,BJ19)</f>
        <v>12841.45</v>
      </c>
      <c r="BL19" s="238">
        <f>IF(SUM($AS$19:BK19)+IF(BK19="0","0",BK19)&gt;$AQ19,0,BK19)</f>
        <v>12841.45</v>
      </c>
      <c r="BM19" s="238">
        <f>IF(SUM($AS$19:BL19)+IF(BL19="0","0",BL19)&gt;$AQ19,0,BL19)</f>
        <v>12841.45</v>
      </c>
      <c r="BN19" s="238">
        <f>IF(SUM($AS$19:BM19)+IF(BM19="0","0",BM19)&gt;$AQ19,0,BM19)</f>
        <v>12841.45</v>
      </c>
      <c r="BO19" s="238">
        <f>IF(SUM($AS$19:BN19)+IF(BN19="0","0",BN19)&gt;$AQ19,0,BN19)</f>
        <v>12841.45</v>
      </c>
      <c r="BP19" s="239">
        <f>IF(SUM($AS$19:BO19)+IF(BO19="0","0",BO19)&gt;$AQ19,0,BO19)</f>
        <v>12841.45</v>
      </c>
      <c r="BQ19" s="237">
        <f>IF(SUM($AS$19:BP19)+IF(BP19="0","0",BP19)&gt;$AQ19,0,BP19)</f>
        <v>12841.45</v>
      </c>
      <c r="BR19" s="238">
        <f>IF(SUM($AS$19:BQ19)+IF(BQ19="0","0",BQ19)&gt;$AQ19,0,BQ19)</f>
        <v>12841.45</v>
      </c>
      <c r="BS19" s="238">
        <f>IF(SUM($AS$19:BR19)+IF(BR19="0","0",BR19)&gt;$AQ19,0,BR19)</f>
        <v>12841.45</v>
      </c>
      <c r="BT19" s="238">
        <f>IF(SUM($AS$19:BS19)+IF(BS19="0","0",BS19)&gt;$AQ19,0,BS19)</f>
        <v>12841.45</v>
      </c>
      <c r="BU19" s="145">
        <f>IF(SUM($AS$19:BT19)+IF(BT19="0","0",BT19)&gt;$AQ19,0,BT19)</f>
        <v>0</v>
      </c>
      <c r="BV19" s="145">
        <f>IF(SUM($AS$19:BU19)+IF(BU19="0","0",BU19)&gt;$AQ19,0,BU19)</f>
        <v>0</v>
      </c>
      <c r="BW19" s="145">
        <f>IF(SUM($AS$19:BV19)+IF(BV19="0","0",BV19)&gt;$AQ19,0,BV19)</f>
        <v>0</v>
      </c>
      <c r="BX19" s="145">
        <f>IF(SUM($AS$19:BW19)+IF(BW19="0","0",BW19)&gt;$AQ19,0,BW19)</f>
        <v>0</v>
      </c>
      <c r="BY19" s="145">
        <f>IF(SUM($AS$19:BX19)+IF(BX19="0","0",BX19)&gt;$AQ19,0,BX19)</f>
        <v>0</v>
      </c>
      <c r="BZ19" s="145">
        <f>IF(SUM($AS$19:BY19)+IF(BY19="0","0",BY19)&gt;$AQ19,0,BY19)</f>
        <v>0</v>
      </c>
      <c r="CA19" s="145">
        <f>IF(SUM($AS$19:BZ19)+IF(BZ19="0","0",BZ19)&gt;$AQ19,0,BZ19)</f>
        <v>0</v>
      </c>
      <c r="CB19" s="222">
        <f>IF(SUM($AS$19:CA19)+IF(CA19="0","0",CA19)&gt;$AQ19,0,CA19)</f>
        <v>0</v>
      </c>
      <c r="CC19" s="223">
        <f>IF(SUM($AS$19:CB19)+IF(CB19="0","0",CB19)&gt;$AQ19,0,CB19)</f>
        <v>0</v>
      </c>
      <c r="CD19" s="145">
        <f>IF(SUM($AS$19:CC19)+IF(CC19="0","0",CC19)&gt;$AQ19,0,CC19)</f>
        <v>0</v>
      </c>
      <c r="CE19" s="145">
        <f>IF(SUM($AS$19:CD19)+IF(CD19="0","0",CD19)&gt;$AQ19,0,CD19)</f>
        <v>0</v>
      </c>
      <c r="CF19" s="145">
        <f>IF(SUM($AS$19:CE19)+IF(CE19="0","0",CE19)&gt;$AQ19,0,CE19)</f>
        <v>0</v>
      </c>
      <c r="CG19" s="145">
        <f>IF(SUM($AS$19:CF19)+IF(CF19="0","0",CF19)&gt;$AQ19,0,CF19)</f>
        <v>0</v>
      </c>
      <c r="CH19" s="145">
        <f>IF(SUM($AS$19:CG19)+IF(CG19="0","0",CG19)&gt;$AQ19,0,CG19)</f>
        <v>0</v>
      </c>
      <c r="CI19" s="145">
        <f>IF(SUM($AS$19:CH19)+IF(CH19="0","0",CH19)&gt;$AQ19,0,CH19)</f>
        <v>0</v>
      </c>
      <c r="CJ19" s="145">
        <f>IF(SUM($AS$19:CI19)+IF(CI19="0","0",CI19)&gt;$AQ19,0,CI19)</f>
        <v>0</v>
      </c>
      <c r="CK19" s="145">
        <f>IF(SUM($AS$19:CJ19)+IF(CJ19="0","0",CJ19)&gt;$AQ19,0,CJ19)</f>
        <v>0</v>
      </c>
      <c r="CL19" s="145">
        <f>IF(SUM($AS$19:CK19)+IF(CK19="0","0",CK19)&gt;$AQ19,0,CK19)</f>
        <v>0</v>
      </c>
      <c r="CM19" s="145">
        <f>IF(SUM($AS$19:CL19)+IF(CL19="0","0",CL19)&gt;$AQ19,0,CL19)</f>
        <v>0</v>
      </c>
      <c r="CN19" s="224">
        <f>IF(SUM($AS$19:CM19)+IF(CM19="0","0",CM19)&gt;$AQ19,0,CM19)</f>
        <v>0</v>
      </c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</row>
    <row r="20" spans="1:158" s="70" customFormat="1">
      <c r="A20" s="225">
        <v>15</v>
      </c>
      <c r="B20" s="226" t="s">
        <v>136</v>
      </c>
      <c r="C20" s="226" t="s">
        <v>137</v>
      </c>
      <c r="D20" s="226"/>
      <c r="E20" s="228">
        <v>45093</v>
      </c>
      <c r="F20" s="228"/>
      <c r="G20" s="229">
        <v>542957.19999999995</v>
      </c>
      <c r="H20" s="229">
        <f t="shared" si="2"/>
        <v>162887.15999999997</v>
      </c>
      <c r="I20" s="229">
        <f t="shared" si="8"/>
        <v>380070.03999999992</v>
      </c>
      <c r="J20" s="230">
        <v>542957.19999999995</v>
      </c>
      <c r="K20" s="229"/>
      <c r="L20" s="229"/>
      <c r="M20" s="229">
        <f t="shared" si="3"/>
        <v>542957.19999999995</v>
      </c>
      <c r="N20" s="229">
        <f t="shared" si="9"/>
        <v>108591.44</v>
      </c>
      <c r="O20" s="229">
        <f t="shared" si="12"/>
        <v>9049.2900000000009</v>
      </c>
      <c r="P20" s="229">
        <v>58518.742000000006</v>
      </c>
      <c r="Q20" s="229">
        <v>25056.988694063897</v>
      </c>
      <c r="R20" s="229">
        <v>269346.4393059361</v>
      </c>
      <c r="S20" s="229">
        <v>10426.313779584623</v>
      </c>
      <c r="T20" s="229">
        <f>ROUND($O$20,2)</f>
        <v>9049.2900000000009</v>
      </c>
      <c r="U20" s="229">
        <f>ROUND($O$20,2)</f>
        <v>9049.2900000000009</v>
      </c>
      <c r="V20" s="229">
        <f>ROUND($O$20,2)</f>
        <v>9049.2900000000009</v>
      </c>
      <c r="W20" s="229">
        <f>ROUND($O$20,2)</f>
        <v>9049.2900000000009</v>
      </c>
      <c r="X20" s="229">
        <v>10426.313779584623</v>
      </c>
      <c r="Y20" s="229">
        <v>2000.9623367579879</v>
      </c>
      <c r="Z20" s="231">
        <f t="shared" si="5"/>
        <v>10426.313779584623</v>
      </c>
      <c r="AA20" s="229">
        <f t="shared" si="5"/>
        <v>2000.9623367579879</v>
      </c>
      <c r="AB20" s="232">
        <f t="shared" si="5"/>
        <v>10426.313779584623</v>
      </c>
      <c r="AC20" s="234">
        <f t="shared" si="5"/>
        <v>2000.9623367579879</v>
      </c>
      <c r="AD20" s="232">
        <f t="shared" si="5"/>
        <v>10426.313779584623</v>
      </c>
      <c r="AE20" s="234">
        <f t="shared" si="5"/>
        <v>2000.9623367579879</v>
      </c>
      <c r="AF20" s="232">
        <f t="shared" si="5"/>
        <v>10426.313779584623</v>
      </c>
      <c r="AG20" s="234">
        <v>2000.96</v>
      </c>
      <c r="AH20" s="234">
        <v>10426.313779584623</v>
      </c>
      <c r="AI20" s="238">
        <v>2000.96</v>
      </c>
      <c r="AJ20" s="229">
        <v>10426.31</v>
      </c>
      <c r="AK20" s="229">
        <v>2000.96</v>
      </c>
      <c r="AL20" s="229">
        <v>10426.31</v>
      </c>
      <c r="AM20" s="229">
        <v>2000.96</v>
      </c>
      <c r="AN20" s="235">
        <f t="shared" si="10"/>
        <v>135615.35202453975</v>
      </c>
      <c r="AO20" s="235"/>
      <c r="AP20" s="206">
        <f t="shared" si="6"/>
        <v>194134.09402453975</v>
      </c>
      <c r="AQ20" s="206">
        <f t="shared" si="1"/>
        <v>348823.1059754602</v>
      </c>
      <c r="AR20" s="236"/>
      <c r="AS20" s="237">
        <f t="shared" si="7"/>
        <v>12427.27</v>
      </c>
      <c r="AT20" s="238">
        <f t="shared" si="13"/>
        <v>12427.27</v>
      </c>
      <c r="AU20" s="238">
        <f>IF(SUM($AS$20:AT20)+IF(AT20="0","0",AT20)&gt;$AQ20,0,AT20)</f>
        <v>12427.27</v>
      </c>
      <c r="AV20" s="238">
        <f>IF(SUM($AS$20:AU20)+IF(AU20="0","0",AU20)&gt;$AQ20,0,AU20)</f>
        <v>12427.27</v>
      </c>
      <c r="AW20" s="238">
        <f>IF(SUM($AS$20:AV20)+IF(AV20="0","0",AV20)&gt;$AQ20,0,AV20)</f>
        <v>12427.27</v>
      </c>
      <c r="AX20" s="238">
        <f>IF(SUM($AS$20:AW20)+IF(AW20="0","0",AW20)&gt;$AQ20,0,AW20)</f>
        <v>12427.27</v>
      </c>
      <c r="AY20" s="238">
        <f>IF(SUM($AS$20:AX20)+IF(AX20="0","0",AX20)&gt;$AQ20,0,AX20)</f>
        <v>12427.27</v>
      </c>
      <c r="AZ20" s="238">
        <f>IF(SUM($AS$20:AY20)+IF(AY20="0","0",AY20)&gt;$AQ20,0,AY20)</f>
        <v>12427.27</v>
      </c>
      <c r="BA20" s="238">
        <f>IF(SUM($AS$20:AZ20)+IF(AZ20="0","0",AZ20)&gt;$AQ20,0,AZ20)</f>
        <v>12427.27</v>
      </c>
      <c r="BB20" s="238">
        <f>IF(SUM($AS$20:BA20)+IF(BA20="0","0",BA20)&gt;$AQ20,0,BA20)</f>
        <v>12427.27</v>
      </c>
      <c r="BC20" s="238">
        <f>IF(SUM($AS$20:BB20)+IF(BB20="0","0",BB20)&gt;$AQ20,0,BB20)</f>
        <v>12427.27</v>
      </c>
      <c r="BD20" s="239">
        <f>IF(SUM($AS$20:BC20)+IF(BC20="0","0",BC20)&gt;$AQ20,0,BC20)</f>
        <v>12427.27</v>
      </c>
      <c r="BE20" s="237">
        <f>IF(SUM($AS$20:BD20)+IF(BD20="0","0",BD20)&gt;$AQ20,0,BD20)</f>
        <v>12427.27</v>
      </c>
      <c r="BF20" s="238">
        <f>IF(SUM($AS$20:BE20)+IF(BE20="0","0",BE20)&gt;$AQ20,0,BE20)</f>
        <v>12427.27</v>
      </c>
      <c r="BG20" s="238">
        <f>IF(SUM($AS$20:BF20)+IF(BF20="0","0",BF20)&gt;$AQ20,0,BF20)</f>
        <v>12427.27</v>
      </c>
      <c r="BH20" s="238">
        <f>IF(SUM($AS$20:BG20)+IF(BG20="0","0",BG20)&gt;$AQ20,0,BG20)</f>
        <v>12427.27</v>
      </c>
      <c r="BI20" s="238">
        <f>IF(SUM($AS$20:BH20)+IF(BH20="0","0",BH20)&gt;$AQ20,0,BH20)</f>
        <v>12427.27</v>
      </c>
      <c r="BJ20" s="238">
        <f>IF(SUM($AS$20:BI20)+IF(BI20="0","0",BI20)&gt;$AQ20,0,BI20)</f>
        <v>12427.27</v>
      </c>
      <c r="BK20" s="238">
        <f>IF(SUM($AS$20:BJ20)+IF(BJ20="0","0",BJ20)&gt;$AQ20,0,BJ20)</f>
        <v>12427.27</v>
      </c>
      <c r="BL20" s="238">
        <f>IF(SUM($AS$20:BK20)+IF(BK20="0","0",BK20)&gt;$AQ20,0,BK20)</f>
        <v>12427.27</v>
      </c>
      <c r="BM20" s="238">
        <f>IF(SUM($AS$20:BL20)+IF(BL20="0","0",BL20)&gt;$AQ20,0,BL20)</f>
        <v>12427.27</v>
      </c>
      <c r="BN20" s="238">
        <f>IF(SUM($AS$20:BM20)+IF(BM20="0","0",BM20)&gt;$AQ20,0,BM20)</f>
        <v>12427.27</v>
      </c>
      <c r="BO20" s="238">
        <f>IF(SUM($AS$20:BN20)+IF(BN20="0","0",BN20)&gt;$AQ20,0,BN20)</f>
        <v>12427.27</v>
      </c>
      <c r="BP20" s="239">
        <f>IF(SUM($AS$20:BO20)+IF(BO20="0","0",BO20)&gt;$AQ20,0,BO20)</f>
        <v>12427.27</v>
      </c>
      <c r="BQ20" s="237">
        <f>IF(SUM($AS$20:BP20)+IF(BP20="0","0",BP20)&gt;$AQ20,0,BP20)</f>
        <v>12427.27</v>
      </c>
      <c r="BR20" s="238">
        <f>IF(SUM($AS$20:BQ20)+IF(BQ20="0","0",BQ20)&gt;$AQ20,0,BQ20)</f>
        <v>12427.27</v>
      </c>
      <c r="BS20" s="238">
        <f>IF(SUM($AS$20:BR20)+IF(BR20="0","0",BR20)&gt;$AQ20,0,BR20)</f>
        <v>12427.27</v>
      </c>
      <c r="BT20" s="238">
        <f>IF(SUM($AS$20:BS20)+IF(BS20="0","0",BS20)&gt;$AQ20,0,BS20)</f>
        <v>12427.27</v>
      </c>
      <c r="BU20" s="145">
        <f>IF(SUM($AS$20:BT20)+IF(BT20="0","0",BT20)&gt;$AQ20,0,BT20)</f>
        <v>0</v>
      </c>
      <c r="BV20" s="145">
        <f>IF(SUM($AS$20:BU20)+IF(BU20="0","0",BU20)&gt;$AQ20,0,BU20)</f>
        <v>0</v>
      </c>
      <c r="BW20" s="145">
        <f>IF(SUM($AS$20:BV20)+IF(BV20="0","0",BV20)&gt;$AQ20,0,BV20)</f>
        <v>0</v>
      </c>
      <c r="BX20" s="145">
        <f>IF(SUM($AS$20:BW20)+IF(BW20="0","0",BW20)&gt;$AQ20,0,BW20)</f>
        <v>0</v>
      </c>
      <c r="BY20" s="145">
        <f>IF(SUM($AS$20:BX20)+IF(BX20="0","0",BX20)&gt;$AQ20,0,BX20)</f>
        <v>0</v>
      </c>
      <c r="BZ20" s="145">
        <f>IF(SUM($AS$20:BY20)+IF(BY20="0","0",BY20)&gt;$AQ20,0,BY20)</f>
        <v>0</v>
      </c>
      <c r="CA20" s="145">
        <f>IF(SUM($AS$20:BZ20)+IF(BZ20="0","0",BZ20)&gt;$AQ20,0,BZ20)</f>
        <v>0</v>
      </c>
      <c r="CB20" s="222">
        <f>IF(SUM($AS$20:CA20)+IF(CA20="0","0",CA20)&gt;$AQ20,0,CA20)</f>
        <v>0</v>
      </c>
      <c r="CC20" s="223">
        <f>IF(SUM($AS$20:CB20)+IF(CB20="0","0",CB20)&gt;$AQ20,0,CB20)</f>
        <v>0</v>
      </c>
      <c r="CD20" s="145">
        <f>IF(SUM($AS$20:CC20)+IF(CC20="0","0",CC20)&gt;$AQ20,0,CC20)</f>
        <v>0</v>
      </c>
      <c r="CE20" s="145">
        <f>IF(SUM($AS$20:CD20)+IF(CD20="0","0",CD20)&gt;$AQ20,0,CD20)</f>
        <v>0</v>
      </c>
      <c r="CF20" s="145">
        <f>IF(SUM($AS$20:CE20)+IF(CE20="0","0",CE20)&gt;$AQ20,0,CE20)</f>
        <v>0</v>
      </c>
      <c r="CG20" s="145">
        <f>IF(SUM($AS$20:CF20)+IF(CF20="0","0",CF20)&gt;$AQ20,0,CF20)</f>
        <v>0</v>
      </c>
      <c r="CH20" s="145">
        <f>IF(SUM($AS$20:CG20)+IF(CG20="0","0",CG20)&gt;$AQ20,0,CG20)</f>
        <v>0</v>
      </c>
      <c r="CI20" s="145">
        <f>IF(SUM($AS$20:CH20)+IF(CH20="0","0",CH20)&gt;$AQ20,0,CH20)</f>
        <v>0</v>
      </c>
      <c r="CJ20" s="145">
        <f>IF(SUM($AS$20:CI20)+IF(CI20="0","0",CI20)&gt;$AQ20,0,CI20)</f>
        <v>0</v>
      </c>
      <c r="CK20" s="145">
        <f>IF(SUM($AS$20:CJ20)+IF(CJ20="0","0",CJ20)&gt;$AQ20,0,CJ20)</f>
        <v>0</v>
      </c>
      <c r="CL20" s="145">
        <f>IF(SUM($AS$20:CK20)+IF(CK20="0","0",CK20)&gt;$AQ20,0,CK20)</f>
        <v>0</v>
      </c>
      <c r="CM20" s="145">
        <f>IF(SUM($AS$20:CL20)+IF(CL20="0","0",CL20)&gt;$AQ20,0,CL20)</f>
        <v>0</v>
      </c>
      <c r="CN20" s="224">
        <f>IF(SUM($AS$20:CM20)+IF(CM20="0","0",CM20)&gt;$AQ20,0,CM20)</f>
        <v>0</v>
      </c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</row>
    <row r="21" spans="1:158" s="70" customFormat="1">
      <c r="A21" s="225">
        <v>16</v>
      </c>
      <c r="B21" s="226" t="s">
        <v>138</v>
      </c>
      <c r="C21" s="226" t="s">
        <v>139</v>
      </c>
      <c r="D21" s="226"/>
      <c r="E21" s="228">
        <v>45168</v>
      </c>
      <c r="F21" s="228"/>
      <c r="G21" s="229">
        <v>352380.95</v>
      </c>
      <c r="H21" s="229">
        <f t="shared" si="2"/>
        <v>105714.285</v>
      </c>
      <c r="I21" s="229">
        <f t="shared" si="8"/>
        <v>246666.66499999998</v>
      </c>
      <c r="J21" s="230">
        <v>352380.95</v>
      </c>
      <c r="K21" s="229"/>
      <c r="L21" s="229"/>
      <c r="M21" s="229">
        <f t="shared" si="3"/>
        <v>352380.95</v>
      </c>
      <c r="N21" s="229">
        <f t="shared" si="9"/>
        <v>70476.19</v>
      </c>
      <c r="O21" s="229">
        <f t="shared" si="12"/>
        <v>5873.02</v>
      </c>
      <c r="P21" s="229">
        <v>23681.532258064519</v>
      </c>
      <c r="Q21" s="229">
        <v>13664.399760200322</v>
      </c>
      <c r="R21" s="229">
        <v>191701.67298173517</v>
      </c>
      <c r="S21" s="229">
        <v>6765.941399355359</v>
      </c>
      <c r="T21" s="229">
        <f>ROUND($O$21,2)</f>
        <v>5873.02</v>
      </c>
      <c r="U21" s="229">
        <f>ROUND($O$21,2)</f>
        <v>5873.02</v>
      </c>
      <c r="V21" s="229">
        <f>ROUND($O$21,2)</f>
        <v>5873.02</v>
      </c>
      <c r="W21" s="229">
        <f>ROUND($O$21,2)</f>
        <v>5873.02</v>
      </c>
      <c r="X21" s="229">
        <v>6765.941399355359</v>
      </c>
      <c r="Y21" s="229">
        <v>973.92247002504064</v>
      </c>
      <c r="Z21" s="231">
        <f t="shared" si="5"/>
        <v>6765.941399355359</v>
      </c>
      <c r="AA21" s="229">
        <f t="shared" si="5"/>
        <v>973.92247002504064</v>
      </c>
      <c r="AB21" s="232">
        <f t="shared" si="5"/>
        <v>6765.941399355359</v>
      </c>
      <c r="AC21" s="234">
        <f t="shared" si="5"/>
        <v>973.92247002504064</v>
      </c>
      <c r="AD21" s="232">
        <f t="shared" si="5"/>
        <v>6765.941399355359</v>
      </c>
      <c r="AE21" s="234">
        <f t="shared" si="5"/>
        <v>973.92247002504064</v>
      </c>
      <c r="AF21" s="232">
        <f t="shared" si="5"/>
        <v>6765.941399355359</v>
      </c>
      <c r="AG21" s="234">
        <v>973.92</v>
      </c>
      <c r="AH21" s="234">
        <v>6765.941399355359</v>
      </c>
      <c r="AI21" s="233">
        <v>973.92</v>
      </c>
      <c r="AJ21" s="229">
        <v>6765.94</v>
      </c>
      <c r="AK21" s="229">
        <v>973.92</v>
      </c>
      <c r="AL21" s="229">
        <v>6765.94</v>
      </c>
      <c r="AM21" s="229">
        <v>973.92</v>
      </c>
      <c r="AN21" s="235">
        <f t="shared" si="10"/>
        <v>85410.97827623233</v>
      </c>
      <c r="AO21" s="235"/>
      <c r="AP21" s="206">
        <f t="shared" si="6"/>
        <v>109092.51053429685</v>
      </c>
      <c r="AQ21" s="206">
        <f t="shared" si="1"/>
        <v>243288.43946570315</v>
      </c>
      <c r="AR21" s="236"/>
      <c r="AS21" s="237">
        <f t="shared" si="7"/>
        <v>7739.86</v>
      </c>
      <c r="AT21" s="238">
        <f t="shared" si="13"/>
        <v>7739.86</v>
      </c>
      <c r="AU21" s="238">
        <f>IF(SUM($AS$21:AT21)+IF(AT21="0","0",AT21)&gt;$AQ21,0,AT21)</f>
        <v>7739.86</v>
      </c>
      <c r="AV21" s="238">
        <f>IF(SUM($AS$21:AU21)+IF(AU21="0","0",AU21)&gt;$AQ21,0,AU21)</f>
        <v>7739.86</v>
      </c>
      <c r="AW21" s="238">
        <f>IF(SUM($AS$21:AV21)+IF(AV21="0","0",AV21)&gt;$AQ21,0,AV21)</f>
        <v>7739.86</v>
      </c>
      <c r="AX21" s="238">
        <f>IF(SUM($AS$21:AW21)+IF(AW21="0","0",AW21)&gt;$AQ21,0,AW21)</f>
        <v>7739.86</v>
      </c>
      <c r="AY21" s="238">
        <f>IF(SUM($AS$21:AX21)+IF(AX21="0","0",AX21)&gt;$AQ21,0,AX21)</f>
        <v>7739.86</v>
      </c>
      <c r="AZ21" s="238">
        <f>IF(SUM($AS$21:AY21)+IF(AY21="0","0",AY21)&gt;$AQ21,0,AY21)</f>
        <v>7739.86</v>
      </c>
      <c r="BA21" s="238">
        <f>IF(SUM($AS$21:AZ21)+IF(AZ21="0","0",AZ21)&gt;$AQ21,0,AZ21)</f>
        <v>7739.86</v>
      </c>
      <c r="BB21" s="238">
        <f>IF(SUM($AS$21:BA21)+IF(BA21="0","0",BA21)&gt;$AQ21,0,BA21)</f>
        <v>7739.86</v>
      </c>
      <c r="BC21" s="238">
        <f>IF(SUM($AS$21:BB21)+IF(BB21="0","0",BB21)&gt;$AQ21,0,BB21)</f>
        <v>7739.86</v>
      </c>
      <c r="BD21" s="239">
        <f>IF(SUM($AS$21:BC21)+IF(BC21="0","0",BC21)&gt;$AQ21,0,BC21)</f>
        <v>7739.86</v>
      </c>
      <c r="BE21" s="237">
        <f>IF(SUM($AS$21:BD21)+IF(BD21="0","0",BD21)&gt;$AQ21,0,BD21)</f>
        <v>7739.86</v>
      </c>
      <c r="BF21" s="238">
        <f>IF(SUM($AS$21:BE21)+IF(BE21="0","0",BE21)&gt;$AQ21,0,BE21)</f>
        <v>7739.86</v>
      </c>
      <c r="BG21" s="238">
        <f>IF(SUM($AS$21:BF21)+IF(BF21="0","0",BF21)&gt;$AQ21,0,BF21)</f>
        <v>7739.86</v>
      </c>
      <c r="BH21" s="238">
        <f>IF(SUM($AS$21:BG21)+IF(BG21="0","0",BG21)&gt;$AQ21,0,BG21)</f>
        <v>7739.86</v>
      </c>
      <c r="BI21" s="238">
        <f>IF(SUM($AS$21:BH21)+IF(BH21="0","0",BH21)&gt;$AQ21,0,BH21)</f>
        <v>7739.86</v>
      </c>
      <c r="BJ21" s="238">
        <f>IF(SUM($AS$21:BI21)+IF(BI21="0","0",BI21)&gt;$AQ21,0,BI21)</f>
        <v>7739.86</v>
      </c>
      <c r="BK21" s="238">
        <f>IF(SUM($AS$21:BJ21)+IF(BJ21="0","0",BJ21)&gt;$AQ21,0,BJ21)</f>
        <v>7739.86</v>
      </c>
      <c r="BL21" s="238">
        <f>IF(SUM($AS$21:BK21)+IF(BK21="0","0",BK21)&gt;$AQ21,0,BK21)</f>
        <v>7739.86</v>
      </c>
      <c r="BM21" s="238">
        <f>IF(SUM($AS$21:BL21)+IF(BL21="0","0",BL21)&gt;$AQ21,0,BL21)</f>
        <v>7739.86</v>
      </c>
      <c r="BN21" s="238">
        <f>IF(SUM($AS$21:BM21)+IF(BM21="0","0",BM21)&gt;$AQ21,0,BM21)</f>
        <v>7739.86</v>
      </c>
      <c r="BO21" s="238">
        <f>IF(SUM($AS$21:BN21)+IF(BN21="0","0",BN21)&gt;$AQ21,0,BN21)</f>
        <v>7739.86</v>
      </c>
      <c r="BP21" s="239">
        <f>IF(SUM($AS$21:BO21)+IF(BO21="0","0",BO21)&gt;$AQ21,0,BO21)</f>
        <v>7739.86</v>
      </c>
      <c r="BQ21" s="237">
        <f>IF(SUM($AS$21:BP21)+IF(BP21="0","0",BP21)&gt;$AQ21,0,BP21)</f>
        <v>7739.86</v>
      </c>
      <c r="BR21" s="238">
        <f>IF(SUM($AS$21:BQ21)+IF(BQ21="0","0",BQ21)&gt;$AQ21,0,BQ21)</f>
        <v>7739.86</v>
      </c>
      <c r="BS21" s="238">
        <f>IF(SUM($AS$21:BR21)+IF(BR21="0","0",BR21)&gt;$AQ21,0,BR21)</f>
        <v>7739.86</v>
      </c>
      <c r="BT21" s="238">
        <f>IF(SUM($AS$21:BS21)+IF(BS21="0","0",BS21)&gt;$AQ21,0,BS21)</f>
        <v>7739.86</v>
      </c>
      <c r="BU21" s="238">
        <f>IF(SUM($AS$21:BT21)+IF(BT21="0","0",BT21)&gt;$AQ21,0,BT21)</f>
        <v>7739.86</v>
      </c>
      <c r="BV21" s="238">
        <f>IF(SUM($AS$21:BU21)+IF(BU21="0","0",BU21)&gt;$AQ21,0,BU21)</f>
        <v>7739.86</v>
      </c>
      <c r="BW21" s="238">
        <f>IF(SUM($AS$21:BV21)+IF(BV21="0","0",BV21)&gt;$AQ21,0,BV21)</f>
        <v>7739.86</v>
      </c>
      <c r="BX21" s="145">
        <f>IF(SUM($AS$21:BW21)+IF(BW21="0","0",BW21)&gt;$AQ21,0,BW21)</f>
        <v>0</v>
      </c>
      <c r="BY21" s="145">
        <f>IF(SUM($AS$21:BX21)+IF(BX21="0","0",BX21)&gt;$AQ21,0,BX21)</f>
        <v>0</v>
      </c>
      <c r="BZ21" s="145">
        <f>IF(SUM($AS$21:BY21)+IF(BY21="0","0",BY21)&gt;$AQ21,0,BY21)</f>
        <v>0</v>
      </c>
      <c r="CA21" s="145">
        <f>IF(SUM($AS$21:BZ21)+IF(BZ21="0","0",BZ21)&gt;$AQ21,0,BZ21)</f>
        <v>0</v>
      </c>
      <c r="CB21" s="222">
        <f>IF(SUM($AS$21:CA21)+IF(CA21="0","0",CA21)&gt;$AQ21,0,CA21)</f>
        <v>0</v>
      </c>
      <c r="CC21" s="223">
        <f>IF(SUM($AS$21:CB21)+IF(CB21="0","0",CB21)&gt;$AQ21,0,CB21)</f>
        <v>0</v>
      </c>
      <c r="CD21" s="145">
        <f>IF(SUM($AS$21:CC21)+IF(CC21="0","0",CC21)&gt;$AQ21,0,CC21)</f>
        <v>0</v>
      </c>
      <c r="CE21" s="145">
        <f>IF(SUM($AS$21:CD21)+IF(CD21="0","0",CD21)&gt;$AQ21,0,CD21)</f>
        <v>0</v>
      </c>
      <c r="CF21" s="145">
        <f>IF(SUM($AS$21:CE21)+IF(CE21="0","0",CE21)&gt;$AQ21,0,CE21)</f>
        <v>0</v>
      </c>
      <c r="CG21" s="145">
        <f>IF(SUM($AS$21:CF21)+IF(CF21="0","0",CF21)&gt;$AQ21,0,CF21)</f>
        <v>0</v>
      </c>
      <c r="CH21" s="145">
        <f>IF(SUM($AS$21:CG21)+IF(CG21="0","0",CG21)&gt;$AQ21,0,CG21)</f>
        <v>0</v>
      </c>
      <c r="CI21" s="145">
        <f>IF(SUM($AS$21:CH21)+IF(CH21="0","0",CH21)&gt;$AQ21,0,CH21)</f>
        <v>0</v>
      </c>
      <c r="CJ21" s="145">
        <f>IF(SUM($AS$21:CI21)+IF(CI21="0","0",CI21)&gt;$AQ21,0,CI21)</f>
        <v>0</v>
      </c>
      <c r="CK21" s="145">
        <f>IF(SUM($AS$21:CJ21)+IF(CJ21="0","0",CJ21)&gt;$AQ21,0,CJ21)</f>
        <v>0</v>
      </c>
      <c r="CL21" s="145">
        <f>IF(SUM($AS$21:CK21)+IF(CK21="0","0",CK21)&gt;$AQ21,0,CK21)</f>
        <v>0</v>
      </c>
      <c r="CM21" s="145">
        <f>IF(SUM($AS$21:CL21)+IF(CL21="0","0",CL21)&gt;$AQ21,0,CL21)</f>
        <v>0</v>
      </c>
      <c r="CN21" s="224">
        <f>IF(SUM($AS$21:CM21)+IF(CM21="0","0",CM21)&gt;$AQ21,0,CM21)</f>
        <v>0</v>
      </c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</row>
    <row r="22" spans="1:158" s="70" customFormat="1">
      <c r="A22" s="225">
        <v>17</v>
      </c>
      <c r="B22" s="226" t="s">
        <v>140</v>
      </c>
      <c r="C22" s="226" t="s">
        <v>141</v>
      </c>
      <c r="D22" s="226"/>
      <c r="E22" s="240">
        <v>45183</v>
      </c>
      <c r="F22" s="228"/>
      <c r="G22" s="230">
        <v>1093758.68</v>
      </c>
      <c r="H22" s="229">
        <f t="shared" si="2"/>
        <v>328127.60399999999</v>
      </c>
      <c r="I22" s="229">
        <f t="shared" si="8"/>
        <v>765631.07599999988</v>
      </c>
      <c r="J22" s="230">
        <v>1300229.18</v>
      </c>
      <c r="K22" s="229"/>
      <c r="L22" s="229"/>
      <c r="M22" s="229">
        <f t="shared" si="3"/>
        <v>1300229.18</v>
      </c>
      <c r="N22" s="229">
        <f t="shared" si="9"/>
        <v>218751.736</v>
      </c>
      <c r="O22" s="229">
        <f t="shared" si="12"/>
        <v>18229.310000000001</v>
      </c>
      <c r="P22" s="229">
        <v>76569</v>
      </c>
      <c r="Q22" s="229">
        <v>28861.349821004551</v>
      </c>
      <c r="R22" s="229">
        <v>605512.7961789954</v>
      </c>
      <c r="S22" s="229">
        <v>21000.443798115448</v>
      </c>
      <c r="T22" s="229">
        <f>ROUND($O$22,2)</f>
        <v>18229.310000000001</v>
      </c>
      <c r="U22" s="229">
        <f>ROUND($O$22,2)</f>
        <v>18229.310000000001</v>
      </c>
      <c r="V22" s="229">
        <f>ROUND($O$22,2)</f>
        <v>18229.310000000001</v>
      </c>
      <c r="W22" s="229">
        <f>ROUND($O$22,2)</f>
        <v>18229.310000000001</v>
      </c>
      <c r="X22" s="229">
        <v>21000.443798115448</v>
      </c>
      <c r="Y22" s="229">
        <v>1329.0049776255692</v>
      </c>
      <c r="Z22" s="231">
        <f>X22</f>
        <v>21000.443798115448</v>
      </c>
      <c r="AA22" s="229">
        <f t="shared" ref="AA22:AA35" si="14">Y22</f>
        <v>1329.0049776255692</v>
      </c>
      <c r="AB22" s="232">
        <f>Z22</f>
        <v>21000.443798115448</v>
      </c>
      <c r="AC22" s="234">
        <f t="shared" ref="AC22" si="15">AA22</f>
        <v>1329.0049776255692</v>
      </c>
      <c r="AD22" s="232">
        <f>AB22</f>
        <v>21000.443798115448</v>
      </c>
      <c r="AE22" s="234">
        <f t="shared" ref="AE22" si="16">AC22</f>
        <v>1329.0049776255692</v>
      </c>
      <c r="AF22" s="232">
        <f>AD22</f>
        <v>21000.443798115448</v>
      </c>
      <c r="AG22" s="234">
        <v>1329</v>
      </c>
      <c r="AH22" s="234">
        <v>21000.443798115448</v>
      </c>
      <c r="AI22" s="238">
        <v>1329</v>
      </c>
      <c r="AJ22" s="229">
        <v>21000.44</v>
      </c>
      <c r="AK22" s="229">
        <v>1329</v>
      </c>
      <c r="AL22" s="229">
        <v>21000.44</v>
      </c>
      <c r="AM22" s="229">
        <v>1329</v>
      </c>
      <c r="AN22" s="235">
        <f>SUM(T22:AM22)</f>
        <v>251552.80269919496</v>
      </c>
      <c r="AO22" s="235"/>
      <c r="AP22" s="206">
        <f>P22+AN22-AO22</f>
        <v>328121.80269919499</v>
      </c>
      <c r="AQ22" s="206">
        <f t="shared" si="1"/>
        <v>972107.37730080495</v>
      </c>
      <c r="AR22" s="236"/>
      <c r="AS22" s="237">
        <f t="shared" si="7"/>
        <v>22329.439999999999</v>
      </c>
      <c r="AT22" s="238">
        <f t="shared" si="13"/>
        <v>22329.439999999999</v>
      </c>
      <c r="AU22" s="238">
        <f>IF(SUM($AS$22:AT22)+IF(AT22="0","0",AT22)&gt;$AQ22,0,AT22)</f>
        <v>22329.439999999999</v>
      </c>
      <c r="AV22" s="238">
        <f>IF(SUM($AS$22:AU22)+IF(AU22="0","0",AU22)&gt;$AQ22,0,AU22)</f>
        <v>22329.439999999999</v>
      </c>
      <c r="AW22" s="238">
        <f>IF(SUM($AS$22:AV22)+IF(AV22="0","0",AV22)&gt;$AQ22,0,AV22)</f>
        <v>22329.439999999999</v>
      </c>
      <c r="AX22" s="238">
        <f>IF(SUM($AS$22:AW22)+IF(AW22="0","0",AW22)&gt;$AQ22,0,AW22)</f>
        <v>22329.439999999999</v>
      </c>
      <c r="AY22" s="238">
        <f>IF(SUM($AS$22:AX22)+IF(AX22="0","0",AX22)&gt;$AQ22,0,AX22)</f>
        <v>22329.439999999999</v>
      </c>
      <c r="AZ22" s="238">
        <f>IF(SUM($AS$22:AY22)+IF(AY22="0","0",AY22)&gt;$AQ22,0,AY22)</f>
        <v>22329.439999999999</v>
      </c>
      <c r="BA22" s="238">
        <f>IF(SUM($AS$22:AZ22)+IF(AZ22="0","0",AZ22)&gt;$AQ22,0,AZ22)</f>
        <v>22329.439999999999</v>
      </c>
      <c r="BB22" s="238">
        <f>IF(SUM($AS$22:BA22)+IF(BA22="0","0",BA22)&gt;$AQ22,0,BA22)</f>
        <v>22329.439999999999</v>
      </c>
      <c r="BC22" s="238">
        <f>IF(SUM($AS$22:BB22)+IF(BB22="0","0",BB22)&gt;$AQ22,0,BB22)</f>
        <v>22329.439999999999</v>
      </c>
      <c r="BD22" s="239">
        <f>IF(SUM($AS$22:BC22)+IF(BC22="0","0",BC22)&gt;$AQ22,0,BC22)</f>
        <v>22329.439999999999</v>
      </c>
      <c r="BE22" s="237">
        <f>IF(SUM($AS$22:BD22)+IF(BD22="0","0",BD22)&gt;$AQ22,0,BD22)</f>
        <v>22329.439999999999</v>
      </c>
      <c r="BF22" s="238">
        <f>IF(SUM($AS$22:BE22)+IF(BE22="0","0",BE22)&gt;$AQ22,0,BE22)</f>
        <v>22329.439999999999</v>
      </c>
      <c r="BG22" s="238">
        <f>IF(SUM($AS$22:BF22)+IF(BF22="0","0",BF22)&gt;$AQ22,0,BF22)</f>
        <v>22329.439999999999</v>
      </c>
      <c r="BH22" s="238">
        <f>IF(SUM($AS$22:BG22)+IF(BG22="0","0",BG22)&gt;$AQ22,0,BG22)</f>
        <v>22329.439999999999</v>
      </c>
      <c r="BI22" s="238">
        <f>IF(SUM($AS$22:BH22)+IF(BH22="0","0",BH22)&gt;$AQ22,0,BH22)</f>
        <v>22329.439999999999</v>
      </c>
      <c r="BJ22" s="238">
        <f>IF(SUM($AS$22:BI22)+IF(BI22="0","0",BI22)&gt;$AQ22,0,BI22)</f>
        <v>22329.439999999999</v>
      </c>
      <c r="BK22" s="238">
        <f>IF(SUM($AS$22:BJ22)+IF(BJ22="0","0",BJ22)&gt;$AQ22,0,BJ22)</f>
        <v>22329.439999999999</v>
      </c>
      <c r="BL22" s="238">
        <f>IF(SUM($AS$22:BK22)+IF(BK22="0","0",BK22)&gt;$AQ22,0,BK22)</f>
        <v>22329.439999999999</v>
      </c>
      <c r="BM22" s="238">
        <f>IF(SUM($AS$22:BL22)+IF(BL22="0","0",BL22)&gt;$AQ22,0,BL22)</f>
        <v>22329.439999999999</v>
      </c>
      <c r="BN22" s="238">
        <f>IF(SUM($AS$22:BM22)+IF(BM22="0","0",BM22)&gt;$AQ22,0,BM22)</f>
        <v>22329.439999999999</v>
      </c>
      <c r="BO22" s="238">
        <f>IF(SUM($AS$22:BN22)+IF(BN22="0","0",BN22)&gt;$AQ22,0,BN22)</f>
        <v>22329.439999999999</v>
      </c>
      <c r="BP22" s="239">
        <f>IF(SUM($AS$22:BO22)+IF(BO22="0","0",BO22)&gt;$AQ22,0,BO22)</f>
        <v>22329.439999999999</v>
      </c>
      <c r="BQ22" s="237">
        <f>IF(SUM($AS$22:BP22)+IF(BP22="0","0",BP22)&gt;$AQ22,0,BP22)</f>
        <v>22329.439999999999</v>
      </c>
      <c r="BR22" s="238">
        <f>IF(SUM($AS$22:BQ22)+IF(BQ22="0","0",BQ22)&gt;$AQ22,0,BQ22)</f>
        <v>22329.439999999999</v>
      </c>
      <c r="BS22" s="238">
        <f>IF(SUM($AS$22:BR22)+IF(BR22="0","0",BR22)&gt;$AQ22,0,BR22)</f>
        <v>22329.439999999999</v>
      </c>
      <c r="BT22" s="238">
        <f>IF(SUM($AS$22:BS22)+IF(BS22="0","0",BS22)&gt;$AQ22,0,BS22)</f>
        <v>22329.439999999999</v>
      </c>
      <c r="BU22" s="238">
        <f>IF(SUM($AS$22:BT22)+IF(BT22="0","0",BT22)&gt;$AQ22,0,BT22)</f>
        <v>22329.439999999999</v>
      </c>
      <c r="BV22" s="238">
        <f>IF(SUM($AS$22:BU22)+IF(BU22="0","0",BU22)&gt;$AQ22,0,BU22)</f>
        <v>22329.439999999999</v>
      </c>
      <c r="BW22" s="238">
        <f>IF(SUM($AS$22:BV22)+IF(BV22="0","0",BV22)&gt;$AQ22,0,BV22)</f>
        <v>22329.439999999999</v>
      </c>
      <c r="BX22" s="238">
        <f>IF(SUM($AS$22:BW22)+IF(BW22="0","0",BW22)&gt;$AQ22,0,BW22)</f>
        <v>22329.439999999999</v>
      </c>
      <c r="BY22" s="238">
        <f>IF(SUM($AS$22:BX22)+IF(BX22="0","0",BX22)&gt;$AQ22,0,BX22)</f>
        <v>22329.439999999999</v>
      </c>
      <c r="BZ22" s="238">
        <f>IF(SUM($AS$22:BY22)+IF(BY22="0","0",BY22)&gt;$AQ22,0,BY22)</f>
        <v>22329.439999999999</v>
      </c>
      <c r="CA22" s="238">
        <f>IF(SUM($AS$22:BZ22)+IF(BZ22="0","0",BZ22)&gt;$AQ22,0,BZ22)</f>
        <v>22329.439999999999</v>
      </c>
      <c r="CB22" s="239">
        <f>IF(SUM($AS$22:CA22)+IF(CA22="0","0",CA22)&gt;$AQ22,0,CA22)</f>
        <v>22329.439999999999</v>
      </c>
      <c r="CC22" s="237">
        <f>IF(SUM($AS$22:CB22)+IF(CB22="0","0",CB22)&gt;$AQ22,0,CB22)</f>
        <v>22329.439999999999</v>
      </c>
      <c r="CD22" s="238">
        <f>IF(SUM($AS$22:CC22)+IF(CC22="0","0",CC22)&gt;$AQ22,0,CC22)</f>
        <v>22329.439999999999</v>
      </c>
      <c r="CE22" s="238">
        <f>IF(SUM($AS$22:CD22)+IF(CD22="0","0",CD22)&gt;$AQ22,0,CD22)</f>
        <v>22329.439999999999</v>
      </c>
      <c r="CF22" s="238">
        <f>IF(SUM($AS$22:CE22)+IF(CE22="0","0",CE22)&gt;$AQ22,0,CE22)</f>
        <v>22329.439999999999</v>
      </c>
      <c r="CG22" s="238">
        <f>IF(SUM($AS$22:CF22)+IF(CF22="0","0",CF22)&gt;$AQ22,0,CF22)</f>
        <v>22329.439999999999</v>
      </c>
      <c r="CH22" s="238">
        <f>IF(SUM($AS$22:CG22)+IF(CG22="0","0",CG22)&gt;$AQ22,0,CG22)</f>
        <v>22329.439999999999</v>
      </c>
      <c r="CI22" s="238">
        <f>IF(SUM($AS$22:CH22)+IF(CH22="0","0",CH22)&gt;$AQ22,0,CH22)</f>
        <v>22329.439999999999</v>
      </c>
      <c r="CJ22" s="145">
        <f>IF(SUM($AS$22:CI22)+IF(CI22="0","0",CI22)&gt;$AQ22,0,CI22)</f>
        <v>0</v>
      </c>
      <c r="CK22" s="145">
        <f>IF(SUM($AS$22:CJ22)+IF(CJ22="0","0",CJ22)&gt;$AQ22,0,CJ22)</f>
        <v>0</v>
      </c>
      <c r="CL22" s="145">
        <f>IF(SUM($AS$22:CK22)+IF(CK22="0","0",CK22)&gt;$AQ22,0,CK22)</f>
        <v>0</v>
      </c>
      <c r="CM22" s="145">
        <f>IF(SUM($AS$22:CL22)+IF(CL22="0","0",CL22)&gt;$AQ22,0,CL22)</f>
        <v>0</v>
      </c>
      <c r="CN22" s="224">
        <f>IF(SUM($AS$22:CM22)+IF(CM22="0","0",CM22)&gt;$AQ22,0,CM22)</f>
        <v>0</v>
      </c>
      <c r="CO22" s="241"/>
      <c r="CP22" s="241"/>
      <c r="CQ22" s="241"/>
      <c r="CR22" s="241"/>
      <c r="CS22" s="24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</row>
    <row r="23" spans="1:158" s="70" customFormat="1">
      <c r="A23" s="225">
        <v>18</v>
      </c>
      <c r="B23" s="226" t="s">
        <v>138</v>
      </c>
      <c r="C23" s="226" t="s">
        <v>142</v>
      </c>
      <c r="D23" s="226"/>
      <c r="E23" s="240">
        <v>45223</v>
      </c>
      <c r="F23" s="228"/>
      <c r="G23" s="229">
        <v>449797</v>
      </c>
      <c r="H23" s="229">
        <f t="shared" si="2"/>
        <v>134939.1</v>
      </c>
      <c r="I23" s="229">
        <f t="shared" si="8"/>
        <v>314857.89999999997</v>
      </c>
      <c r="J23" s="230">
        <v>449797</v>
      </c>
      <c r="K23" s="229"/>
      <c r="L23" s="229"/>
      <c r="M23" s="229">
        <f t="shared" si="3"/>
        <v>449797</v>
      </c>
      <c r="N23" s="229">
        <f t="shared" si="9"/>
        <v>89959.400000000009</v>
      </c>
      <c r="O23" s="229">
        <f t="shared" si="12"/>
        <v>7496.62</v>
      </c>
      <c r="P23" s="229">
        <v>16444.198709677417</v>
      </c>
      <c r="Q23" s="229">
        <v>15411.277454706149</v>
      </c>
      <c r="R23" s="229">
        <v>260512.56383561646</v>
      </c>
      <c r="S23" s="229">
        <v>8635.7755967607663</v>
      </c>
      <c r="T23" s="229">
        <f>ROUND($O$23,2)</f>
        <v>7496.62</v>
      </c>
      <c r="U23" s="229">
        <f>ROUND($O$23,2)</f>
        <v>7496.62</v>
      </c>
      <c r="V23" s="229">
        <f>ROUND($O$23,2)</f>
        <v>7496.62</v>
      </c>
      <c r="W23" s="229">
        <f>ROUND($O$23,2)</f>
        <v>7496.62</v>
      </c>
      <c r="X23" s="229">
        <v>8635.7755967607663</v>
      </c>
      <c r="Y23" s="229">
        <v>989.3321818382683</v>
      </c>
      <c r="Z23" s="231">
        <f t="shared" ref="Z23:Z35" si="17">X23</f>
        <v>8635.7755967607663</v>
      </c>
      <c r="AA23" s="229">
        <f>Y23</f>
        <v>989.3321818382683</v>
      </c>
      <c r="AB23" s="232">
        <f t="shared" ref="AB23:AC35" si="18">Z23</f>
        <v>8635.7755967607663</v>
      </c>
      <c r="AC23" s="234">
        <f>AA23</f>
        <v>989.3321818382683</v>
      </c>
      <c r="AD23" s="232">
        <f t="shared" ref="AD23:AF35" si="19">AB23</f>
        <v>8635.7755967607663</v>
      </c>
      <c r="AE23" s="234">
        <f>AC23</f>
        <v>989.3321818382683</v>
      </c>
      <c r="AF23" s="232">
        <f t="shared" si="19"/>
        <v>8635.7755967607663</v>
      </c>
      <c r="AG23" s="234">
        <v>989.33</v>
      </c>
      <c r="AH23" s="234">
        <v>8635.7755967607663</v>
      </c>
      <c r="AI23" s="233">
        <v>989.33</v>
      </c>
      <c r="AJ23" s="229">
        <v>8635.7800000000007</v>
      </c>
      <c r="AK23" s="229">
        <v>989.33</v>
      </c>
      <c r="AL23" s="229">
        <v>8635.7800000000007</v>
      </c>
      <c r="AM23" s="229">
        <v>989.33</v>
      </c>
      <c r="AN23" s="235">
        <f t="shared" si="10"/>
        <v>106987.34230791767</v>
      </c>
      <c r="AO23" s="235"/>
      <c r="AP23" s="206">
        <f>P23+AN23-AO23</f>
        <v>123431.5410175951</v>
      </c>
      <c r="AQ23" s="206">
        <f t="shared" si="1"/>
        <v>326365.4589824049</v>
      </c>
      <c r="AR23" s="236"/>
      <c r="AS23" s="237">
        <f t="shared" si="7"/>
        <v>9625.11</v>
      </c>
      <c r="AT23" s="238">
        <f t="shared" si="13"/>
        <v>9625.11</v>
      </c>
      <c r="AU23" s="238">
        <f>IF(SUM($AS$23:AT23)+IF(AT23="0","0",AT23)&gt;$AQ23,0,AT23)</f>
        <v>9625.11</v>
      </c>
      <c r="AV23" s="238">
        <f>IF(SUM($AS$23:AU23)+IF(AU23="0","0",AU23)&gt;$AQ23,0,AU23)</f>
        <v>9625.11</v>
      </c>
      <c r="AW23" s="238">
        <f>IF(SUM($AS$23:AV23)+IF(AV23="0","0",AV23)&gt;$AQ23,0,AV23)</f>
        <v>9625.11</v>
      </c>
      <c r="AX23" s="238">
        <f>IF(SUM($AS$23:AW23)+IF(AW23="0","0",AW23)&gt;$AQ23,0,AW23)</f>
        <v>9625.11</v>
      </c>
      <c r="AY23" s="238">
        <f>IF(SUM($AS$23:AX23)+IF(AX23="0","0",AX23)&gt;$AQ23,0,AX23)</f>
        <v>9625.11</v>
      </c>
      <c r="AZ23" s="238">
        <f>IF(SUM($AS$23:AY23)+IF(AY23="0","0",AY23)&gt;$AQ23,0,AY23)</f>
        <v>9625.11</v>
      </c>
      <c r="BA23" s="238">
        <f>IF(SUM($AS$23:AZ23)+IF(AZ23="0","0",AZ23)&gt;$AQ23,0,AZ23)</f>
        <v>9625.11</v>
      </c>
      <c r="BB23" s="238">
        <f>IF(SUM($AS$23:BA23)+IF(BA23="0","0",BA23)&gt;$AQ23,0,BA23)</f>
        <v>9625.11</v>
      </c>
      <c r="BC23" s="238">
        <f>IF(SUM($AS$23:BB23)+IF(BB23="0","0",BB23)&gt;$AQ23,0,BB23)</f>
        <v>9625.11</v>
      </c>
      <c r="BD23" s="239">
        <f>IF(SUM($AS$23:BC23)+IF(BC23="0","0",BC23)&gt;$AQ23,0,BC23)</f>
        <v>9625.11</v>
      </c>
      <c r="BE23" s="237">
        <f>IF(SUM($AS$23:BD23)+IF(BD23="0","0",BD23)&gt;$AQ23,0,BD23)</f>
        <v>9625.11</v>
      </c>
      <c r="BF23" s="238">
        <f>IF(SUM($AS$23:BE23)+IF(BE23="0","0",BE23)&gt;$AQ23,0,BE23)</f>
        <v>9625.11</v>
      </c>
      <c r="BG23" s="238">
        <f>IF(SUM($AS$23:BF23)+IF(BF23="0","0",BF23)&gt;$AQ23,0,BF23)</f>
        <v>9625.11</v>
      </c>
      <c r="BH23" s="238">
        <f>IF(SUM($AS$23:BG23)+IF(BG23="0","0",BG23)&gt;$AQ23,0,BG23)</f>
        <v>9625.11</v>
      </c>
      <c r="BI23" s="238">
        <f>IF(SUM($AS$23:BH23)+IF(BH23="0","0",BH23)&gt;$AQ23,0,BH23)</f>
        <v>9625.11</v>
      </c>
      <c r="BJ23" s="238">
        <f>IF(SUM($AS$23:BI23)+IF(BI23="0","0",BI23)&gt;$AQ23,0,BI23)</f>
        <v>9625.11</v>
      </c>
      <c r="BK23" s="238">
        <f>IF(SUM($AS$23:BJ23)+IF(BJ23="0","0",BJ23)&gt;$AQ23,0,BJ23)</f>
        <v>9625.11</v>
      </c>
      <c r="BL23" s="238">
        <f>IF(SUM($AS$23:BK23)+IF(BK23="0","0",BK23)&gt;$AQ23,0,BK23)</f>
        <v>9625.11</v>
      </c>
      <c r="BM23" s="238">
        <f>IF(SUM($AS$23:BL23)+IF(BL23="0","0",BL23)&gt;$AQ23,0,BL23)</f>
        <v>9625.11</v>
      </c>
      <c r="BN23" s="238">
        <f>IF(SUM($AS$23:BM23)+IF(BM23="0","0",BM23)&gt;$AQ23,0,BM23)</f>
        <v>9625.11</v>
      </c>
      <c r="BO23" s="238">
        <f>IF(SUM($AS$23:BN23)+IF(BN23="0","0",BN23)&gt;$AQ23,0,BN23)</f>
        <v>9625.11</v>
      </c>
      <c r="BP23" s="239">
        <f>IF(SUM($AS$23:BO23)+IF(BO23="0","0",BO23)&gt;$AQ23,0,BO23)</f>
        <v>9625.11</v>
      </c>
      <c r="BQ23" s="237">
        <f>IF(SUM($AS$23:BP23)+IF(BP23="0","0",BP23)&gt;$AQ23,0,BP23)</f>
        <v>9625.11</v>
      </c>
      <c r="BR23" s="238">
        <f>IF(SUM($AS$23:BQ23)+IF(BQ23="0","0",BQ23)&gt;$AQ23,0,BQ23)</f>
        <v>9625.11</v>
      </c>
      <c r="BS23" s="238">
        <f>IF(SUM($AS$23:BR23)+IF(BR23="0","0",BR23)&gt;$AQ23,0,BR23)</f>
        <v>9625.11</v>
      </c>
      <c r="BT23" s="238">
        <f>IF(SUM($AS$23:BS23)+IF(BS23="0","0",BS23)&gt;$AQ23,0,BS23)</f>
        <v>9625.11</v>
      </c>
      <c r="BU23" s="238">
        <f>IF(SUM($AS$23:BT23)+IF(BT23="0","0",BT23)&gt;$AQ23,0,BT23)</f>
        <v>9625.11</v>
      </c>
      <c r="BV23" s="238">
        <f>IF(SUM($AS$23:BU23)+IF(BU23="0","0",BU23)&gt;$AQ23,0,BU23)</f>
        <v>9625.11</v>
      </c>
      <c r="BW23" s="238">
        <f>IF(SUM($AS$23:BV23)+IF(BV23="0","0",BV23)&gt;$AQ23,0,BV23)</f>
        <v>9625.11</v>
      </c>
      <c r="BX23" s="238">
        <f>IF(SUM($AS$23:BW23)+IF(BW23="0","0",BW23)&gt;$AQ23,0,BW23)</f>
        <v>9625.11</v>
      </c>
      <c r="BY23" s="238">
        <f>IF(SUM($AS$23:BX23)+IF(BX23="0","0",BX23)&gt;$AQ23,0,BX23)</f>
        <v>9625.11</v>
      </c>
      <c r="BZ23" s="145">
        <f>IF(SUM($AS$23:BY23)+IF(BY23="0","0",BY23)&gt;$AQ23,0,BY23)</f>
        <v>0</v>
      </c>
      <c r="CA23" s="145">
        <f>IF(SUM($AS$23:BZ23)+IF(BZ23="0","0",BZ23)&gt;$AQ23,0,BZ23)</f>
        <v>0</v>
      </c>
      <c r="CB23" s="222">
        <f>IF(SUM($AS$23:CA23)+IF(CA23="0","0",CA23)&gt;$AQ23,0,CA23)</f>
        <v>0</v>
      </c>
      <c r="CC23" s="223">
        <f>IF(SUM($AS$23:CB23)+IF(CB23="0","0",CB23)&gt;$AQ23,0,CB23)</f>
        <v>0</v>
      </c>
      <c r="CD23" s="145">
        <f>IF(SUM($AS$23:CC23)+IF(CC23="0","0",CC23)&gt;$AQ23,0,CC23)</f>
        <v>0</v>
      </c>
      <c r="CE23" s="145">
        <f>IF(SUM($AS$23:CD23)+IF(CD23="0","0",CD23)&gt;$AQ23,0,CD23)</f>
        <v>0</v>
      </c>
      <c r="CF23" s="145">
        <f>IF(SUM($AS$23:CE23)+IF(CE23="0","0",CE23)&gt;$AQ23,0,CE23)</f>
        <v>0</v>
      </c>
      <c r="CG23" s="145">
        <f>IF(SUM($AS$23:CF23)+IF(CF23="0","0",CF23)&gt;$AQ23,0,CF23)</f>
        <v>0</v>
      </c>
      <c r="CH23" s="145">
        <f>IF(SUM($AS$23:CG23)+IF(CG23="0","0",CG23)&gt;$AQ23,0,CG23)</f>
        <v>0</v>
      </c>
      <c r="CI23" s="145">
        <f>IF(SUM($AS$23:CH23)+IF(CH23="0","0",CH23)&gt;$AQ23,0,CH23)</f>
        <v>0</v>
      </c>
      <c r="CJ23" s="145">
        <f>IF(SUM($AS$23:CI23)+IF(CI23="0","0",CI23)&gt;$AQ23,0,CI23)</f>
        <v>0</v>
      </c>
      <c r="CK23" s="145">
        <f>IF(SUM($AS$23:CJ23)+IF(CJ23="0","0",CJ23)&gt;$AQ23,0,CJ23)</f>
        <v>0</v>
      </c>
      <c r="CL23" s="145">
        <f>IF(SUM($AS$23:CK23)+IF(CK23="0","0",CK23)&gt;$AQ23,0,CK23)</f>
        <v>0</v>
      </c>
      <c r="CM23" s="145">
        <f>IF(SUM($AS$23:CL23)+IF(CL23="0","0",CL23)&gt;$AQ23,0,CL23)</f>
        <v>0</v>
      </c>
      <c r="CN23" s="224">
        <f>IF(SUM($AS$23:CM23)+IF(CM23="0","0",CM23)&gt;$AQ23,0,CM23)</f>
        <v>0</v>
      </c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</row>
    <row r="24" spans="1:158" s="70" customFormat="1">
      <c r="A24" s="225">
        <v>19</v>
      </c>
      <c r="B24" s="226" t="s">
        <v>138</v>
      </c>
      <c r="C24" s="226" t="s">
        <v>143</v>
      </c>
      <c r="D24" s="226"/>
      <c r="E24" s="240">
        <v>45225</v>
      </c>
      <c r="F24" s="228"/>
      <c r="G24" s="229">
        <v>433333</v>
      </c>
      <c r="H24" s="229">
        <f t="shared" si="2"/>
        <v>129999.9</v>
      </c>
      <c r="I24" s="229">
        <f t="shared" si="8"/>
        <v>303333.09999999998</v>
      </c>
      <c r="J24" s="230">
        <v>433333</v>
      </c>
      <c r="K24" s="229"/>
      <c r="L24" s="229"/>
      <c r="M24" s="229">
        <f t="shared" si="3"/>
        <v>433333</v>
      </c>
      <c r="N24" s="229">
        <f t="shared" si="9"/>
        <v>86666.6</v>
      </c>
      <c r="O24" s="229">
        <f t="shared" si="12"/>
        <v>7222.22</v>
      </c>
      <c r="P24" s="229">
        <v>15376.33935483871</v>
      </c>
      <c r="Q24" s="229">
        <v>14759.091695389594</v>
      </c>
      <c r="R24" s="229">
        <v>251531.00894977167</v>
      </c>
      <c r="S24" s="229">
        <v>8319.6585099152708</v>
      </c>
      <c r="T24" s="229">
        <f>ROUND($O$24,2)</f>
        <v>7222.22</v>
      </c>
      <c r="U24" s="229">
        <f>ROUND($O$24,2)</f>
        <v>7222.22</v>
      </c>
      <c r="V24" s="229">
        <f>ROUND($O$24,2)</f>
        <v>7222.22</v>
      </c>
      <c r="W24" s="229">
        <f>ROUND($O$24,2)</f>
        <v>7222.22</v>
      </c>
      <c r="X24" s="229">
        <v>8319.6585099152708</v>
      </c>
      <c r="Y24" s="229">
        <v>942.1089619236991</v>
      </c>
      <c r="Z24" s="231">
        <f t="shared" si="17"/>
        <v>8319.6585099152708</v>
      </c>
      <c r="AA24" s="229">
        <f t="shared" si="14"/>
        <v>942.1089619236991</v>
      </c>
      <c r="AB24" s="232">
        <f t="shared" si="18"/>
        <v>8319.6585099152708</v>
      </c>
      <c r="AC24" s="234">
        <f t="shared" si="18"/>
        <v>942.1089619236991</v>
      </c>
      <c r="AD24" s="232">
        <f t="shared" si="19"/>
        <v>8319.6585099152708</v>
      </c>
      <c r="AE24" s="234">
        <f t="shared" si="19"/>
        <v>942.1089619236991</v>
      </c>
      <c r="AF24" s="232">
        <f t="shared" si="19"/>
        <v>8319.6585099152708</v>
      </c>
      <c r="AG24" s="234">
        <v>942.11</v>
      </c>
      <c r="AH24" s="234">
        <v>8319.6585099152708</v>
      </c>
      <c r="AI24" s="233">
        <v>942.11</v>
      </c>
      <c r="AJ24" s="229">
        <v>8319.66</v>
      </c>
      <c r="AK24" s="229">
        <v>942.11</v>
      </c>
      <c r="AL24" s="229">
        <v>8319.66</v>
      </c>
      <c r="AM24" s="229">
        <v>942.11</v>
      </c>
      <c r="AN24" s="235">
        <f t="shared" si="10"/>
        <v>102983.02690718645</v>
      </c>
      <c r="AO24" s="235"/>
      <c r="AP24" s="206">
        <f t="shared" si="6"/>
        <v>118359.36626202516</v>
      </c>
      <c r="AQ24" s="206">
        <f t="shared" si="1"/>
        <v>314973.63373797486</v>
      </c>
      <c r="AR24" s="236"/>
      <c r="AS24" s="237">
        <f t="shared" si="7"/>
        <v>9261.77</v>
      </c>
      <c r="AT24" s="238">
        <f t="shared" si="13"/>
        <v>9261.77</v>
      </c>
      <c r="AU24" s="238">
        <f>IF(SUM($AS$24:AT24)+IF(AT24="0","0",AT24)&gt;$AQ24,0,AT24)</f>
        <v>9261.77</v>
      </c>
      <c r="AV24" s="238">
        <f>IF(SUM($AS$24:AU24)+IF(AU24="0","0",AU24)&gt;$AQ24,0,AU24)</f>
        <v>9261.77</v>
      </c>
      <c r="AW24" s="238">
        <f>IF(SUM($AS$24:AV24)+IF(AV24="0","0",AV24)&gt;$AQ24,0,AV24)</f>
        <v>9261.77</v>
      </c>
      <c r="AX24" s="238">
        <f>IF(SUM($AS$24:AW24)+IF(AW24="0","0",AW24)&gt;$AQ24,0,AW24)</f>
        <v>9261.77</v>
      </c>
      <c r="AY24" s="238">
        <f>IF(SUM($AS$24:AX24)+IF(AX24="0","0",AX24)&gt;$AQ24,0,AX24)</f>
        <v>9261.77</v>
      </c>
      <c r="AZ24" s="238">
        <f>IF(SUM($AS$24:AY24)+IF(AY24="0","0",AY24)&gt;$AQ24,0,AY24)</f>
        <v>9261.77</v>
      </c>
      <c r="BA24" s="238">
        <f>IF(SUM($AS$24:AZ24)+IF(AZ24="0","0",AZ24)&gt;$AQ24,0,AZ24)</f>
        <v>9261.77</v>
      </c>
      <c r="BB24" s="238">
        <f>IF(SUM($AS$24:BA24)+IF(BA24="0","0",BA24)&gt;$AQ24,0,BA24)</f>
        <v>9261.77</v>
      </c>
      <c r="BC24" s="238">
        <f>IF(SUM($AS$24:BB24)+IF(BB24="0","0",BB24)&gt;$AQ24,0,BB24)</f>
        <v>9261.77</v>
      </c>
      <c r="BD24" s="239">
        <f>IF(SUM($AS$24:BC24)+IF(BC24="0","0",BC24)&gt;$AQ24,0,BC24)</f>
        <v>9261.77</v>
      </c>
      <c r="BE24" s="237">
        <f>IF(SUM($AS$24:BD24)+IF(BD24="0","0",BD24)&gt;$AQ24,0,BD24)</f>
        <v>9261.77</v>
      </c>
      <c r="BF24" s="238">
        <f>IF(SUM($AS$24:BE24)+IF(BE24="0","0",BE24)&gt;$AQ24,0,BE24)</f>
        <v>9261.77</v>
      </c>
      <c r="BG24" s="238">
        <f>IF(SUM($AS$24:BF24)+IF(BF24="0","0",BF24)&gt;$AQ24,0,BF24)</f>
        <v>9261.77</v>
      </c>
      <c r="BH24" s="238">
        <f>IF(SUM($AS$24:BG24)+IF(BG24="0","0",BG24)&gt;$AQ24,0,BG24)</f>
        <v>9261.77</v>
      </c>
      <c r="BI24" s="238">
        <f>IF(SUM($AS$24:BH24)+IF(BH24="0","0",BH24)&gt;$AQ24,0,BH24)</f>
        <v>9261.77</v>
      </c>
      <c r="BJ24" s="238">
        <f>IF(SUM($AS$24:BI24)+IF(BI24="0","0",BI24)&gt;$AQ24,0,BI24)</f>
        <v>9261.77</v>
      </c>
      <c r="BK24" s="238">
        <f>IF(SUM($AS$24:BJ24)+IF(BJ24="0","0",BJ24)&gt;$AQ24,0,BJ24)</f>
        <v>9261.77</v>
      </c>
      <c r="BL24" s="238">
        <f>IF(SUM($AS$24:BK24)+IF(BK24="0","0",BK24)&gt;$AQ24,0,BK24)</f>
        <v>9261.77</v>
      </c>
      <c r="BM24" s="238">
        <f>IF(SUM($AS$24:BL24)+IF(BL24="0","0",BL24)&gt;$AQ24,0,BL24)</f>
        <v>9261.77</v>
      </c>
      <c r="BN24" s="238">
        <f>IF(SUM($AS$24:BM24)+IF(BM24="0","0",BM24)&gt;$AQ24,0,BM24)</f>
        <v>9261.77</v>
      </c>
      <c r="BO24" s="238">
        <f>IF(SUM($AS$24:BN24)+IF(BN24="0","0",BN24)&gt;$AQ24,0,BN24)</f>
        <v>9261.77</v>
      </c>
      <c r="BP24" s="239">
        <f>IF(SUM($AS$24:BO24)+IF(BO24="0","0",BO24)&gt;$AQ24,0,BO24)</f>
        <v>9261.77</v>
      </c>
      <c r="BQ24" s="237">
        <f>IF(SUM($AS$24:BP24)+IF(BP24="0","0",BP24)&gt;$AQ24,0,BP24)</f>
        <v>9261.77</v>
      </c>
      <c r="BR24" s="238">
        <f>IF(SUM($AS$24:BQ24)+IF(BQ24="0","0",BQ24)&gt;$AQ24,0,BQ24)</f>
        <v>9261.77</v>
      </c>
      <c r="BS24" s="238">
        <f>IF(SUM($AS$24:BR24)+IF(BR24="0","0",BR24)&gt;$AQ24,0,BR24)</f>
        <v>9261.77</v>
      </c>
      <c r="BT24" s="238">
        <f>IF(SUM($AS$24:BS24)+IF(BS24="0","0",BS24)&gt;$AQ24,0,BS24)</f>
        <v>9261.77</v>
      </c>
      <c r="BU24" s="238">
        <f>IF(SUM($AS$24:BT24)+IF(BT24="0","0",BT24)&gt;$AQ24,0,BT24)</f>
        <v>9261.77</v>
      </c>
      <c r="BV24" s="238">
        <f>IF(SUM($AS$24:BU24)+IF(BU24="0","0",BU24)&gt;$AQ24,0,BU24)</f>
        <v>9261.77</v>
      </c>
      <c r="BW24" s="238">
        <f>IF(SUM($AS$24:BV24)+IF(BV24="0","0",BV24)&gt;$AQ24,0,BV24)</f>
        <v>9261.77</v>
      </c>
      <c r="BX24" s="238">
        <f>IF(SUM($AS$24:BW24)+IF(BW24="0","0",BW24)&gt;$AQ24,0,BW24)</f>
        <v>9261.77</v>
      </c>
      <c r="BY24" s="238">
        <f>IF(SUM($AS$24:BX24)+IF(BX24="0","0",BX24)&gt;$AQ24,0,BX24)</f>
        <v>9261.77</v>
      </c>
      <c r="BZ24" s="238">
        <f>IF(SUM($AS$24:BY24)+IF(BY24="0","0",BY24)&gt;$AQ24,0,BY24)</f>
        <v>9261.77</v>
      </c>
      <c r="CA24" s="145">
        <f>IF(SUM($AS$24:BZ24)+IF(BZ24="0","0",BZ24)&gt;$AQ24,0,BZ24)</f>
        <v>0</v>
      </c>
      <c r="CB24" s="222">
        <f>IF(SUM($AS$24:CA24)+IF(CA24="0","0",CA24)&gt;$AQ24,0,CA24)</f>
        <v>0</v>
      </c>
      <c r="CC24" s="223">
        <f>IF(SUM($AS$24:CB24)+IF(CB24="0","0",CB24)&gt;$AQ24,0,CB24)</f>
        <v>0</v>
      </c>
      <c r="CD24" s="145">
        <f>IF(SUM($AS$24:CC24)+IF(CC24="0","0",CC24)&gt;$AQ24,0,CC24)</f>
        <v>0</v>
      </c>
      <c r="CE24" s="145">
        <f>IF(SUM($AS$24:CD24)+IF(CD24="0","0",CD24)&gt;$AQ24,0,CD24)</f>
        <v>0</v>
      </c>
      <c r="CF24" s="145">
        <f>IF(SUM($AS$24:CE24)+IF(CE24="0","0",CE24)&gt;$AQ24,0,CE24)</f>
        <v>0</v>
      </c>
      <c r="CG24" s="145">
        <f>IF(SUM($AS$24:CF24)+IF(CF24="0","0",CF24)&gt;$AQ24,0,CF24)</f>
        <v>0</v>
      </c>
      <c r="CH24" s="145">
        <f>IF(SUM($AS$24:CG24)+IF(CG24="0","0",CG24)&gt;$AQ24,0,CG24)</f>
        <v>0</v>
      </c>
      <c r="CI24" s="145">
        <f>IF(SUM($AS$24:CH24)+IF(CH24="0","0",CH24)&gt;$AQ24,0,CH24)</f>
        <v>0</v>
      </c>
      <c r="CJ24" s="145">
        <f>IF(SUM($AS$24:CI24)+IF(CI24="0","0",CI24)&gt;$AQ24,0,CI24)</f>
        <v>0</v>
      </c>
      <c r="CK24" s="145">
        <f>IF(SUM($AS$24:CJ24)+IF(CJ24="0","0",CJ24)&gt;$AQ24,0,CJ24)</f>
        <v>0</v>
      </c>
      <c r="CL24" s="145">
        <f>IF(SUM($AS$24:CK24)+IF(CK24="0","0",CK24)&gt;$AQ24,0,CK24)</f>
        <v>0</v>
      </c>
      <c r="CM24" s="145">
        <f>IF(SUM($AS$24:CL24)+IF(CL24="0","0",CL24)&gt;$AQ24,0,CL24)</f>
        <v>0</v>
      </c>
      <c r="CN24" s="224">
        <f>IF(SUM($AS$24:CM24)+IF(CM24="0","0",CM24)&gt;$AQ24,0,CM24)</f>
        <v>0</v>
      </c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</row>
    <row r="25" spans="1:158" s="70" customFormat="1">
      <c r="A25" s="225">
        <v>20</v>
      </c>
      <c r="B25" s="226" t="s">
        <v>138</v>
      </c>
      <c r="C25" s="226" t="s">
        <v>144</v>
      </c>
      <c r="D25" s="226"/>
      <c r="E25" s="240">
        <v>45230</v>
      </c>
      <c r="F25" s="228"/>
      <c r="G25" s="229">
        <v>428571</v>
      </c>
      <c r="H25" s="229">
        <f t="shared" si="2"/>
        <v>128571.29999999999</v>
      </c>
      <c r="I25" s="229">
        <f t="shared" si="8"/>
        <v>299999.69999999995</v>
      </c>
      <c r="J25" s="230">
        <v>428571</v>
      </c>
      <c r="K25" s="229"/>
      <c r="L25" s="229"/>
      <c r="M25" s="229">
        <f t="shared" si="3"/>
        <v>428571</v>
      </c>
      <c r="N25" s="229">
        <f t="shared" si="9"/>
        <v>85714.200000000012</v>
      </c>
      <c r="O25" s="229">
        <f t="shared" si="12"/>
        <v>7142.85</v>
      </c>
      <c r="P25" s="229">
        <v>14516.114516129033</v>
      </c>
      <c r="Q25" s="229">
        <v>13918.299319487407</v>
      </c>
      <c r="R25" s="229">
        <v>250136.73616438356</v>
      </c>
      <c r="S25" s="229">
        <v>8228.182110670512</v>
      </c>
      <c r="T25" s="229">
        <f>ROUND($O$25,2)</f>
        <v>7142.85</v>
      </c>
      <c r="U25" s="229">
        <f>ROUND($O$25,2)</f>
        <v>7142.85</v>
      </c>
      <c r="V25" s="229">
        <f>ROUND($O$25,2)</f>
        <v>7142.85</v>
      </c>
      <c r="W25" s="229">
        <f>ROUND($O$25,2)</f>
        <v>7142.85</v>
      </c>
      <c r="X25" s="229">
        <v>8228.182110670512</v>
      </c>
      <c r="Y25" s="229">
        <v>846.93116493592606</v>
      </c>
      <c r="Z25" s="231">
        <f t="shared" si="17"/>
        <v>8228.182110670512</v>
      </c>
      <c r="AA25" s="229">
        <f t="shared" si="14"/>
        <v>846.93116493592606</v>
      </c>
      <c r="AB25" s="232">
        <f t="shared" si="18"/>
        <v>8228.182110670512</v>
      </c>
      <c r="AC25" s="234">
        <f t="shared" si="18"/>
        <v>846.93116493592606</v>
      </c>
      <c r="AD25" s="232">
        <f t="shared" si="19"/>
        <v>8228.182110670512</v>
      </c>
      <c r="AE25" s="234">
        <f t="shared" si="19"/>
        <v>846.93116493592606</v>
      </c>
      <c r="AF25" s="232">
        <f t="shared" si="19"/>
        <v>8228.182110670512</v>
      </c>
      <c r="AG25" s="234">
        <v>846.93</v>
      </c>
      <c r="AH25" s="234">
        <v>8228.182110670512</v>
      </c>
      <c r="AI25" s="233">
        <v>846.93</v>
      </c>
      <c r="AJ25" s="229">
        <v>8228.18</v>
      </c>
      <c r="AK25" s="229">
        <v>846.93</v>
      </c>
      <c r="AL25" s="229">
        <v>8228.18</v>
      </c>
      <c r="AM25" s="229">
        <v>846.93</v>
      </c>
      <c r="AN25" s="235">
        <f t="shared" si="10"/>
        <v>101172.29732376675</v>
      </c>
      <c r="AO25" s="235"/>
      <c r="AP25" s="206">
        <f t="shared" si="6"/>
        <v>115688.41183989578</v>
      </c>
      <c r="AQ25" s="206">
        <f t="shared" si="1"/>
        <v>312882.58816010423</v>
      </c>
      <c r="AR25" s="236"/>
      <c r="AS25" s="237">
        <f t="shared" si="7"/>
        <v>9075.11</v>
      </c>
      <c r="AT25" s="238">
        <f t="shared" si="13"/>
        <v>9075.11</v>
      </c>
      <c r="AU25" s="238">
        <f>IF(SUM($AS$25:AT25)+IF(AT25="0","0",AT25)&gt;$AQ25,0,AT25)</f>
        <v>9075.11</v>
      </c>
      <c r="AV25" s="238">
        <f>IF(SUM($AS$25:AU25)+IF(AU25="0","0",AU25)&gt;$AQ25,0,AU25)</f>
        <v>9075.11</v>
      </c>
      <c r="AW25" s="238">
        <f>IF(SUM($AS$25:AV25)+IF(AV25="0","0",AV25)&gt;$AQ25,0,AV25)</f>
        <v>9075.11</v>
      </c>
      <c r="AX25" s="238">
        <f>IF(SUM($AS$25:AW25)+IF(AW25="0","0",AW25)&gt;$AQ25,0,AW25)</f>
        <v>9075.11</v>
      </c>
      <c r="AY25" s="238">
        <f>IF(SUM($AS$25:AX25)+IF(AX25="0","0",AX25)&gt;$AQ25,0,AX25)</f>
        <v>9075.11</v>
      </c>
      <c r="AZ25" s="238">
        <f>IF(SUM($AS$25:AY25)+IF(AY25="0","0",AY25)&gt;$AQ25,0,AY25)</f>
        <v>9075.11</v>
      </c>
      <c r="BA25" s="238">
        <f>IF(SUM($AS$25:AZ25)+IF(AZ25="0","0",AZ25)&gt;$AQ25,0,AZ25)</f>
        <v>9075.11</v>
      </c>
      <c r="BB25" s="238">
        <f>IF(SUM($AS$25:BA25)+IF(BA25="0","0",BA25)&gt;$AQ25,0,BA25)</f>
        <v>9075.11</v>
      </c>
      <c r="BC25" s="238">
        <f>IF(SUM($AS$25:BB25)+IF(BB25="0","0",BB25)&gt;$AQ25,0,BB25)</f>
        <v>9075.11</v>
      </c>
      <c r="BD25" s="239">
        <f>IF(SUM($AS$25:BC25)+IF(BC25="0","0",BC25)&gt;$AQ25,0,BC25)</f>
        <v>9075.11</v>
      </c>
      <c r="BE25" s="237">
        <f>IF(SUM($AS$25:BD25)+IF(BD25="0","0",BD25)&gt;$AQ25,0,BD25)</f>
        <v>9075.11</v>
      </c>
      <c r="BF25" s="238">
        <f>IF(SUM($AS$25:BE25)+IF(BE25="0","0",BE25)&gt;$AQ25,0,BE25)</f>
        <v>9075.11</v>
      </c>
      <c r="BG25" s="238">
        <f>IF(SUM($AS$25:BF25)+IF(BF25="0","0",BF25)&gt;$AQ25,0,BF25)</f>
        <v>9075.11</v>
      </c>
      <c r="BH25" s="238">
        <f>IF(SUM($AS$25:BG25)+IF(BG25="0","0",BG25)&gt;$AQ25,0,BG25)</f>
        <v>9075.11</v>
      </c>
      <c r="BI25" s="238">
        <f>IF(SUM($AS$25:BH25)+IF(BH25="0","0",BH25)&gt;$AQ25,0,BH25)</f>
        <v>9075.11</v>
      </c>
      <c r="BJ25" s="238">
        <f>IF(SUM($AS$25:BI25)+IF(BI25="0","0",BI25)&gt;$AQ25,0,BI25)</f>
        <v>9075.11</v>
      </c>
      <c r="BK25" s="238">
        <f>IF(SUM($AS$25:BJ25)+IF(BJ25="0","0",BJ25)&gt;$AQ25,0,BJ25)</f>
        <v>9075.11</v>
      </c>
      <c r="BL25" s="238">
        <f>IF(SUM($AS$25:BK25)+IF(BK25="0","0",BK25)&gt;$AQ25,0,BK25)</f>
        <v>9075.11</v>
      </c>
      <c r="BM25" s="238">
        <f>IF(SUM($AS$25:BL25)+IF(BL25="0","0",BL25)&gt;$AQ25,0,BL25)</f>
        <v>9075.11</v>
      </c>
      <c r="BN25" s="238">
        <f>IF(SUM($AS$25:BM25)+IF(BM25="0","0",BM25)&gt;$AQ25,0,BM25)</f>
        <v>9075.11</v>
      </c>
      <c r="BO25" s="238">
        <f>IF(SUM($AS$25:BN25)+IF(BN25="0","0",BN25)&gt;$AQ25,0,BN25)</f>
        <v>9075.11</v>
      </c>
      <c r="BP25" s="239">
        <f>IF(SUM($AS$25:BO25)+IF(BO25="0","0",BO25)&gt;$AQ25,0,BO25)</f>
        <v>9075.11</v>
      </c>
      <c r="BQ25" s="237">
        <f>IF(SUM($AS$25:BP25)+IF(BP25="0","0",BP25)&gt;$AQ25,0,BP25)</f>
        <v>9075.11</v>
      </c>
      <c r="BR25" s="238">
        <f>IF(SUM($AS$25:BQ25)+IF(BQ25="0","0",BQ25)&gt;$AQ25,0,BQ25)</f>
        <v>9075.11</v>
      </c>
      <c r="BS25" s="238">
        <f>IF(SUM($AS$25:BR25)+IF(BR25="0","0",BR25)&gt;$AQ25,0,BR25)</f>
        <v>9075.11</v>
      </c>
      <c r="BT25" s="238">
        <f>IF(SUM($AS$25:BS25)+IF(BS25="0","0",BS25)&gt;$AQ25,0,BS25)</f>
        <v>9075.11</v>
      </c>
      <c r="BU25" s="238">
        <f>IF(SUM($AS$25:BT25)+IF(BT25="0","0",BT25)&gt;$AQ25,0,BT25)</f>
        <v>9075.11</v>
      </c>
      <c r="BV25" s="238">
        <f>IF(SUM($AS$25:BU25)+IF(BU25="0","0",BU25)&gt;$AQ25,0,BU25)</f>
        <v>9075.11</v>
      </c>
      <c r="BW25" s="238">
        <f>IF(SUM($AS$25:BV25)+IF(BV25="0","0",BV25)&gt;$AQ25,0,BV25)</f>
        <v>9075.11</v>
      </c>
      <c r="BX25" s="238">
        <f>IF(SUM($AS$25:BW25)+IF(BW25="0","0",BW25)&gt;$AQ25,0,BW25)</f>
        <v>9075.11</v>
      </c>
      <c r="BY25" s="238">
        <f>IF(SUM($AS$25:BX25)+IF(BX25="0","0",BX25)&gt;$AQ25,0,BX25)</f>
        <v>9075.11</v>
      </c>
      <c r="BZ25" s="238">
        <f>IF(SUM($AS$25:BY25)+IF(BY25="0","0",BY25)&gt;$AQ25,0,BY25)</f>
        <v>9075.11</v>
      </c>
      <c r="CA25" s="145">
        <f>IF(SUM($AS$25:BZ25)+IF(BZ25="0","0",BZ25)&gt;$AQ25,0,BZ25)</f>
        <v>0</v>
      </c>
      <c r="CB25" s="222">
        <f>IF(SUM($AS$25:CA25)+IF(CA25="0","0",CA25)&gt;$AQ25,0,CA25)</f>
        <v>0</v>
      </c>
      <c r="CC25" s="223">
        <f>IF(SUM($AS$25:CB25)+IF(CB25="0","0",CB25)&gt;$AQ25,0,CB25)</f>
        <v>0</v>
      </c>
      <c r="CD25" s="145">
        <f>IF(SUM($AS$25:CC25)+IF(CC25="0","0",CC25)&gt;$AQ25,0,CC25)</f>
        <v>0</v>
      </c>
      <c r="CE25" s="145">
        <f>IF(SUM($AS$25:CD25)+IF(CD25="0","0",CD25)&gt;$AQ25,0,CD25)</f>
        <v>0</v>
      </c>
      <c r="CF25" s="145">
        <f>IF(SUM($AS$25:CE25)+IF(CE25="0","0",CE25)&gt;$AQ25,0,CE25)</f>
        <v>0</v>
      </c>
      <c r="CG25" s="145">
        <f>IF(SUM($AS$25:CF25)+IF(CF25="0","0",CF25)&gt;$AQ25,0,CF25)</f>
        <v>0</v>
      </c>
      <c r="CH25" s="145">
        <f>IF(SUM($AS$25:CG25)+IF(CG25="0","0",CG25)&gt;$AQ25,0,CG25)</f>
        <v>0</v>
      </c>
      <c r="CI25" s="145">
        <f>IF(SUM($AS$25:CH25)+IF(CH25="0","0",CH25)&gt;$AQ25,0,CH25)</f>
        <v>0</v>
      </c>
      <c r="CJ25" s="145">
        <f>IF(SUM($AS$25:CI25)+IF(CI25="0","0",CI25)&gt;$AQ25,0,CI25)</f>
        <v>0</v>
      </c>
      <c r="CK25" s="145">
        <f>IF(SUM($AS$25:CJ25)+IF(CJ25="0","0",CJ25)&gt;$AQ25,0,CJ25)</f>
        <v>0</v>
      </c>
      <c r="CL25" s="145">
        <f>IF(SUM($AS$25:CK25)+IF(CK25="0","0",CK25)&gt;$AQ25,0,CK25)</f>
        <v>0</v>
      </c>
      <c r="CM25" s="145">
        <f>IF(SUM($AS$25:CL25)+IF(CL25="0","0",CL25)&gt;$AQ25,0,CL25)</f>
        <v>0</v>
      </c>
      <c r="CN25" s="224">
        <f>IF(SUM($AS$25:CM25)+IF(CM25="0","0",CM25)&gt;$AQ25,0,CM25)</f>
        <v>0</v>
      </c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</row>
    <row r="26" spans="1:158" s="70" customFormat="1">
      <c r="A26" s="225">
        <v>21</v>
      </c>
      <c r="B26" s="226" t="s">
        <v>145</v>
      </c>
      <c r="C26" s="226" t="s">
        <v>146</v>
      </c>
      <c r="D26" s="226"/>
      <c r="E26" s="240">
        <v>45230</v>
      </c>
      <c r="F26" s="228"/>
      <c r="G26" s="229">
        <v>627719</v>
      </c>
      <c r="H26" s="229">
        <f t="shared" si="2"/>
        <v>188315.69999999998</v>
      </c>
      <c r="I26" s="229">
        <f t="shared" si="8"/>
        <v>439403.3</v>
      </c>
      <c r="J26" s="230">
        <v>627719</v>
      </c>
      <c r="K26" s="229"/>
      <c r="L26" s="229"/>
      <c r="M26" s="229">
        <f t="shared" si="3"/>
        <v>627719</v>
      </c>
      <c r="N26" s="229">
        <f t="shared" si="9"/>
        <v>125543.8</v>
      </c>
      <c r="O26" s="229">
        <f t="shared" si="12"/>
        <v>10461.98</v>
      </c>
      <c r="P26" s="229">
        <v>21261.443225806448</v>
      </c>
      <c r="Q26" s="229">
        <v>20385.859331271189</v>
      </c>
      <c r="R26" s="229">
        <v>366370.05744292238</v>
      </c>
      <c r="S26" s="229">
        <v>12051.646626411921</v>
      </c>
      <c r="T26" s="229">
        <f>ROUND($O$26,2)</f>
        <v>10461.98</v>
      </c>
      <c r="U26" s="229">
        <f>ROUND($O$26,2)</f>
        <v>10461.98</v>
      </c>
      <c r="V26" s="229">
        <f>ROUND($O$26,2)</f>
        <v>10461.98</v>
      </c>
      <c r="W26" s="229">
        <f>ROUND($O$26,2)</f>
        <v>10461.98</v>
      </c>
      <c r="X26" s="229">
        <v>12051.646626411921</v>
      </c>
      <c r="Y26" s="229">
        <v>1240.4849164088992</v>
      </c>
      <c r="Z26" s="231">
        <f t="shared" si="17"/>
        <v>12051.646626411921</v>
      </c>
      <c r="AA26" s="229">
        <f t="shared" si="14"/>
        <v>1240.4849164088992</v>
      </c>
      <c r="AB26" s="232">
        <f t="shared" si="18"/>
        <v>12051.646626411921</v>
      </c>
      <c r="AC26" s="234">
        <f t="shared" si="18"/>
        <v>1240.4849164088992</v>
      </c>
      <c r="AD26" s="232">
        <f t="shared" si="19"/>
        <v>12051.646626411921</v>
      </c>
      <c r="AE26" s="234">
        <f t="shared" si="19"/>
        <v>1240.4849164088992</v>
      </c>
      <c r="AF26" s="232">
        <f t="shared" si="19"/>
        <v>12051.646626411921</v>
      </c>
      <c r="AG26" s="234">
        <v>1240.48</v>
      </c>
      <c r="AH26" s="234">
        <v>12051.646626411921</v>
      </c>
      <c r="AI26" s="238">
        <v>1240.48</v>
      </c>
      <c r="AJ26" s="229">
        <v>12051.65</v>
      </c>
      <c r="AK26" s="229">
        <v>1240.48</v>
      </c>
      <c r="AL26" s="229">
        <v>12051.65</v>
      </c>
      <c r="AM26" s="229">
        <v>1240.48</v>
      </c>
      <c r="AN26" s="235">
        <f t="shared" si="10"/>
        <v>148184.95942410713</v>
      </c>
      <c r="AO26" s="235"/>
      <c r="AP26" s="206">
        <f t="shared" si="6"/>
        <v>169446.40264991357</v>
      </c>
      <c r="AQ26" s="206">
        <f t="shared" si="1"/>
        <v>458272.59735008643</v>
      </c>
      <c r="AR26" s="236"/>
      <c r="AS26" s="237">
        <f t="shared" si="7"/>
        <v>13292.13</v>
      </c>
      <c r="AT26" s="238">
        <f t="shared" si="13"/>
        <v>13292.13</v>
      </c>
      <c r="AU26" s="238">
        <f>IF(SUM($AS$26:AT26)+IF(AT26="0","0",AT26)&gt;$AQ26,0,AT26)</f>
        <v>13292.13</v>
      </c>
      <c r="AV26" s="238">
        <f>IF(SUM($AS$26:AU26)+IF(AU26="0","0",AU26)&gt;$AQ26,0,AU26)</f>
        <v>13292.13</v>
      </c>
      <c r="AW26" s="238">
        <f>IF(SUM($AS$26:AV26)+IF(AV26="0","0",AV26)&gt;$AQ26,0,AV26)</f>
        <v>13292.13</v>
      </c>
      <c r="AX26" s="238">
        <f>IF(SUM($AS$26:AW26)+IF(AW26="0","0",AW26)&gt;$AQ26,0,AW26)</f>
        <v>13292.13</v>
      </c>
      <c r="AY26" s="238">
        <f>IF(SUM($AS$26:AX26)+IF(AX26="0","0",AX26)&gt;$AQ26,0,AX26)</f>
        <v>13292.13</v>
      </c>
      <c r="AZ26" s="238">
        <f>IF(SUM($AS$26:AY26)+IF(AY26="0","0",AY26)&gt;$AQ26,0,AY26)</f>
        <v>13292.13</v>
      </c>
      <c r="BA26" s="238">
        <f>IF(SUM($AS$26:AZ26)+IF(AZ26="0","0",AZ26)&gt;$AQ26,0,AZ26)</f>
        <v>13292.13</v>
      </c>
      <c r="BB26" s="238">
        <f>IF(SUM($AS$26:BA26)+IF(BA26="0","0",BA26)&gt;$AQ26,0,BA26)</f>
        <v>13292.13</v>
      </c>
      <c r="BC26" s="238">
        <f>IF(SUM($AS$26:BB26)+IF(BB26="0","0",BB26)&gt;$AQ26,0,BB26)</f>
        <v>13292.13</v>
      </c>
      <c r="BD26" s="239">
        <f>IF(SUM($AS$26:BC26)+IF(BC26="0","0",BC26)&gt;$AQ26,0,BC26)</f>
        <v>13292.13</v>
      </c>
      <c r="BE26" s="237">
        <f>IF(SUM($AS$26:BD26)+IF(BD26="0","0",BD26)&gt;$AQ26,0,BD26)</f>
        <v>13292.13</v>
      </c>
      <c r="BF26" s="238">
        <f>IF(SUM($AS$26:BE26)+IF(BE26="0","0",BE26)&gt;$AQ26,0,BE26)</f>
        <v>13292.13</v>
      </c>
      <c r="BG26" s="238">
        <f>IF(SUM($AS$26:BF26)+IF(BF26="0","0",BF26)&gt;$AQ26,0,BF26)</f>
        <v>13292.13</v>
      </c>
      <c r="BH26" s="238">
        <f>IF(SUM($AS$26:BG26)+IF(BG26="0","0",BG26)&gt;$AQ26,0,BG26)</f>
        <v>13292.13</v>
      </c>
      <c r="BI26" s="238">
        <f>IF(SUM($AS$26:BH26)+IF(BH26="0","0",BH26)&gt;$AQ26,0,BH26)</f>
        <v>13292.13</v>
      </c>
      <c r="BJ26" s="238">
        <f>IF(SUM($AS$26:BI26)+IF(BI26="0","0",BI26)&gt;$AQ26,0,BI26)</f>
        <v>13292.13</v>
      </c>
      <c r="BK26" s="238">
        <f>IF(SUM($AS$26:BJ26)+IF(BJ26="0","0",BJ26)&gt;$AQ26,0,BJ26)</f>
        <v>13292.13</v>
      </c>
      <c r="BL26" s="238">
        <f>IF(SUM($AS$26:BK26)+IF(BK26="0","0",BK26)&gt;$AQ26,0,BK26)</f>
        <v>13292.13</v>
      </c>
      <c r="BM26" s="238">
        <f>IF(SUM($AS$26:BL26)+IF(BL26="0","0",BL26)&gt;$AQ26,0,BL26)</f>
        <v>13292.13</v>
      </c>
      <c r="BN26" s="238">
        <f>IF(SUM($AS$26:BM26)+IF(BM26="0","0",BM26)&gt;$AQ26,0,BM26)</f>
        <v>13292.13</v>
      </c>
      <c r="BO26" s="238">
        <f>IF(SUM($AS$26:BN26)+IF(BN26="0","0",BN26)&gt;$AQ26,0,BN26)</f>
        <v>13292.13</v>
      </c>
      <c r="BP26" s="239">
        <f>IF(SUM($AS$26:BO26)+IF(BO26="0","0",BO26)&gt;$AQ26,0,BO26)</f>
        <v>13292.13</v>
      </c>
      <c r="BQ26" s="237">
        <f>IF(SUM($AS$26:BP26)+IF(BP26="0","0",BP26)&gt;$AQ26,0,BP26)</f>
        <v>13292.13</v>
      </c>
      <c r="BR26" s="238">
        <f>IF(SUM($AS$26:BQ26)+IF(BQ26="0","0",BQ26)&gt;$AQ26,0,BQ26)</f>
        <v>13292.13</v>
      </c>
      <c r="BS26" s="238">
        <f>IF(SUM($AS$26:BR26)+IF(BR26="0","0",BR26)&gt;$AQ26,0,BR26)</f>
        <v>13292.13</v>
      </c>
      <c r="BT26" s="238">
        <f>IF(SUM($AS$26:BS26)+IF(BS26="0","0",BS26)&gt;$AQ26,0,BS26)</f>
        <v>13292.13</v>
      </c>
      <c r="BU26" s="238">
        <f>IF(SUM($AS$26:BT26)+IF(BT26="0","0",BT26)&gt;$AQ26,0,BT26)</f>
        <v>13292.13</v>
      </c>
      <c r="BV26" s="238">
        <f>IF(SUM($AS$26:BU26)+IF(BU26="0","0",BU26)&gt;$AQ26,0,BU26)</f>
        <v>13292.13</v>
      </c>
      <c r="BW26" s="238">
        <f>IF(SUM($AS$26:BV26)+IF(BV26="0","0",BV26)&gt;$AQ26,0,BV26)</f>
        <v>13292.13</v>
      </c>
      <c r="BX26" s="238">
        <f>IF(SUM($AS$26:BW26)+IF(BW26="0","0",BW26)&gt;$AQ26,0,BW26)</f>
        <v>13292.13</v>
      </c>
      <c r="BY26" s="238">
        <f>IF(SUM($AS$26:BX26)+IF(BX26="0","0",BX26)&gt;$AQ26,0,BX26)</f>
        <v>13292.13</v>
      </c>
      <c r="BZ26" s="238">
        <f>IF(SUM($AS$26:BY26)+IF(BY26="0","0",BY26)&gt;$AQ26,0,BY26)</f>
        <v>13292.13</v>
      </c>
      <c r="CA26" s="145">
        <f>IF(SUM($AS$26:BZ26)+IF(BZ26="0","0",BZ26)&gt;$AQ26,0,BZ26)</f>
        <v>0</v>
      </c>
      <c r="CB26" s="222">
        <f>IF(SUM($AS$26:CA26)+IF(CA26="0","0",CA26)&gt;$AQ26,0,CA26)</f>
        <v>0</v>
      </c>
      <c r="CC26" s="223">
        <f>IF(SUM($AS$26:CB26)+IF(CB26="0","0",CB26)&gt;$AQ26,0,CB26)</f>
        <v>0</v>
      </c>
      <c r="CD26" s="145">
        <f>IF(SUM($AS$26:CC26)+IF(CC26="0","0",CC26)&gt;$AQ26,0,CC26)</f>
        <v>0</v>
      </c>
      <c r="CE26" s="145">
        <f>IF(SUM($AS$26:CD26)+IF(CD26="0","0",CD26)&gt;$AQ26,0,CD26)</f>
        <v>0</v>
      </c>
      <c r="CF26" s="145">
        <f>IF(SUM($AS$26:CE26)+IF(CE26="0","0",CE26)&gt;$AQ26,0,CE26)</f>
        <v>0</v>
      </c>
      <c r="CG26" s="145">
        <f>IF(SUM($AS$26:CF26)+IF(CF26="0","0",CF26)&gt;$AQ26,0,CF26)</f>
        <v>0</v>
      </c>
      <c r="CH26" s="145">
        <f>IF(SUM($AS$26:CG26)+IF(CG26="0","0",CG26)&gt;$AQ26,0,CG26)</f>
        <v>0</v>
      </c>
      <c r="CI26" s="145">
        <f>IF(SUM($AS$26:CH26)+IF(CH26="0","0",CH26)&gt;$AQ26,0,CH26)</f>
        <v>0</v>
      </c>
      <c r="CJ26" s="145">
        <f>IF(SUM($AS$26:CI26)+IF(CI26="0","0",CI26)&gt;$AQ26,0,CI26)</f>
        <v>0</v>
      </c>
      <c r="CK26" s="145">
        <f>IF(SUM($AS$26:CJ26)+IF(CJ26="0","0",CJ26)&gt;$AQ26,0,CJ26)</f>
        <v>0</v>
      </c>
      <c r="CL26" s="145">
        <f>IF(SUM($AS$26:CK26)+IF(CK26="0","0",CK26)&gt;$AQ26,0,CK26)</f>
        <v>0</v>
      </c>
      <c r="CM26" s="145">
        <f>IF(SUM($AS$26:CL26)+IF(CL26="0","0",CL26)&gt;$AQ26,0,CL26)</f>
        <v>0</v>
      </c>
      <c r="CN26" s="224">
        <f>IF(SUM($AS$26:CM26)+IF(CM26="0","0",CM26)&gt;$AQ26,0,CM26)</f>
        <v>0</v>
      </c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</row>
    <row r="27" spans="1:158" s="70" customFormat="1">
      <c r="A27" s="225">
        <v>22</v>
      </c>
      <c r="B27" s="226" t="s">
        <v>145</v>
      </c>
      <c r="C27" s="226" t="s">
        <v>147</v>
      </c>
      <c r="D27" s="226"/>
      <c r="E27" s="240">
        <v>45230</v>
      </c>
      <c r="F27" s="228"/>
      <c r="G27" s="229">
        <v>627719</v>
      </c>
      <c r="H27" s="229">
        <f t="shared" si="2"/>
        <v>188315.69999999998</v>
      </c>
      <c r="I27" s="229">
        <f t="shared" si="8"/>
        <v>439403.3</v>
      </c>
      <c r="J27" s="230">
        <v>627719</v>
      </c>
      <c r="K27" s="229"/>
      <c r="L27" s="229"/>
      <c r="M27" s="229">
        <f t="shared" si="3"/>
        <v>627719</v>
      </c>
      <c r="N27" s="229">
        <f t="shared" si="9"/>
        <v>125543.8</v>
      </c>
      <c r="O27" s="229">
        <f t="shared" si="12"/>
        <v>10461.98</v>
      </c>
      <c r="P27" s="229">
        <v>21261.443225806448</v>
      </c>
      <c r="Q27" s="229">
        <v>20385.859331271189</v>
      </c>
      <c r="R27" s="229">
        <v>366370.05744292238</v>
      </c>
      <c r="S27" s="229">
        <v>12051.646626411921</v>
      </c>
      <c r="T27" s="229">
        <f>ROUND($O$27,2)</f>
        <v>10461.98</v>
      </c>
      <c r="U27" s="229">
        <f>ROUND($O$27,2)</f>
        <v>10461.98</v>
      </c>
      <c r="V27" s="229">
        <f>ROUND($O$27,2)</f>
        <v>10461.98</v>
      </c>
      <c r="W27" s="229">
        <f>ROUND($O$27,2)</f>
        <v>10461.98</v>
      </c>
      <c r="X27" s="229">
        <v>12051.646626411921</v>
      </c>
      <c r="Y27" s="229">
        <v>1240.4849164088992</v>
      </c>
      <c r="Z27" s="231">
        <f t="shared" si="17"/>
        <v>12051.646626411921</v>
      </c>
      <c r="AA27" s="229">
        <f t="shared" si="14"/>
        <v>1240.4849164088992</v>
      </c>
      <c r="AB27" s="232">
        <f t="shared" si="18"/>
        <v>12051.646626411921</v>
      </c>
      <c r="AC27" s="234">
        <f t="shared" si="18"/>
        <v>1240.4849164088992</v>
      </c>
      <c r="AD27" s="232">
        <f t="shared" si="19"/>
        <v>12051.646626411921</v>
      </c>
      <c r="AE27" s="234">
        <f t="shared" si="19"/>
        <v>1240.4849164088992</v>
      </c>
      <c r="AF27" s="232">
        <f t="shared" si="19"/>
        <v>12051.646626411921</v>
      </c>
      <c r="AG27" s="234">
        <v>1240.48</v>
      </c>
      <c r="AH27" s="234">
        <v>12051.646626411921</v>
      </c>
      <c r="AI27" s="238">
        <v>1240.48</v>
      </c>
      <c r="AJ27" s="229">
        <v>12051.65</v>
      </c>
      <c r="AK27" s="229">
        <v>1240.48</v>
      </c>
      <c r="AL27" s="229">
        <v>12051.65</v>
      </c>
      <c r="AM27" s="229">
        <v>1240.48</v>
      </c>
      <c r="AN27" s="235">
        <f t="shared" si="10"/>
        <v>148184.95942410713</v>
      </c>
      <c r="AO27" s="235"/>
      <c r="AP27" s="206">
        <f t="shared" si="6"/>
        <v>169446.40264991357</v>
      </c>
      <c r="AQ27" s="206">
        <f t="shared" si="1"/>
        <v>458272.59735008643</v>
      </c>
      <c r="AR27" s="236"/>
      <c r="AS27" s="237">
        <f t="shared" si="7"/>
        <v>13292.13</v>
      </c>
      <c r="AT27" s="238">
        <f t="shared" si="13"/>
        <v>13292.13</v>
      </c>
      <c r="AU27" s="238">
        <f>IF(SUM($AS$27:AT27)+IF(AT27="0","0",AT27)&gt;$AQ27,0,AT27)</f>
        <v>13292.13</v>
      </c>
      <c r="AV27" s="238">
        <f>IF(SUM($AS$27:AU27)+IF(AU27="0","0",AU27)&gt;$AQ27,0,AU27)</f>
        <v>13292.13</v>
      </c>
      <c r="AW27" s="238">
        <f>IF(SUM($AS$27:AV27)+IF(AV27="0","0",AV27)&gt;$AQ27,0,AV27)</f>
        <v>13292.13</v>
      </c>
      <c r="AX27" s="238">
        <f>IF(SUM($AS$27:AW27)+IF(AW27="0","0",AW27)&gt;$AQ27,0,AW27)</f>
        <v>13292.13</v>
      </c>
      <c r="AY27" s="238">
        <f>IF(SUM($AS$27:AX27)+IF(AX27="0","0",AX27)&gt;$AQ27,0,AX27)</f>
        <v>13292.13</v>
      </c>
      <c r="AZ27" s="238">
        <f>IF(SUM($AS$27:AY27)+IF(AY27="0","0",AY27)&gt;$AQ27,0,AY27)</f>
        <v>13292.13</v>
      </c>
      <c r="BA27" s="238">
        <f>IF(SUM($AS$27:AZ27)+IF(AZ27="0","0",AZ27)&gt;$AQ27,0,AZ27)</f>
        <v>13292.13</v>
      </c>
      <c r="BB27" s="238">
        <f>IF(SUM($AS$27:BA27)+IF(BA27="0","0",BA27)&gt;$AQ27,0,BA27)</f>
        <v>13292.13</v>
      </c>
      <c r="BC27" s="238">
        <f>IF(SUM($AS$27:BB27)+IF(BB27="0","0",BB27)&gt;$AQ27,0,BB27)</f>
        <v>13292.13</v>
      </c>
      <c r="BD27" s="239">
        <f>IF(SUM($AS$27:BC27)+IF(BC27="0","0",BC27)&gt;$AQ27,0,BC27)</f>
        <v>13292.13</v>
      </c>
      <c r="BE27" s="237">
        <f>IF(SUM($AS$27:BD27)+IF(BD27="0","0",BD27)&gt;$AQ27,0,BD27)</f>
        <v>13292.13</v>
      </c>
      <c r="BF27" s="238">
        <f>IF(SUM($AS$27:BE27)+IF(BE27="0","0",BE27)&gt;$AQ27,0,BE27)</f>
        <v>13292.13</v>
      </c>
      <c r="BG27" s="238">
        <f>IF(SUM($AS$27:BF27)+IF(BF27="0","0",BF27)&gt;$AQ27,0,BF27)</f>
        <v>13292.13</v>
      </c>
      <c r="BH27" s="238">
        <f>IF(SUM($AS$27:BG27)+IF(BG27="0","0",BG27)&gt;$AQ27,0,BG27)</f>
        <v>13292.13</v>
      </c>
      <c r="BI27" s="238">
        <f>IF(SUM($AS$27:BH27)+IF(BH27="0","0",BH27)&gt;$AQ27,0,BH27)</f>
        <v>13292.13</v>
      </c>
      <c r="BJ27" s="238">
        <f>IF(SUM($AS$27:BI27)+IF(BI27="0","0",BI27)&gt;$AQ27,0,BI27)</f>
        <v>13292.13</v>
      </c>
      <c r="BK27" s="238">
        <f>IF(SUM($AS$27:BJ27)+IF(BJ27="0","0",BJ27)&gt;$AQ27,0,BJ27)</f>
        <v>13292.13</v>
      </c>
      <c r="BL27" s="238">
        <f>IF(SUM($AS$27:BK27)+IF(BK27="0","0",BK27)&gt;$AQ27,0,BK27)</f>
        <v>13292.13</v>
      </c>
      <c r="BM27" s="238">
        <f>IF(SUM($AS$27:BL27)+IF(BL27="0","0",BL27)&gt;$AQ27,0,BL27)</f>
        <v>13292.13</v>
      </c>
      <c r="BN27" s="238">
        <f>IF(SUM($AS$27:BM27)+IF(BM27="0","0",BM27)&gt;$AQ27,0,BM27)</f>
        <v>13292.13</v>
      </c>
      <c r="BO27" s="238">
        <f>IF(SUM($AS$27:BN27)+IF(BN27="0","0",BN27)&gt;$AQ27,0,BN27)</f>
        <v>13292.13</v>
      </c>
      <c r="BP27" s="239">
        <f>IF(SUM($AS$27:BO27)+IF(BO27="0","0",BO27)&gt;$AQ27,0,BO27)</f>
        <v>13292.13</v>
      </c>
      <c r="BQ27" s="237">
        <f>IF(SUM($AS$27:BP27)+IF(BP27="0","0",BP27)&gt;$AQ27,0,BP27)</f>
        <v>13292.13</v>
      </c>
      <c r="BR27" s="238">
        <f>IF(SUM($AS$27:BQ27)+IF(BQ27="0","0",BQ27)&gt;$AQ27,0,BQ27)</f>
        <v>13292.13</v>
      </c>
      <c r="BS27" s="238">
        <f>IF(SUM($AS$27:BR27)+IF(BR27="0","0",BR27)&gt;$AQ27,0,BR27)</f>
        <v>13292.13</v>
      </c>
      <c r="BT27" s="238">
        <f>IF(SUM($AS$27:BS27)+IF(BS27="0","0",BS27)&gt;$AQ27,0,BS27)</f>
        <v>13292.13</v>
      </c>
      <c r="BU27" s="238">
        <f>IF(SUM($AS$27:BT27)+IF(BT27="0","0",BT27)&gt;$AQ27,0,BT27)</f>
        <v>13292.13</v>
      </c>
      <c r="BV27" s="238">
        <f>IF(SUM($AS$27:BU27)+IF(BU27="0","0",BU27)&gt;$AQ27,0,BU27)</f>
        <v>13292.13</v>
      </c>
      <c r="BW27" s="238">
        <f>IF(SUM($AS$27:BV27)+IF(BV27="0","0",BV27)&gt;$AQ27,0,BV27)</f>
        <v>13292.13</v>
      </c>
      <c r="BX27" s="238">
        <f>IF(SUM($AS$27:BW27)+IF(BW27="0","0",BW27)&gt;$AQ27,0,BW27)</f>
        <v>13292.13</v>
      </c>
      <c r="BY27" s="238">
        <f>IF(SUM($AS$27:BX27)+IF(BX27="0","0",BX27)&gt;$AQ27,0,BX27)</f>
        <v>13292.13</v>
      </c>
      <c r="BZ27" s="238">
        <f>IF(SUM($AS$27:BY27)+IF(BY27="0","0",BY27)&gt;$AQ27,0,BY27)</f>
        <v>13292.13</v>
      </c>
      <c r="CA27" s="145">
        <f>IF(SUM($AS$27:BZ27)+IF(BZ27="0","0",BZ27)&gt;$AQ27,0,BZ27)</f>
        <v>0</v>
      </c>
      <c r="CB27" s="222">
        <f>IF(SUM($AS$27:CA27)+IF(CA27="0","0",CA27)&gt;$AQ27,0,CA27)</f>
        <v>0</v>
      </c>
      <c r="CC27" s="223">
        <f>IF(SUM($AS$27:CB27)+IF(CB27="0","0",CB27)&gt;$AQ27,0,CB27)</f>
        <v>0</v>
      </c>
      <c r="CD27" s="145">
        <f>IF(SUM($AS$27:CC27)+IF(CC27="0","0",CC27)&gt;$AQ27,0,CC27)</f>
        <v>0</v>
      </c>
      <c r="CE27" s="145">
        <f>IF(SUM($AS$27:CD27)+IF(CD27="0","0",CD27)&gt;$AQ27,0,CD27)</f>
        <v>0</v>
      </c>
      <c r="CF27" s="145">
        <f>IF(SUM($AS$27:CE27)+IF(CE27="0","0",CE27)&gt;$AQ27,0,CE27)</f>
        <v>0</v>
      </c>
      <c r="CG27" s="145">
        <f>IF(SUM($AS$27:CF27)+IF(CF27="0","0",CF27)&gt;$AQ27,0,CF27)</f>
        <v>0</v>
      </c>
      <c r="CH27" s="145">
        <f>IF(SUM($AS$27:CG27)+IF(CG27="0","0",CG27)&gt;$AQ27,0,CG27)</f>
        <v>0</v>
      </c>
      <c r="CI27" s="145">
        <f>IF(SUM($AS$27:CH27)+IF(CH27="0","0",CH27)&gt;$AQ27,0,CH27)</f>
        <v>0</v>
      </c>
      <c r="CJ27" s="145">
        <f>IF(SUM($AS$27:CI27)+IF(CI27="0","0",CI27)&gt;$AQ27,0,CI27)</f>
        <v>0</v>
      </c>
      <c r="CK27" s="145">
        <f>IF(SUM($AS$27:CJ27)+IF(CJ27="0","0",CJ27)&gt;$AQ27,0,CJ27)</f>
        <v>0</v>
      </c>
      <c r="CL27" s="145">
        <f>IF(SUM($AS$27:CK27)+IF(CK27="0","0",CK27)&gt;$AQ27,0,CK27)</f>
        <v>0</v>
      </c>
      <c r="CM27" s="145">
        <f>IF(SUM($AS$27:CL27)+IF(CL27="0","0",CL27)&gt;$AQ27,0,CL27)</f>
        <v>0</v>
      </c>
      <c r="CN27" s="224">
        <f>IF(SUM($AS$27:CM27)+IF(CM27="0","0",CM27)&gt;$AQ27,0,CM27)</f>
        <v>0</v>
      </c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</row>
    <row r="28" spans="1:158" s="70" customFormat="1">
      <c r="A28" s="225">
        <v>23</v>
      </c>
      <c r="B28" s="226" t="s">
        <v>148</v>
      </c>
      <c r="C28" s="226" t="s">
        <v>149</v>
      </c>
      <c r="D28" s="226"/>
      <c r="E28" s="240">
        <v>45240</v>
      </c>
      <c r="F28" s="228"/>
      <c r="G28" s="229">
        <v>385714.29</v>
      </c>
      <c r="H28" s="229">
        <f t="shared" si="2"/>
        <v>115714.287</v>
      </c>
      <c r="I28" s="229">
        <f t="shared" si="8"/>
        <v>270000.00299999997</v>
      </c>
      <c r="J28" s="230">
        <v>385714.29</v>
      </c>
      <c r="K28" s="229"/>
      <c r="L28" s="229"/>
      <c r="M28" s="229">
        <f t="shared" si="3"/>
        <v>385714.29</v>
      </c>
      <c r="N28" s="229">
        <f t="shared" si="9"/>
        <v>77142.857999999993</v>
      </c>
      <c r="O28" s="229">
        <f t="shared" si="12"/>
        <v>6428.57</v>
      </c>
      <c r="P28" s="229">
        <v>10714.283333333333</v>
      </c>
      <c r="Q28" s="229">
        <v>12410.966042009131</v>
      </c>
      <c r="R28" s="229">
        <v>227589.0436246575</v>
      </c>
      <c r="S28" s="229">
        <v>7405.2834151190073</v>
      </c>
      <c r="T28" s="229">
        <f>ROUND($O$28,2)</f>
        <v>6428.57</v>
      </c>
      <c r="U28" s="229">
        <f>ROUND($O$28,2)</f>
        <v>6428.57</v>
      </c>
      <c r="V28" s="229">
        <f>ROUND($O$28,2)</f>
        <v>6428.57</v>
      </c>
      <c r="W28" s="229">
        <f>ROUND($O$28,2)</f>
        <v>6428.57</v>
      </c>
      <c r="X28" s="229">
        <v>7405.2834151190073</v>
      </c>
      <c r="Y28" s="229">
        <v>747.79950525114145</v>
      </c>
      <c r="Z28" s="231">
        <f t="shared" si="17"/>
        <v>7405.2834151190073</v>
      </c>
      <c r="AA28" s="229">
        <f t="shared" si="14"/>
        <v>747.79950525114145</v>
      </c>
      <c r="AB28" s="232">
        <f t="shared" si="18"/>
        <v>7405.2834151190073</v>
      </c>
      <c r="AC28" s="234">
        <f t="shared" si="18"/>
        <v>747.79950525114145</v>
      </c>
      <c r="AD28" s="232">
        <f t="shared" si="19"/>
        <v>7405.2834151190073</v>
      </c>
      <c r="AE28" s="234">
        <f t="shared" si="19"/>
        <v>747.79950525114145</v>
      </c>
      <c r="AF28" s="232">
        <f t="shared" si="19"/>
        <v>7405.2834151190073</v>
      </c>
      <c r="AG28" s="234">
        <v>747.8</v>
      </c>
      <c r="AH28" s="234">
        <v>7405.2834151190073</v>
      </c>
      <c r="AI28" s="233">
        <v>747.8</v>
      </c>
      <c r="AJ28" s="229">
        <v>7405.28</v>
      </c>
      <c r="AK28" s="229">
        <v>747.8</v>
      </c>
      <c r="AL28" s="229">
        <v>7405.28</v>
      </c>
      <c r="AM28" s="229">
        <v>747.8</v>
      </c>
      <c r="AN28" s="235">
        <f t="shared" si="10"/>
        <v>90938.938511718588</v>
      </c>
      <c r="AO28" s="235"/>
      <c r="AP28" s="206">
        <f t="shared" si="6"/>
        <v>101653.22184505191</v>
      </c>
      <c r="AQ28" s="206">
        <f t="shared" si="1"/>
        <v>284061.06815494807</v>
      </c>
      <c r="AR28" s="236"/>
      <c r="AS28" s="237">
        <f t="shared" si="7"/>
        <v>8153.08</v>
      </c>
      <c r="AT28" s="238">
        <f t="shared" si="13"/>
        <v>8153.08</v>
      </c>
      <c r="AU28" s="238">
        <f>IF(SUM($AS$28:AT28)+IF(AT28="0","0",AT28)&gt;$AQ28,0,AT28)</f>
        <v>8153.08</v>
      </c>
      <c r="AV28" s="238">
        <f>IF(SUM($AS$28:AU28)+IF(AU28="0","0",AU28)&gt;$AQ28,0,AU28)</f>
        <v>8153.08</v>
      </c>
      <c r="AW28" s="238">
        <f>IF(SUM($AS$28:AV28)+IF(AV28="0","0",AV28)&gt;$AQ28,0,AV28)</f>
        <v>8153.08</v>
      </c>
      <c r="AX28" s="238">
        <f>IF(SUM($AS$28:AW28)+IF(AW28="0","0",AW28)&gt;$AQ28,0,AW28)</f>
        <v>8153.08</v>
      </c>
      <c r="AY28" s="238">
        <f>IF(SUM($AS$28:AX28)+IF(AX28="0","0",AX28)&gt;$AQ28,0,AX28)</f>
        <v>8153.08</v>
      </c>
      <c r="AZ28" s="238">
        <f>IF(SUM($AS$28:AY28)+IF(AY28="0","0",AY28)&gt;$AQ28,0,AY28)</f>
        <v>8153.08</v>
      </c>
      <c r="BA28" s="238">
        <f>IF(SUM($AS$28:AZ28)+IF(AZ28="0","0",AZ28)&gt;$AQ28,0,AZ28)</f>
        <v>8153.08</v>
      </c>
      <c r="BB28" s="238">
        <f>IF(SUM($AS$28:BA28)+IF(BA28="0","0",BA28)&gt;$AQ28,0,BA28)</f>
        <v>8153.08</v>
      </c>
      <c r="BC28" s="238">
        <f>IF(SUM($AS$28:BB28)+IF(BB28="0","0",BB28)&gt;$AQ28,0,BB28)</f>
        <v>8153.08</v>
      </c>
      <c r="BD28" s="239">
        <f>IF(SUM($AS$28:BC28)+IF(BC28="0","0",BC28)&gt;$AQ28,0,BC28)</f>
        <v>8153.08</v>
      </c>
      <c r="BE28" s="237">
        <f>IF(SUM($AS$28:BD28)+IF(BD28="0","0",BD28)&gt;$AQ28,0,BD28)</f>
        <v>8153.08</v>
      </c>
      <c r="BF28" s="238">
        <f>IF(SUM($AS$28:BE28)+IF(BE28="0","0",BE28)&gt;$AQ28,0,BE28)</f>
        <v>8153.08</v>
      </c>
      <c r="BG28" s="238">
        <f>IF(SUM($AS$28:BF28)+IF(BF28="0","0",BF28)&gt;$AQ28,0,BF28)</f>
        <v>8153.08</v>
      </c>
      <c r="BH28" s="238">
        <f>IF(SUM($AS$28:BG28)+IF(BG28="0","0",BG28)&gt;$AQ28,0,BG28)</f>
        <v>8153.08</v>
      </c>
      <c r="BI28" s="238">
        <f>IF(SUM($AS$28:BH28)+IF(BH28="0","0",BH28)&gt;$AQ28,0,BH28)</f>
        <v>8153.08</v>
      </c>
      <c r="BJ28" s="238">
        <f>IF(SUM($AS$28:BI28)+IF(BI28="0","0",BI28)&gt;$AQ28,0,BI28)</f>
        <v>8153.08</v>
      </c>
      <c r="BK28" s="238">
        <f>IF(SUM($AS$28:BJ28)+IF(BJ28="0","0",BJ28)&gt;$AQ28,0,BJ28)</f>
        <v>8153.08</v>
      </c>
      <c r="BL28" s="238">
        <f>IF(SUM($AS$28:BK28)+IF(BK28="0","0",BK28)&gt;$AQ28,0,BK28)</f>
        <v>8153.08</v>
      </c>
      <c r="BM28" s="238">
        <f>IF(SUM($AS$28:BL28)+IF(BL28="0","0",BL28)&gt;$AQ28,0,BL28)</f>
        <v>8153.08</v>
      </c>
      <c r="BN28" s="238">
        <f>IF(SUM($AS$28:BM28)+IF(BM28="0","0",BM28)&gt;$AQ28,0,BM28)</f>
        <v>8153.08</v>
      </c>
      <c r="BO28" s="238">
        <f>IF(SUM($AS$28:BN28)+IF(BN28="0","0",BN28)&gt;$AQ28,0,BN28)</f>
        <v>8153.08</v>
      </c>
      <c r="BP28" s="239">
        <f>IF(SUM($AS$28:BO28)+IF(BO28="0","0",BO28)&gt;$AQ28,0,BO28)</f>
        <v>8153.08</v>
      </c>
      <c r="BQ28" s="237">
        <f>IF(SUM($AS$28:BP28)+IF(BP28="0","0",BP28)&gt;$AQ28,0,BP28)</f>
        <v>8153.08</v>
      </c>
      <c r="BR28" s="238">
        <f>IF(SUM($AS$28:BQ28)+IF(BQ28="0","0",BQ28)&gt;$AQ28,0,BQ28)</f>
        <v>8153.08</v>
      </c>
      <c r="BS28" s="238">
        <f>IF(SUM($AS$28:BR28)+IF(BR28="0","0",BR28)&gt;$AQ28,0,BR28)</f>
        <v>8153.08</v>
      </c>
      <c r="BT28" s="238">
        <f>IF(SUM($AS$28:BS28)+IF(BS28="0","0",BS28)&gt;$AQ28,0,BS28)</f>
        <v>8153.08</v>
      </c>
      <c r="BU28" s="238">
        <f>IF(SUM($AS$28:BT28)+IF(BT28="0","0",BT28)&gt;$AQ28,0,BT28)</f>
        <v>8153.08</v>
      </c>
      <c r="BV28" s="238">
        <f>IF(SUM($AS$28:BU28)+IF(BU28="0","0",BU28)&gt;$AQ28,0,BU28)</f>
        <v>8153.08</v>
      </c>
      <c r="BW28" s="238">
        <f>IF(SUM($AS$28:BV28)+IF(BV28="0","0",BV28)&gt;$AQ28,0,BV28)</f>
        <v>8153.08</v>
      </c>
      <c r="BX28" s="238">
        <f>IF(SUM($AS$28:BW28)+IF(BW28="0","0",BW28)&gt;$AQ28,0,BW28)</f>
        <v>8153.08</v>
      </c>
      <c r="BY28" s="238">
        <f>IF(SUM($AS$28:BX28)+IF(BX28="0","0",BX28)&gt;$AQ28,0,BX28)</f>
        <v>8153.08</v>
      </c>
      <c r="BZ28" s="238">
        <f>IF(SUM($AS$28:BY28)+IF(BY28="0","0",BY28)&gt;$AQ28,0,BY28)</f>
        <v>8153.08</v>
      </c>
      <c r="CA28" s="145">
        <f>IF(SUM($AS$28:BZ28)+IF(BZ28="0","0",BZ28)&gt;$AQ28,0,BZ28)</f>
        <v>0</v>
      </c>
      <c r="CB28" s="222">
        <f>IF(SUM($AS$28:CA28)+IF(CA28="0","0",CA28)&gt;$AQ28,0,CA28)</f>
        <v>0</v>
      </c>
      <c r="CC28" s="223">
        <f>IF(SUM($AS$28:CB28)+IF(CB28="0","0",CB28)&gt;$AQ28,0,CB28)</f>
        <v>0</v>
      </c>
      <c r="CD28" s="145">
        <f>IF(SUM($AS$28:CC28)+IF(CC28="0","0",CC28)&gt;$AQ28,0,CC28)</f>
        <v>0</v>
      </c>
      <c r="CE28" s="145">
        <f>IF(SUM($AS$28:CD28)+IF(CD28="0","0",CD28)&gt;$AQ28,0,CD28)</f>
        <v>0</v>
      </c>
      <c r="CF28" s="145">
        <f>IF(SUM($AS$28:CE28)+IF(CE28="0","0",CE28)&gt;$AQ28,0,CE28)</f>
        <v>0</v>
      </c>
      <c r="CG28" s="145">
        <f>IF(SUM($AS$28:CF28)+IF(CF28="0","0",CF28)&gt;$AQ28,0,CF28)</f>
        <v>0</v>
      </c>
      <c r="CH28" s="145">
        <f>IF(SUM($AS$28:CG28)+IF(CG28="0","0",CG28)&gt;$AQ28,0,CG28)</f>
        <v>0</v>
      </c>
      <c r="CI28" s="145">
        <f>IF(SUM($AS$28:CH28)+IF(CH28="0","0",CH28)&gt;$AQ28,0,CH28)</f>
        <v>0</v>
      </c>
      <c r="CJ28" s="145">
        <f>IF(SUM($AS$28:CI28)+IF(CI28="0","0",CI28)&gt;$AQ28,0,CI28)</f>
        <v>0</v>
      </c>
      <c r="CK28" s="145">
        <f>IF(SUM($AS$28:CJ28)+IF(CJ28="0","0",CJ28)&gt;$AQ28,0,CJ28)</f>
        <v>0</v>
      </c>
      <c r="CL28" s="145">
        <f>IF(SUM($AS$28:CK28)+IF(CK28="0","0",CK28)&gt;$AQ28,0,CK28)</f>
        <v>0</v>
      </c>
      <c r="CM28" s="145">
        <f>IF(SUM($AS$28:CL28)+IF(CL28="0","0",CL28)&gt;$AQ28,0,CL28)</f>
        <v>0</v>
      </c>
      <c r="CN28" s="224">
        <f>IF(SUM($AS$28:CM28)+IF(CM28="0","0",CM28)&gt;$AQ28,0,CM28)</f>
        <v>0</v>
      </c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</row>
    <row r="29" spans="1:158" s="70" customFormat="1">
      <c r="A29" s="225">
        <v>24</v>
      </c>
      <c r="B29" s="226" t="s">
        <v>148</v>
      </c>
      <c r="C29" s="226" t="s">
        <v>150</v>
      </c>
      <c r="D29" s="226"/>
      <c r="E29" s="240">
        <v>45260</v>
      </c>
      <c r="F29" s="228"/>
      <c r="G29" s="229">
        <v>390476.19</v>
      </c>
      <c r="H29" s="229">
        <f t="shared" si="2"/>
        <v>117142.857</v>
      </c>
      <c r="I29" s="229">
        <f t="shared" si="8"/>
        <v>273333.33299999998</v>
      </c>
      <c r="J29" s="230">
        <v>390476.19</v>
      </c>
      <c r="K29" s="229"/>
      <c r="L29" s="229"/>
      <c r="M29" s="229">
        <f t="shared" si="3"/>
        <v>390476.19</v>
      </c>
      <c r="N29" s="229">
        <f t="shared" si="9"/>
        <v>78095.237999999998</v>
      </c>
      <c r="O29" s="229">
        <f t="shared" si="12"/>
        <v>6507.94</v>
      </c>
      <c r="P29" s="229">
        <v>6507.94</v>
      </c>
      <c r="Q29" s="229">
        <v>11910.401293150684</v>
      </c>
      <c r="R29" s="229">
        <v>235391.1717068493</v>
      </c>
      <c r="S29" s="229">
        <v>7496.5341307913795</v>
      </c>
      <c r="T29" s="229">
        <f>ROUND($O$29,2)</f>
        <v>6507.94</v>
      </c>
      <c r="U29" s="229">
        <f>ROUND($O$29,2)</f>
        <v>6507.94</v>
      </c>
      <c r="V29" s="229">
        <f>ROUND($O$29,2)</f>
        <v>6507.94</v>
      </c>
      <c r="W29" s="229">
        <f>ROUND($O$29,2)</f>
        <v>6507.94</v>
      </c>
      <c r="X29" s="229">
        <v>7496.5341307913795</v>
      </c>
      <c r="Y29" s="229">
        <v>675.30766164383567</v>
      </c>
      <c r="Z29" s="231">
        <f t="shared" si="17"/>
        <v>7496.5341307913795</v>
      </c>
      <c r="AA29" s="229">
        <f t="shared" si="14"/>
        <v>675.30766164383567</v>
      </c>
      <c r="AB29" s="232">
        <f t="shared" si="18"/>
        <v>7496.5341307913795</v>
      </c>
      <c r="AC29" s="234">
        <f t="shared" si="18"/>
        <v>675.30766164383567</v>
      </c>
      <c r="AD29" s="232">
        <f t="shared" si="19"/>
        <v>7496.5341307913795</v>
      </c>
      <c r="AE29" s="234">
        <f t="shared" si="19"/>
        <v>675.30766164383567</v>
      </c>
      <c r="AF29" s="232">
        <f t="shared" si="19"/>
        <v>7496.5341307913795</v>
      </c>
      <c r="AG29" s="234">
        <v>675.31</v>
      </c>
      <c r="AH29" s="234">
        <v>7496.5341307913795</v>
      </c>
      <c r="AI29" s="233">
        <v>675.31</v>
      </c>
      <c r="AJ29" s="229">
        <v>7496.53</v>
      </c>
      <c r="AK29" s="229">
        <v>675.31</v>
      </c>
      <c r="AL29" s="229">
        <v>7496.53</v>
      </c>
      <c r="AM29" s="229">
        <v>675.31</v>
      </c>
      <c r="AN29" s="235">
        <f t="shared" si="10"/>
        <v>91406.495431323594</v>
      </c>
      <c r="AO29" s="235"/>
      <c r="AP29" s="206">
        <f t="shared" si="6"/>
        <v>97914.435431323596</v>
      </c>
      <c r="AQ29" s="206">
        <f t="shared" si="1"/>
        <v>292561.75456867641</v>
      </c>
      <c r="AR29" s="236"/>
      <c r="AS29" s="237">
        <f t="shared" si="7"/>
        <v>8171.84</v>
      </c>
      <c r="AT29" s="238">
        <f t="shared" si="13"/>
        <v>8171.84</v>
      </c>
      <c r="AU29" s="238">
        <f>IF(SUM($AS$29:AT29)+IF(AT29="0","0",AT29)&gt;$AQ29,0,AT29)</f>
        <v>8171.84</v>
      </c>
      <c r="AV29" s="238">
        <f>IF(SUM($AS$29:AU29)+IF(AU29="0","0",AU29)&gt;$AQ29,0,AU29)</f>
        <v>8171.84</v>
      </c>
      <c r="AW29" s="238">
        <f>IF(SUM($AS$29:AV29)+IF(AV29="0","0",AV29)&gt;$AQ29,0,AV29)</f>
        <v>8171.84</v>
      </c>
      <c r="AX29" s="238">
        <f>IF(SUM($AS$29:AW29)+IF(AW29="0","0",AW29)&gt;$AQ29,0,AW29)</f>
        <v>8171.84</v>
      </c>
      <c r="AY29" s="238">
        <f>IF(SUM($AS$29:AX29)+IF(AX29="0","0",AX29)&gt;$AQ29,0,AX29)</f>
        <v>8171.84</v>
      </c>
      <c r="AZ29" s="238">
        <f>IF(SUM($AS$29:AY29)+IF(AY29="0","0",AY29)&gt;$AQ29,0,AY29)</f>
        <v>8171.84</v>
      </c>
      <c r="BA29" s="238">
        <f>IF(SUM($AS$29:AZ29)+IF(AZ29="0","0",AZ29)&gt;$AQ29,0,AZ29)</f>
        <v>8171.84</v>
      </c>
      <c r="BB29" s="238">
        <f>IF(SUM($AS$29:BA29)+IF(BA29="0","0",BA29)&gt;$AQ29,0,BA29)</f>
        <v>8171.84</v>
      </c>
      <c r="BC29" s="238">
        <f>IF(SUM($AS$29:BB29)+IF(BB29="0","0",BB29)&gt;$AQ29,0,BB29)</f>
        <v>8171.84</v>
      </c>
      <c r="BD29" s="239">
        <f>IF(SUM($AS$29:BC29)+IF(BC29="0","0",BC29)&gt;$AQ29,0,BC29)</f>
        <v>8171.84</v>
      </c>
      <c r="BE29" s="237">
        <f>IF(SUM($AS$29:BD29)+IF(BD29="0","0",BD29)&gt;$AQ29,0,BD29)</f>
        <v>8171.84</v>
      </c>
      <c r="BF29" s="238">
        <f>IF(SUM($AS$29:BE29)+IF(BE29="0","0",BE29)&gt;$AQ29,0,BE29)</f>
        <v>8171.84</v>
      </c>
      <c r="BG29" s="238">
        <f>IF(SUM($AS$29:BF29)+IF(BF29="0","0",BF29)&gt;$AQ29,0,BF29)</f>
        <v>8171.84</v>
      </c>
      <c r="BH29" s="238">
        <f>IF(SUM($AS$29:BG29)+IF(BG29="0","0",BG29)&gt;$AQ29,0,BG29)</f>
        <v>8171.84</v>
      </c>
      <c r="BI29" s="238">
        <f>IF(SUM($AS$29:BH29)+IF(BH29="0","0",BH29)&gt;$AQ29,0,BH29)</f>
        <v>8171.84</v>
      </c>
      <c r="BJ29" s="238">
        <f>IF(SUM($AS$29:BI29)+IF(BI29="0","0",BI29)&gt;$AQ29,0,BI29)</f>
        <v>8171.84</v>
      </c>
      <c r="BK29" s="238">
        <f>IF(SUM($AS$29:BJ29)+IF(BJ29="0","0",BJ29)&gt;$AQ29,0,BJ29)</f>
        <v>8171.84</v>
      </c>
      <c r="BL29" s="238">
        <f>IF(SUM($AS$29:BK29)+IF(BK29="0","0",BK29)&gt;$AQ29,0,BK29)</f>
        <v>8171.84</v>
      </c>
      <c r="BM29" s="238">
        <f>IF(SUM($AS$29:BL29)+IF(BL29="0","0",BL29)&gt;$AQ29,0,BL29)</f>
        <v>8171.84</v>
      </c>
      <c r="BN29" s="238">
        <f>IF(SUM($AS$29:BM29)+IF(BM29="0","0",BM29)&gt;$AQ29,0,BM29)</f>
        <v>8171.84</v>
      </c>
      <c r="BO29" s="238">
        <f>IF(SUM($AS$29:BN29)+IF(BN29="0","0",BN29)&gt;$AQ29,0,BN29)</f>
        <v>8171.84</v>
      </c>
      <c r="BP29" s="239">
        <f>IF(SUM($AS$29:BO29)+IF(BO29="0","0",BO29)&gt;$AQ29,0,BO29)</f>
        <v>8171.84</v>
      </c>
      <c r="BQ29" s="237">
        <f>IF(SUM($AS$29:BP29)+IF(BP29="0","0",BP29)&gt;$AQ29,0,BP29)</f>
        <v>8171.84</v>
      </c>
      <c r="BR29" s="238">
        <f>IF(SUM($AS$29:BQ29)+IF(BQ29="0","0",BQ29)&gt;$AQ29,0,BQ29)</f>
        <v>8171.84</v>
      </c>
      <c r="BS29" s="238">
        <f>IF(SUM($AS$29:BR29)+IF(BR29="0","0",BR29)&gt;$AQ29,0,BR29)</f>
        <v>8171.84</v>
      </c>
      <c r="BT29" s="238">
        <f>IF(SUM($AS$29:BS29)+IF(BS29="0","0",BS29)&gt;$AQ29,0,BS29)</f>
        <v>8171.84</v>
      </c>
      <c r="BU29" s="238">
        <f>IF(SUM($AS$29:BT29)+IF(BT29="0","0",BT29)&gt;$AQ29,0,BT29)</f>
        <v>8171.84</v>
      </c>
      <c r="BV29" s="238">
        <f>IF(SUM($AS$29:BU29)+IF(BU29="0","0",BU29)&gt;$AQ29,0,BU29)</f>
        <v>8171.84</v>
      </c>
      <c r="BW29" s="238">
        <f>IF(SUM($AS$29:BV29)+IF(BV29="0","0",BV29)&gt;$AQ29,0,BV29)</f>
        <v>8171.84</v>
      </c>
      <c r="BX29" s="238">
        <f>IF(SUM($AS$29:BW29)+IF(BW29="0","0",BW29)&gt;$AQ29,0,BW29)</f>
        <v>8171.84</v>
      </c>
      <c r="BY29" s="238">
        <f>IF(SUM($AS$29:BX29)+IF(BX29="0","0",BX29)&gt;$AQ29,0,BX29)</f>
        <v>8171.84</v>
      </c>
      <c r="BZ29" s="238">
        <f>IF(SUM($AS$29:BY29)+IF(BY29="0","0",BY29)&gt;$AQ29,0,BY29)</f>
        <v>8171.84</v>
      </c>
      <c r="CA29" s="238">
        <f>IF(SUM($AS$29:BZ29)+IF(BZ29="0","0",BZ29)&gt;$AQ29,0,BZ29)</f>
        <v>8171.84</v>
      </c>
      <c r="CB29" s="222">
        <f>IF(SUM($AS$29:CA29)+IF(CA29="0","0",CA29)&gt;$AQ29,0,CA29)</f>
        <v>0</v>
      </c>
      <c r="CC29" s="223">
        <f>IF(SUM($AS$29:CB29)+IF(CB29="0","0",CB29)&gt;$AQ29,0,CB29)</f>
        <v>0</v>
      </c>
      <c r="CD29" s="145">
        <f>IF(SUM($AS$29:CC29)+IF(CC29="0","0",CC29)&gt;$AQ29,0,CC29)</f>
        <v>0</v>
      </c>
      <c r="CE29" s="145">
        <f>IF(SUM($AS$29:CD29)+IF(CD29="0","0",CD29)&gt;$AQ29,0,CD29)</f>
        <v>0</v>
      </c>
      <c r="CF29" s="145">
        <f>IF(SUM($AS$29:CE29)+IF(CE29="0","0",CE29)&gt;$AQ29,0,CE29)</f>
        <v>0</v>
      </c>
      <c r="CG29" s="145">
        <f>IF(SUM($AS$29:CF29)+IF(CF29="0","0",CF29)&gt;$AQ29,0,CF29)</f>
        <v>0</v>
      </c>
      <c r="CH29" s="145">
        <f>IF(SUM($AS$29:CG29)+IF(CG29="0","0",CG29)&gt;$AQ29,0,CG29)</f>
        <v>0</v>
      </c>
      <c r="CI29" s="145">
        <f>IF(SUM($AS$29:CH29)+IF(CH29="0","0",CH29)&gt;$AQ29,0,CH29)</f>
        <v>0</v>
      </c>
      <c r="CJ29" s="145">
        <f>IF(SUM($AS$29:CI29)+IF(CI29="0","0",CI29)&gt;$AQ29,0,CI29)</f>
        <v>0</v>
      </c>
      <c r="CK29" s="145">
        <f>IF(SUM($AS$29:CJ29)+IF(CJ29="0","0",CJ29)&gt;$AQ29,0,CJ29)</f>
        <v>0</v>
      </c>
      <c r="CL29" s="145">
        <f>IF(SUM($AS$29:CK29)+IF(CK29="0","0",CK29)&gt;$AQ29,0,CK29)</f>
        <v>0</v>
      </c>
      <c r="CM29" s="145">
        <f>IF(SUM($AS$29:CL29)+IF(CL29="0","0",CL29)&gt;$AQ29,0,CL29)</f>
        <v>0</v>
      </c>
      <c r="CN29" s="224">
        <f>IF(SUM($AS$29:CM29)+IF(CM29="0","0",CM29)&gt;$AQ29,0,CM29)</f>
        <v>0</v>
      </c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</row>
    <row r="30" spans="1:158" s="70" customFormat="1">
      <c r="A30" s="225">
        <v>25</v>
      </c>
      <c r="B30" s="226" t="s">
        <v>151</v>
      </c>
      <c r="C30" s="226" t="s">
        <v>238</v>
      </c>
      <c r="D30" s="226"/>
      <c r="E30" s="240">
        <v>45260</v>
      </c>
      <c r="F30" s="228"/>
      <c r="G30" s="229">
        <v>657142.86</v>
      </c>
      <c r="H30" s="229">
        <f t="shared" si="2"/>
        <v>197142.85799999998</v>
      </c>
      <c r="I30" s="229">
        <f t="shared" si="8"/>
        <v>460000.00199999998</v>
      </c>
      <c r="J30" s="230">
        <v>657142.86</v>
      </c>
      <c r="K30" s="229"/>
      <c r="L30" s="229"/>
      <c r="M30" s="229">
        <f t="shared" si="3"/>
        <v>657142.86</v>
      </c>
      <c r="N30" s="229">
        <f t="shared" si="9"/>
        <v>131428.57200000001</v>
      </c>
      <c r="O30" s="229">
        <f t="shared" si="12"/>
        <v>10952.38</v>
      </c>
      <c r="P30" s="229">
        <v>10952.38</v>
      </c>
      <c r="Q30" s="229">
        <v>20044.361556164389</v>
      </c>
      <c r="R30" s="229">
        <v>396146.12044383562</v>
      </c>
      <c r="S30" s="229">
        <v>12616.118485472472</v>
      </c>
      <c r="T30" s="229">
        <f>ROUND($O$30,2)</f>
        <v>10952.38</v>
      </c>
      <c r="U30" s="229">
        <f>ROUND($O$30,2)</f>
        <v>10952.38</v>
      </c>
      <c r="V30" s="229">
        <f>ROUND($O$30,2)</f>
        <v>10952.38</v>
      </c>
      <c r="W30" s="229">
        <f>ROUND($O$30,2)</f>
        <v>10952.38</v>
      </c>
      <c r="X30" s="229">
        <v>12616.118485472472</v>
      </c>
      <c r="Y30" s="229">
        <v>1136.497694520549</v>
      </c>
      <c r="Z30" s="231">
        <f t="shared" si="17"/>
        <v>12616.118485472472</v>
      </c>
      <c r="AA30" s="229">
        <f>Y30</f>
        <v>1136.497694520549</v>
      </c>
      <c r="AB30" s="232">
        <f t="shared" si="18"/>
        <v>12616.118485472472</v>
      </c>
      <c r="AC30" s="234">
        <f>AA30</f>
        <v>1136.497694520549</v>
      </c>
      <c r="AD30" s="232">
        <f t="shared" si="19"/>
        <v>12616.118485472472</v>
      </c>
      <c r="AE30" s="234">
        <f>AC30</f>
        <v>1136.497694520549</v>
      </c>
      <c r="AF30" s="232">
        <f t="shared" si="19"/>
        <v>12616.118485472472</v>
      </c>
      <c r="AG30" s="234">
        <v>1136.5</v>
      </c>
      <c r="AH30" s="234">
        <v>12616.118485472472</v>
      </c>
      <c r="AI30" s="238">
        <v>1136.5</v>
      </c>
      <c r="AJ30" s="229">
        <v>12616.12</v>
      </c>
      <c r="AK30" s="229">
        <v>1136.5</v>
      </c>
      <c r="AL30" s="229">
        <v>12616.12</v>
      </c>
      <c r="AM30" s="229">
        <v>1136.5</v>
      </c>
      <c r="AN30" s="235">
        <f t="shared" si="10"/>
        <v>153830.46169091703</v>
      </c>
      <c r="AO30" s="235"/>
      <c r="AP30" s="206">
        <f t="shared" si="6"/>
        <v>164782.84169091703</v>
      </c>
      <c r="AQ30" s="206">
        <f t="shared" si="1"/>
        <v>492360.01830908295</v>
      </c>
      <c r="AR30" s="236"/>
      <c r="AS30" s="237">
        <f t="shared" si="7"/>
        <v>13752.62</v>
      </c>
      <c r="AT30" s="238">
        <f t="shared" si="13"/>
        <v>13752.62</v>
      </c>
      <c r="AU30" s="238">
        <f>IF(SUM($AS$30:AT30)+IF(AT30="0","0",AT30)&gt;$AQ30,0,AT30)</f>
        <v>13752.62</v>
      </c>
      <c r="AV30" s="238">
        <f>IF(SUM($AS$30:AU30)+IF(AU30="0","0",AU30)&gt;$AQ30,0,AU30)</f>
        <v>13752.62</v>
      </c>
      <c r="AW30" s="238">
        <f>IF(SUM($AS$30:AV30)+IF(AV30="0","0",AV30)&gt;$AQ30,0,AV30)</f>
        <v>13752.62</v>
      </c>
      <c r="AX30" s="238">
        <f>IF(SUM($AS$30:AW30)+IF(AW30="0","0",AW30)&gt;$AQ30,0,AW30)</f>
        <v>13752.62</v>
      </c>
      <c r="AY30" s="238">
        <f>IF(SUM($AS$30:AX30)+IF(AX30="0","0",AX30)&gt;$AQ30,0,AX30)</f>
        <v>13752.62</v>
      </c>
      <c r="AZ30" s="238">
        <f>IF(SUM($AS$30:AY30)+IF(AY30="0","0",AY30)&gt;$AQ30,0,AY30)</f>
        <v>13752.62</v>
      </c>
      <c r="BA30" s="238">
        <f>IF(SUM($AS$30:AZ30)+IF(AZ30="0","0",AZ30)&gt;$AQ30,0,AZ30)</f>
        <v>13752.62</v>
      </c>
      <c r="BB30" s="238">
        <f>IF(SUM($AS$30:BA30)+IF(BA30="0","0",BA30)&gt;$AQ30,0,BA30)</f>
        <v>13752.62</v>
      </c>
      <c r="BC30" s="238">
        <f>IF(SUM($AS$30:BB30)+IF(BB30="0","0",BB30)&gt;$AQ30,0,BB30)</f>
        <v>13752.62</v>
      </c>
      <c r="BD30" s="239">
        <f>IF(SUM($AS$30:BC30)+IF(BC30="0","0",BC30)&gt;$AQ30,0,BC30)</f>
        <v>13752.62</v>
      </c>
      <c r="BE30" s="237">
        <f>IF(SUM($AS$30:BD30)+IF(BD30="0","0",BD30)&gt;$AQ30,0,BD30)</f>
        <v>13752.62</v>
      </c>
      <c r="BF30" s="238">
        <f>IF(SUM($AS$30:BE30)+IF(BE30="0","0",BE30)&gt;$AQ30,0,BE30)</f>
        <v>13752.62</v>
      </c>
      <c r="BG30" s="238">
        <f>IF(SUM($AS$30:BF30)+IF(BF30="0","0",BF30)&gt;$AQ30,0,BF30)</f>
        <v>13752.62</v>
      </c>
      <c r="BH30" s="238">
        <f>IF(SUM($AS$30:BG30)+IF(BG30="0","0",BG30)&gt;$AQ30,0,BG30)</f>
        <v>13752.62</v>
      </c>
      <c r="BI30" s="238">
        <f>IF(SUM($AS$30:BH30)+IF(BH30="0","0",BH30)&gt;$AQ30,0,BH30)</f>
        <v>13752.62</v>
      </c>
      <c r="BJ30" s="238">
        <f>IF(SUM($AS$30:BI30)+IF(BI30="0","0",BI30)&gt;$AQ30,0,BI30)</f>
        <v>13752.62</v>
      </c>
      <c r="BK30" s="238">
        <f>IF(SUM($AS$30:BJ30)+IF(BJ30="0","0",BJ30)&gt;$AQ30,0,BJ30)</f>
        <v>13752.62</v>
      </c>
      <c r="BL30" s="238">
        <f>IF(SUM($AS$30:BK30)+IF(BK30="0","0",BK30)&gt;$AQ30,0,BK30)</f>
        <v>13752.62</v>
      </c>
      <c r="BM30" s="238">
        <f>IF(SUM($AS$30:BL30)+IF(BL30="0","0",BL30)&gt;$AQ30,0,BL30)</f>
        <v>13752.62</v>
      </c>
      <c r="BN30" s="238">
        <f>IF(SUM($AS$30:BM30)+IF(BM30="0","0",BM30)&gt;$AQ30,0,BM30)</f>
        <v>13752.62</v>
      </c>
      <c r="BO30" s="238">
        <f>IF(SUM($AS$30:BN30)+IF(BN30="0","0",BN30)&gt;$AQ30,0,BN30)</f>
        <v>13752.62</v>
      </c>
      <c r="BP30" s="239">
        <f>IF(SUM($AS$30:BO30)+IF(BO30="0","0",BO30)&gt;$AQ30,0,BO30)</f>
        <v>13752.62</v>
      </c>
      <c r="BQ30" s="237">
        <f>IF(SUM($AS$30:BP30)+IF(BP30="0","0",BP30)&gt;$AQ30,0,BP30)</f>
        <v>13752.62</v>
      </c>
      <c r="BR30" s="238">
        <f>IF(SUM($AS$30:BQ30)+IF(BQ30="0","0",BQ30)&gt;$AQ30,0,BQ30)</f>
        <v>13752.62</v>
      </c>
      <c r="BS30" s="238">
        <f>IF(SUM($AS$30:BR30)+IF(BR30="0","0",BR30)&gt;$AQ30,0,BR30)</f>
        <v>13752.62</v>
      </c>
      <c r="BT30" s="238">
        <f>IF(SUM($AS$30:BS30)+IF(BS30="0","0",BS30)&gt;$AQ30,0,BS30)</f>
        <v>13752.62</v>
      </c>
      <c r="BU30" s="238">
        <f>IF(SUM($AS$30:BT30)+IF(BT30="0","0",BT30)&gt;$AQ30,0,BT30)</f>
        <v>13752.62</v>
      </c>
      <c r="BV30" s="238">
        <f>IF(SUM($AS$30:BU30)+IF(BU30="0","0",BU30)&gt;$AQ30,0,BU30)</f>
        <v>13752.62</v>
      </c>
      <c r="BW30" s="238">
        <f>IF(SUM($AS$30:BV30)+IF(BV30="0","0",BV30)&gt;$AQ30,0,BV30)</f>
        <v>13752.62</v>
      </c>
      <c r="BX30" s="238">
        <f>IF(SUM($AS$30:BW30)+IF(BW30="0","0",BW30)&gt;$AQ30,0,BW30)</f>
        <v>13752.62</v>
      </c>
      <c r="BY30" s="238">
        <f>IF(SUM($AS$30:BX30)+IF(BX30="0","0",BX30)&gt;$AQ30,0,BX30)</f>
        <v>13752.62</v>
      </c>
      <c r="BZ30" s="238">
        <f>IF(SUM($AS$30:BY30)+IF(BY30="0","0",BY30)&gt;$AQ30,0,BY30)</f>
        <v>13752.62</v>
      </c>
      <c r="CA30" s="238">
        <f>IF(SUM($AS$30:BZ30)+IF(BZ30="0","0",BZ30)&gt;$AQ30,0,BZ30)</f>
        <v>13752.62</v>
      </c>
      <c r="CB30" s="222">
        <f>IF(SUM($AS$30:CA30)+IF(CA30="0","0",CA30)&gt;$AQ30,0,CA30)</f>
        <v>0</v>
      </c>
      <c r="CC30" s="223">
        <f>IF(SUM($AS$30:CB30)+IF(CB30="0","0",CB30)&gt;$AQ30,0,CB30)</f>
        <v>0</v>
      </c>
      <c r="CD30" s="145">
        <f>IF(SUM($AS$30:CC30)+IF(CC30="0","0",CC30)&gt;$AQ30,0,CC30)</f>
        <v>0</v>
      </c>
      <c r="CE30" s="145">
        <f>IF(SUM($AS$30:CD30)+IF(CD30="0","0",CD30)&gt;$AQ30,0,CD30)</f>
        <v>0</v>
      </c>
      <c r="CF30" s="145">
        <f>IF(SUM($AS$30:CE30)+IF(CE30="0","0",CE30)&gt;$AQ30,0,CE30)</f>
        <v>0</v>
      </c>
      <c r="CG30" s="145">
        <f>IF(SUM($AS$30:CF30)+IF(CF30="0","0",CF30)&gt;$AQ30,0,CF30)</f>
        <v>0</v>
      </c>
      <c r="CH30" s="145">
        <f>IF(SUM($AS$30:CG30)+IF(CG30="0","0",CG30)&gt;$AQ30,0,CG30)</f>
        <v>0</v>
      </c>
      <c r="CI30" s="145">
        <f>IF(SUM($AS$30:CH30)+IF(CH30="0","0",CH30)&gt;$AQ30,0,CH30)</f>
        <v>0</v>
      </c>
      <c r="CJ30" s="145">
        <f>IF(SUM($AS$30:CI30)+IF(CI30="0","0",CI30)&gt;$AQ30,0,CI30)</f>
        <v>0</v>
      </c>
      <c r="CK30" s="145">
        <f>IF(SUM($AS$30:CJ30)+IF(CJ30="0","0",CJ30)&gt;$AQ30,0,CJ30)</f>
        <v>0</v>
      </c>
      <c r="CL30" s="145">
        <f>IF(SUM($AS$30:CK30)+IF(CK30="0","0",CK30)&gt;$AQ30,0,CK30)</f>
        <v>0</v>
      </c>
      <c r="CM30" s="145">
        <f>IF(SUM($AS$30:CL30)+IF(CL30="0","0",CL30)&gt;$AQ30,0,CL30)</f>
        <v>0</v>
      </c>
      <c r="CN30" s="224">
        <f>IF(SUM($AS$30:CM30)+IF(CM30="0","0",CM30)&gt;$AQ30,0,CM30)</f>
        <v>0</v>
      </c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</row>
    <row r="31" spans="1:158" s="70" customFormat="1">
      <c r="A31" s="225">
        <v>26</v>
      </c>
      <c r="B31" s="226" t="s">
        <v>151</v>
      </c>
      <c r="C31" s="226" t="s">
        <v>152</v>
      </c>
      <c r="D31" s="226"/>
      <c r="E31" s="240">
        <v>45268</v>
      </c>
      <c r="F31" s="228"/>
      <c r="G31" s="229">
        <v>657142.86</v>
      </c>
      <c r="H31" s="229">
        <f t="shared" si="2"/>
        <v>197142.85799999998</v>
      </c>
      <c r="I31" s="229">
        <f t="shared" si="8"/>
        <v>460000.00199999998</v>
      </c>
      <c r="J31" s="230">
        <v>657142.86</v>
      </c>
      <c r="K31" s="229"/>
      <c r="L31" s="229"/>
      <c r="M31" s="229">
        <f t="shared" si="3"/>
        <v>657142.86</v>
      </c>
      <c r="N31" s="229">
        <f t="shared" si="9"/>
        <v>131428.57200000001</v>
      </c>
      <c r="O31" s="229">
        <f t="shared" si="12"/>
        <v>10952.38</v>
      </c>
      <c r="P31" s="229">
        <v>7772.66</v>
      </c>
      <c r="Q31" s="229">
        <v>19863.350947945204</v>
      </c>
      <c r="R31" s="229">
        <v>399506.85105205479</v>
      </c>
      <c r="S31" s="229">
        <v>12616.005822696467</v>
      </c>
      <c r="T31" s="229">
        <f>ROUND($O$31,2)</f>
        <v>10952.38</v>
      </c>
      <c r="U31" s="229">
        <f>ROUND($O$31,2)</f>
        <v>10952.38</v>
      </c>
      <c r="V31" s="229">
        <f>ROUND($O$31,2)</f>
        <v>10952.38</v>
      </c>
      <c r="W31" s="229">
        <f>ROUND($O$31,2)</f>
        <v>10952.38</v>
      </c>
      <c r="X31" s="229">
        <v>12616.005822696467</v>
      </c>
      <c r="Y31" s="229">
        <v>1113.8713684931517</v>
      </c>
      <c r="Z31" s="231">
        <f t="shared" si="17"/>
        <v>12616.005822696467</v>
      </c>
      <c r="AA31" s="229">
        <f t="shared" si="14"/>
        <v>1113.8713684931517</v>
      </c>
      <c r="AB31" s="232">
        <f t="shared" si="18"/>
        <v>12616.005822696467</v>
      </c>
      <c r="AC31" s="234">
        <f t="shared" si="18"/>
        <v>1113.8713684931517</v>
      </c>
      <c r="AD31" s="232">
        <f t="shared" si="19"/>
        <v>12616.005822696467</v>
      </c>
      <c r="AE31" s="234">
        <f t="shared" si="19"/>
        <v>1113.8713684931517</v>
      </c>
      <c r="AF31" s="232">
        <f t="shared" si="19"/>
        <v>12616.005822696467</v>
      </c>
      <c r="AG31" s="234">
        <v>1113.8699999999999</v>
      </c>
      <c r="AH31" s="234">
        <v>12616.005822696467</v>
      </c>
      <c r="AI31" s="238">
        <v>1113.8699999999999</v>
      </c>
      <c r="AJ31" s="229">
        <v>12616.01</v>
      </c>
      <c r="AK31" s="229">
        <v>1113.8699999999999</v>
      </c>
      <c r="AL31" s="229">
        <v>12616.01</v>
      </c>
      <c r="AM31" s="229">
        <v>1113.8699999999999</v>
      </c>
      <c r="AN31" s="235">
        <f t="shared" si="10"/>
        <v>153648.54041015139</v>
      </c>
      <c r="AO31" s="235"/>
      <c r="AP31" s="206">
        <f t="shared" si="6"/>
        <v>161421.20041015139</v>
      </c>
      <c r="AQ31" s="206">
        <f t="shared" si="1"/>
        <v>495721.6595898486</v>
      </c>
      <c r="AR31" s="236"/>
      <c r="AS31" s="237">
        <f t="shared" si="7"/>
        <v>13729.880000000001</v>
      </c>
      <c r="AT31" s="238">
        <f t="shared" si="13"/>
        <v>13729.880000000001</v>
      </c>
      <c r="AU31" s="238">
        <f>IF(SUM($AS$31:AT31)+IF(AT31="0","0",AT31)&gt;$AQ31,0,AT31)</f>
        <v>13729.880000000001</v>
      </c>
      <c r="AV31" s="238">
        <f>IF(SUM($AS$31:AU31)+IF(AU31="0","0",AU31)&gt;$AQ31,0,AU31)</f>
        <v>13729.880000000001</v>
      </c>
      <c r="AW31" s="238">
        <f>IF(SUM($AS$31:AV31)+IF(AV31="0","0",AV31)&gt;$AQ31,0,AV31)</f>
        <v>13729.880000000001</v>
      </c>
      <c r="AX31" s="238">
        <f>IF(SUM($AS$31:AW31)+IF(AW31="0","0",AW31)&gt;$AQ31,0,AW31)</f>
        <v>13729.880000000001</v>
      </c>
      <c r="AY31" s="238">
        <f>IF(SUM($AS$31:AX31)+IF(AX31="0","0",AX31)&gt;$AQ31,0,AX31)</f>
        <v>13729.880000000001</v>
      </c>
      <c r="AZ31" s="238">
        <f>IF(SUM($AS$31:AY31)+IF(AY31="0","0",AY31)&gt;$AQ31,0,AY31)</f>
        <v>13729.880000000001</v>
      </c>
      <c r="BA31" s="238">
        <f>IF(SUM($AS$31:AZ31)+IF(AZ31="0","0",AZ31)&gt;$AQ31,0,AZ31)</f>
        <v>13729.880000000001</v>
      </c>
      <c r="BB31" s="238">
        <f>IF(SUM($AS$31:BA31)+IF(BA31="0","0",BA31)&gt;$AQ31,0,BA31)</f>
        <v>13729.880000000001</v>
      </c>
      <c r="BC31" s="238">
        <f>IF(SUM($AS$31:BB31)+IF(BB31="0","0",BB31)&gt;$AQ31,0,BB31)</f>
        <v>13729.880000000001</v>
      </c>
      <c r="BD31" s="239">
        <f>IF(SUM($AS$31:BC31)+IF(BC31="0","0",BC31)&gt;$AQ31,0,BC31)</f>
        <v>13729.880000000001</v>
      </c>
      <c r="BE31" s="237">
        <f>IF(SUM($AS$31:BD31)+IF(BD31="0","0",BD31)&gt;$AQ31,0,BD31)</f>
        <v>13729.880000000001</v>
      </c>
      <c r="BF31" s="238">
        <f>IF(SUM($AS$31:BE31)+IF(BE31="0","0",BE31)&gt;$AQ31,0,BE31)</f>
        <v>13729.880000000001</v>
      </c>
      <c r="BG31" s="238">
        <f>IF(SUM($AS$31:BF31)+IF(BF31="0","0",BF31)&gt;$AQ31,0,BF31)</f>
        <v>13729.880000000001</v>
      </c>
      <c r="BH31" s="238">
        <f>IF(SUM($AS$31:BG31)+IF(BG31="0","0",BG31)&gt;$AQ31,0,BG31)</f>
        <v>13729.880000000001</v>
      </c>
      <c r="BI31" s="238">
        <f>IF(SUM($AS$31:BH31)+IF(BH31="0","0",BH31)&gt;$AQ31,0,BH31)</f>
        <v>13729.880000000001</v>
      </c>
      <c r="BJ31" s="238">
        <f>IF(SUM($AS$31:BI31)+IF(BI31="0","0",BI31)&gt;$AQ31,0,BI31)</f>
        <v>13729.880000000001</v>
      </c>
      <c r="BK31" s="238">
        <f>IF(SUM($AS$31:BJ31)+IF(BJ31="0","0",BJ31)&gt;$AQ31,0,BJ31)</f>
        <v>13729.880000000001</v>
      </c>
      <c r="BL31" s="238">
        <f>IF(SUM($AS$31:BK31)+IF(BK31="0","0",BK31)&gt;$AQ31,0,BK31)</f>
        <v>13729.880000000001</v>
      </c>
      <c r="BM31" s="238">
        <f>IF(SUM($AS$31:BL31)+IF(BL31="0","0",BL31)&gt;$AQ31,0,BL31)</f>
        <v>13729.880000000001</v>
      </c>
      <c r="BN31" s="238">
        <f>IF(SUM($AS$31:BM31)+IF(BM31="0","0",BM31)&gt;$AQ31,0,BM31)</f>
        <v>13729.880000000001</v>
      </c>
      <c r="BO31" s="238">
        <f>IF(SUM($AS$31:BN31)+IF(BN31="0","0",BN31)&gt;$AQ31,0,BN31)</f>
        <v>13729.880000000001</v>
      </c>
      <c r="BP31" s="239">
        <f>IF(SUM($AS$31:BO31)+IF(BO31="0","0",BO31)&gt;$AQ31,0,BO31)</f>
        <v>13729.880000000001</v>
      </c>
      <c r="BQ31" s="237">
        <f>IF(SUM($AS$31:BP31)+IF(BP31="0","0",BP31)&gt;$AQ31,0,BP31)</f>
        <v>13729.880000000001</v>
      </c>
      <c r="BR31" s="238">
        <f>IF(SUM($AS$31:BQ31)+IF(BQ31="0","0",BQ31)&gt;$AQ31,0,BQ31)</f>
        <v>13729.880000000001</v>
      </c>
      <c r="BS31" s="238">
        <f>IF(SUM($AS$31:BR31)+IF(BR31="0","0",BR31)&gt;$AQ31,0,BR31)</f>
        <v>13729.880000000001</v>
      </c>
      <c r="BT31" s="238">
        <f>IF(SUM($AS$31:BS31)+IF(BS31="0","0",BS31)&gt;$AQ31,0,BS31)</f>
        <v>13729.880000000001</v>
      </c>
      <c r="BU31" s="238">
        <f>IF(SUM($AS$31:BT31)+IF(BT31="0","0",BT31)&gt;$AQ31,0,BT31)</f>
        <v>13729.880000000001</v>
      </c>
      <c r="BV31" s="238">
        <f>IF(SUM($AS$31:BU31)+IF(BU31="0","0",BU31)&gt;$AQ31,0,BU31)</f>
        <v>13729.880000000001</v>
      </c>
      <c r="BW31" s="238">
        <f>IF(SUM($AS$31:BV31)+IF(BV31="0","0",BV31)&gt;$AQ31,0,BV31)</f>
        <v>13729.880000000001</v>
      </c>
      <c r="BX31" s="238">
        <f>IF(SUM($AS$31:BW31)+IF(BW31="0","0",BW31)&gt;$AQ31,0,BW31)</f>
        <v>13729.880000000001</v>
      </c>
      <c r="BY31" s="238">
        <f>IF(SUM($AS$31:BX31)+IF(BX31="0","0",BX31)&gt;$AQ31,0,BX31)</f>
        <v>13729.880000000001</v>
      </c>
      <c r="BZ31" s="238">
        <f>IF(SUM($AS$31:BY31)+IF(BY31="0","0",BY31)&gt;$AQ31,0,BY31)</f>
        <v>13729.880000000001</v>
      </c>
      <c r="CA31" s="238">
        <f>IF(SUM($AS$31:BZ31)+IF(BZ31="0","0",BZ31)&gt;$AQ31,0,BZ31)</f>
        <v>13729.880000000001</v>
      </c>
      <c r="CB31" s="239">
        <f>IF(SUM($AS$31:CA31)+IF(CA31="0","0",CA31)&gt;$AQ31,0,CA31)</f>
        <v>13729.880000000001</v>
      </c>
      <c r="CC31" s="223">
        <f>IF(SUM($AS$31:CB31)+IF(CB31="0","0",CB31)&gt;$AQ31,0,CB31)</f>
        <v>0</v>
      </c>
      <c r="CD31" s="145">
        <f>IF(SUM($AS$31:CC31)+IF(CC31="0","0",CC31)&gt;$AQ31,0,CC31)</f>
        <v>0</v>
      </c>
      <c r="CE31" s="145">
        <f>IF(SUM($AS$31:CD31)+IF(CD31="0","0",CD31)&gt;$AQ31,0,CD31)</f>
        <v>0</v>
      </c>
      <c r="CF31" s="145">
        <f>IF(SUM($AS$31:CE31)+IF(CE31="0","0",CE31)&gt;$AQ31,0,CE31)</f>
        <v>0</v>
      </c>
      <c r="CG31" s="145">
        <f>IF(SUM($AS$31:CF31)+IF(CF31="0","0",CF31)&gt;$AQ31,0,CF31)</f>
        <v>0</v>
      </c>
      <c r="CH31" s="145">
        <f>IF(SUM($AS$31:CG31)+IF(CG31="0","0",CG31)&gt;$AQ31,0,CG31)</f>
        <v>0</v>
      </c>
      <c r="CI31" s="145">
        <f>IF(SUM($AS$31:CH31)+IF(CH31="0","0",CH31)&gt;$AQ31,0,CH31)</f>
        <v>0</v>
      </c>
      <c r="CJ31" s="145">
        <f>IF(SUM($AS$31:CI31)+IF(CI31="0","0",CI31)&gt;$AQ31,0,CI31)</f>
        <v>0</v>
      </c>
      <c r="CK31" s="145">
        <f>IF(SUM($AS$31:CJ31)+IF(CJ31="0","0",CJ31)&gt;$AQ31,0,CJ31)</f>
        <v>0</v>
      </c>
      <c r="CL31" s="145">
        <f>IF(SUM($AS$31:CK31)+IF(CK31="0","0",CK31)&gt;$AQ31,0,CK31)</f>
        <v>0</v>
      </c>
      <c r="CM31" s="145">
        <f>IF(SUM($AS$31:CL31)+IF(CL31="0","0",CL31)&gt;$AQ31,0,CL31)</f>
        <v>0</v>
      </c>
      <c r="CN31" s="224">
        <f>IF(SUM($AS$31:CM31)+IF(CM31="0","0",CM31)&gt;$AQ31,0,CM31)</f>
        <v>0</v>
      </c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</row>
    <row r="32" spans="1:158" s="70" customFormat="1">
      <c r="A32" s="225">
        <v>27</v>
      </c>
      <c r="B32" s="226" t="s">
        <v>153</v>
      </c>
      <c r="C32" s="226" t="s">
        <v>154</v>
      </c>
      <c r="D32" s="226"/>
      <c r="E32" s="240">
        <v>45350</v>
      </c>
      <c r="F32" s="228"/>
      <c r="G32" s="229">
        <v>342857.14</v>
      </c>
      <c r="H32" s="229">
        <f t="shared" si="2"/>
        <v>102857.14200000001</v>
      </c>
      <c r="I32" s="229">
        <f t="shared" si="8"/>
        <v>239999.99799999999</v>
      </c>
      <c r="J32" s="229"/>
      <c r="K32" s="229">
        <v>342857.14</v>
      </c>
      <c r="L32" s="229"/>
      <c r="M32" s="229">
        <f t="shared" si="3"/>
        <v>342857.14</v>
      </c>
      <c r="N32" s="229">
        <f>G32*20%</f>
        <v>68571.428</v>
      </c>
      <c r="O32" s="229">
        <f t="shared" si="12"/>
        <v>5714.29</v>
      </c>
      <c r="P32" s="229">
        <v>0</v>
      </c>
      <c r="Q32" s="229">
        <v>7874.7509826484029</v>
      </c>
      <c r="R32" s="229">
        <v>226410.95701735161</v>
      </c>
      <c r="S32" s="229">
        <v>6581.713866783477</v>
      </c>
      <c r="T32" s="229">
        <v>0</v>
      </c>
      <c r="U32" s="229">
        <v>0</v>
      </c>
      <c r="V32" s="229">
        <f>ROUND($O$32,2)</f>
        <v>5714.29</v>
      </c>
      <c r="W32" s="229">
        <f>ROUND($O$32,2)</f>
        <v>5714.29</v>
      </c>
      <c r="X32" s="229">
        <v>6581.713866783477</v>
      </c>
      <c r="Y32" s="229">
        <v>270.05762283105037</v>
      </c>
      <c r="Z32" s="231">
        <f t="shared" si="17"/>
        <v>6581.713866783477</v>
      </c>
      <c r="AA32" s="229">
        <f t="shared" si="14"/>
        <v>270.05762283105037</v>
      </c>
      <c r="AB32" s="232">
        <f t="shared" si="18"/>
        <v>6581.713866783477</v>
      </c>
      <c r="AC32" s="234">
        <f t="shared" si="18"/>
        <v>270.05762283105037</v>
      </c>
      <c r="AD32" s="232">
        <f t="shared" si="19"/>
        <v>6581.713866783477</v>
      </c>
      <c r="AE32" s="234">
        <f t="shared" si="19"/>
        <v>270.05762283105037</v>
      </c>
      <c r="AF32" s="232">
        <f t="shared" si="19"/>
        <v>6581.713866783477</v>
      </c>
      <c r="AG32" s="234">
        <v>270.06</v>
      </c>
      <c r="AH32" s="234">
        <v>6581.713866783477</v>
      </c>
      <c r="AI32" s="233">
        <v>270.06</v>
      </c>
      <c r="AJ32" s="229">
        <v>6581.71</v>
      </c>
      <c r="AK32" s="229">
        <v>270.06</v>
      </c>
      <c r="AL32" s="229">
        <v>6581.71</v>
      </c>
      <c r="AM32" s="229">
        <v>270.06</v>
      </c>
      <c r="AN32" s="235">
        <f t="shared" si="10"/>
        <v>66242.753692025057</v>
      </c>
      <c r="AO32" s="235"/>
      <c r="AP32" s="206">
        <f t="shared" si="6"/>
        <v>66242.753692025057</v>
      </c>
      <c r="AQ32" s="206">
        <f t="shared" si="1"/>
        <v>276614.38630797493</v>
      </c>
      <c r="AR32" s="236"/>
      <c r="AS32" s="237">
        <f t="shared" si="7"/>
        <v>6851.77</v>
      </c>
      <c r="AT32" s="238">
        <f t="shared" si="13"/>
        <v>6851.77</v>
      </c>
      <c r="AU32" s="238">
        <f>IF(SUM($AS$32:AT32)+IF(AT32="0","0",AT32)&gt;$AQ32,0,AT32)</f>
        <v>6851.77</v>
      </c>
      <c r="AV32" s="238">
        <f>IF(SUM($AS$32:AU32)+IF(AU32="0","0",AU32)&gt;$AQ32,0,AU32)</f>
        <v>6851.77</v>
      </c>
      <c r="AW32" s="238">
        <f>IF(SUM($AS$32:AV32)+IF(AV32="0","0",AV32)&gt;$AQ32,0,AV32)</f>
        <v>6851.77</v>
      </c>
      <c r="AX32" s="238">
        <f>IF(SUM($AS$32:AW32)+IF(AW32="0","0",AW32)&gt;$AQ32,0,AW32)</f>
        <v>6851.77</v>
      </c>
      <c r="AY32" s="238">
        <f>IF(SUM($AS$32:AX32)+IF(AX32="0","0",AX32)&gt;$AQ32,0,AX32)</f>
        <v>6851.77</v>
      </c>
      <c r="AZ32" s="238">
        <f>IF(SUM($AS$32:AY32)+IF(AY32="0","0",AY32)&gt;$AQ32,0,AY32)</f>
        <v>6851.77</v>
      </c>
      <c r="BA32" s="238">
        <f>IF(SUM($AS$32:AZ32)+IF(AZ32="0","0",AZ32)&gt;$AQ32,0,AZ32)</f>
        <v>6851.77</v>
      </c>
      <c r="BB32" s="238">
        <f>IF(SUM($AS$32:BA32)+IF(BA32="0","0",BA32)&gt;$AQ32,0,BA32)</f>
        <v>6851.77</v>
      </c>
      <c r="BC32" s="238">
        <f>IF(SUM($AS$32:BB32)+IF(BB32="0","0",BB32)&gt;$AQ32,0,BB32)</f>
        <v>6851.77</v>
      </c>
      <c r="BD32" s="239">
        <f>IF(SUM($AS$32:BC32)+IF(BC32="0","0",BC32)&gt;$AQ32,0,BC32)</f>
        <v>6851.77</v>
      </c>
      <c r="BE32" s="237">
        <f>IF(SUM($AS$32:BD32)+IF(BD32="0","0",BD32)&gt;$AQ32,0,BD32)</f>
        <v>6851.77</v>
      </c>
      <c r="BF32" s="238">
        <f>IF(SUM($AS$32:BE32)+IF(BE32="0","0",BE32)&gt;$AQ32,0,BE32)</f>
        <v>6851.77</v>
      </c>
      <c r="BG32" s="238">
        <f>IF(SUM($AS$32:BF32)+IF(BF32="0","0",BF32)&gt;$AQ32,0,BF32)</f>
        <v>6851.77</v>
      </c>
      <c r="BH32" s="238">
        <f>IF(SUM($AS$32:BG32)+IF(BG32="0","0",BG32)&gt;$AQ32,0,BG32)</f>
        <v>6851.77</v>
      </c>
      <c r="BI32" s="238">
        <f>IF(SUM($AS$32:BH32)+IF(BH32="0","0",BH32)&gt;$AQ32,0,BH32)</f>
        <v>6851.77</v>
      </c>
      <c r="BJ32" s="238">
        <f>IF(SUM($AS$32:BI32)+IF(BI32="0","0",BI32)&gt;$AQ32,0,BI32)</f>
        <v>6851.77</v>
      </c>
      <c r="BK32" s="238">
        <f>IF(SUM($AS$32:BJ32)+IF(BJ32="0","0",BJ32)&gt;$AQ32,0,BJ32)</f>
        <v>6851.77</v>
      </c>
      <c r="BL32" s="238">
        <f>IF(SUM($AS$32:BK32)+IF(BK32="0","0",BK32)&gt;$AQ32,0,BK32)</f>
        <v>6851.77</v>
      </c>
      <c r="BM32" s="238">
        <f>IF(SUM($AS$32:BL32)+IF(BL32="0","0",BL32)&gt;$AQ32,0,BL32)</f>
        <v>6851.77</v>
      </c>
      <c r="BN32" s="238">
        <f>IF(SUM($AS$32:BM32)+IF(BM32="0","0",BM32)&gt;$AQ32,0,BM32)</f>
        <v>6851.77</v>
      </c>
      <c r="BO32" s="238">
        <f>IF(SUM($AS$32:BN32)+IF(BN32="0","0",BN32)&gt;$AQ32,0,BN32)</f>
        <v>6851.77</v>
      </c>
      <c r="BP32" s="239">
        <f>IF(SUM($AS$32:BO32)+IF(BO32="0","0",BO32)&gt;$AQ32,0,BO32)</f>
        <v>6851.77</v>
      </c>
      <c r="BQ32" s="237">
        <f>IF(SUM($AS$32:BP32)+IF(BP32="0","0",BP32)&gt;$AQ32,0,BP32)</f>
        <v>6851.77</v>
      </c>
      <c r="BR32" s="238">
        <f>IF(SUM($AS$32:BQ32)+IF(BQ32="0","0",BQ32)&gt;$AQ32,0,BQ32)</f>
        <v>6851.77</v>
      </c>
      <c r="BS32" s="238">
        <f>IF(SUM($AS$32:BR32)+IF(BR32="0","0",BR32)&gt;$AQ32,0,BR32)</f>
        <v>6851.77</v>
      </c>
      <c r="BT32" s="238">
        <f>IF(SUM($AS$32:BS32)+IF(BS32="0","0",BS32)&gt;$AQ32,0,BS32)</f>
        <v>6851.77</v>
      </c>
      <c r="BU32" s="238">
        <f>IF(SUM($AS$32:BT32)+IF(BT32="0","0",BT32)&gt;$AQ32,0,BT32)</f>
        <v>6851.77</v>
      </c>
      <c r="BV32" s="238">
        <f>IF(SUM($AS$32:BU32)+IF(BU32="0","0",BU32)&gt;$AQ32,0,BU32)</f>
        <v>6851.77</v>
      </c>
      <c r="BW32" s="238">
        <f>IF(SUM($AS$32:BV32)+IF(BV32="0","0",BV32)&gt;$AQ32,0,BV32)</f>
        <v>6851.77</v>
      </c>
      <c r="BX32" s="238">
        <f>IF(SUM($AS$32:BW32)+IF(BW32="0","0",BW32)&gt;$AQ32,0,BW32)</f>
        <v>6851.77</v>
      </c>
      <c r="BY32" s="238">
        <f>IF(SUM($AS$32:BX32)+IF(BX32="0","0",BX32)&gt;$AQ32,0,BX32)</f>
        <v>6851.77</v>
      </c>
      <c r="BZ32" s="238">
        <f>IF(SUM($AS$32:BY32)+IF(BY32="0","0",BY32)&gt;$AQ32,0,BY32)</f>
        <v>6851.77</v>
      </c>
      <c r="CA32" s="238">
        <f>IF(SUM($AS$32:BZ32)+IF(BZ32="0","0",BZ32)&gt;$AQ32,0,BZ32)</f>
        <v>6851.77</v>
      </c>
      <c r="CB32" s="239">
        <f>IF(SUM($AS$32:CA32)+IF(CA32="0","0",CA32)&gt;$AQ32,0,CA32)</f>
        <v>6851.77</v>
      </c>
      <c r="CC32" s="237">
        <f>IF(SUM($AS$32:CB32)+IF(CB32="0","0",CB32)&gt;$AQ32,0,CB32)</f>
        <v>6851.77</v>
      </c>
      <c r="CD32" s="238">
        <f>IF(SUM($AS$32:CC32)+IF(CC32="0","0",CC32)&gt;$AQ32,0,CC32)</f>
        <v>6851.77</v>
      </c>
      <c r="CE32" s="238">
        <f>IF(SUM($AS$32:CD32)+IF(CD32="0","0",CD32)&gt;$AQ32,0,CD32)</f>
        <v>6851.77</v>
      </c>
      <c r="CF32" s="238">
        <f>IF(SUM($AS$32:CE32)+IF(CE32="0","0",CE32)&gt;$AQ32,0,CE32)</f>
        <v>6851.77</v>
      </c>
      <c r="CG32" s="145">
        <f>IF(SUM($AS$32:CF32)+IF(CF32="0","0",CF32)&gt;$AQ32,0,CF32)</f>
        <v>0</v>
      </c>
      <c r="CH32" s="145">
        <f>IF(SUM($AS$32:CG32)+IF(CG32="0","0",CG32)&gt;$AQ32,0,CG32)</f>
        <v>0</v>
      </c>
      <c r="CI32" s="145">
        <f>IF(SUM($AS$32:CH32)+IF(CH32="0","0",CH32)&gt;$AQ32,0,CH32)</f>
        <v>0</v>
      </c>
      <c r="CJ32" s="145">
        <f>IF(SUM($AS$32:CI32)+IF(CI32="0","0",CI32)&gt;$AQ32,0,CI32)</f>
        <v>0</v>
      </c>
      <c r="CK32" s="145">
        <f>IF(SUM($AS$32:CJ32)+IF(CJ32="0","0",CJ32)&gt;$AQ32,0,CJ32)</f>
        <v>0</v>
      </c>
      <c r="CL32" s="145">
        <f>IF(SUM($AS$32:CK32)+IF(CK32="0","0",CK32)&gt;$AQ32,0,CK32)</f>
        <v>0</v>
      </c>
      <c r="CM32" s="145">
        <f>IF(SUM($AS$32:CL32)+IF(CL32="0","0",CL32)&gt;$AQ32,0,CL32)</f>
        <v>0</v>
      </c>
      <c r="CN32" s="224">
        <f>IF(SUM($AS$32:CM32)+IF(CM32="0","0",CM32)&gt;$AQ32,0,CM32)</f>
        <v>0</v>
      </c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</row>
    <row r="33" spans="1:158" s="70" customFormat="1">
      <c r="A33" s="225">
        <v>28</v>
      </c>
      <c r="B33" s="226" t="s">
        <v>153</v>
      </c>
      <c r="C33" s="226" t="s">
        <v>155</v>
      </c>
      <c r="D33" s="226"/>
      <c r="E33" s="240">
        <v>45350</v>
      </c>
      <c r="F33" s="228"/>
      <c r="G33" s="229">
        <v>342857.14</v>
      </c>
      <c r="H33" s="229">
        <f t="shared" si="2"/>
        <v>102857.14200000001</v>
      </c>
      <c r="I33" s="229">
        <f t="shared" si="8"/>
        <v>239999.99799999999</v>
      </c>
      <c r="J33" s="229"/>
      <c r="K33" s="229">
        <v>342857.14</v>
      </c>
      <c r="L33" s="229"/>
      <c r="M33" s="229">
        <f>J33+K33-L33</f>
        <v>342857.14</v>
      </c>
      <c r="N33" s="229">
        <f>G33*20%</f>
        <v>68571.428</v>
      </c>
      <c r="O33" s="229">
        <f t="shared" si="12"/>
        <v>5714.29</v>
      </c>
      <c r="P33" s="229">
        <v>0</v>
      </c>
      <c r="Q33" s="229">
        <v>7874.7509826484029</v>
      </c>
      <c r="R33" s="229">
        <v>226410.95701735161</v>
      </c>
      <c r="S33" s="229">
        <v>6581.713866783477</v>
      </c>
      <c r="T33" s="229">
        <v>0</v>
      </c>
      <c r="U33" s="229">
        <v>0</v>
      </c>
      <c r="V33" s="229">
        <f>ROUND($O$33,2)</f>
        <v>5714.29</v>
      </c>
      <c r="W33" s="229">
        <f>ROUND($O$33,2)</f>
        <v>5714.29</v>
      </c>
      <c r="X33" s="229">
        <v>6581.713866783477</v>
      </c>
      <c r="Y33" s="229">
        <v>270.05762283105037</v>
      </c>
      <c r="Z33" s="231">
        <f t="shared" si="17"/>
        <v>6581.713866783477</v>
      </c>
      <c r="AA33" s="229">
        <f t="shared" si="14"/>
        <v>270.05762283105037</v>
      </c>
      <c r="AB33" s="232">
        <f t="shared" si="18"/>
        <v>6581.713866783477</v>
      </c>
      <c r="AC33" s="234">
        <f t="shared" si="18"/>
        <v>270.05762283105037</v>
      </c>
      <c r="AD33" s="232">
        <f t="shared" si="19"/>
        <v>6581.713866783477</v>
      </c>
      <c r="AE33" s="234">
        <f t="shared" si="19"/>
        <v>270.05762283105037</v>
      </c>
      <c r="AF33" s="232">
        <f t="shared" si="19"/>
        <v>6581.713866783477</v>
      </c>
      <c r="AG33" s="234">
        <v>270.06</v>
      </c>
      <c r="AH33" s="234">
        <v>6581.713866783477</v>
      </c>
      <c r="AI33" s="233">
        <v>270.06</v>
      </c>
      <c r="AJ33" s="229">
        <v>6581.71</v>
      </c>
      <c r="AK33" s="229">
        <v>270.06</v>
      </c>
      <c r="AL33" s="229">
        <v>6581.71</v>
      </c>
      <c r="AM33" s="229">
        <v>270.06</v>
      </c>
      <c r="AN33" s="235">
        <f t="shared" si="10"/>
        <v>66242.753692025057</v>
      </c>
      <c r="AO33" s="235"/>
      <c r="AP33" s="206">
        <f>P33+AN33-AO33</f>
        <v>66242.753692025057</v>
      </c>
      <c r="AQ33" s="206">
        <f t="shared" si="1"/>
        <v>276614.38630797493</v>
      </c>
      <c r="AR33" s="236"/>
      <c r="AS33" s="237">
        <f t="shared" si="7"/>
        <v>6851.77</v>
      </c>
      <c r="AT33" s="238">
        <f t="shared" si="13"/>
        <v>6851.77</v>
      </c>
      <c r="AU33" s="238">
        <f>IF(SUM($AS$33:AT33)+IF(AT33="0","0",AT33)&gt;$AQ33,0,AT33)</f>
        <v>6851.77</v>
      </c>
      <c r="AV33" s="238">
        <f>IF(SUM($AS$33:AU33)+IF(AU33="0","0",AU33)&gt;$AQ33,0,AU33)</f>
        <v>6851.77</v>
      </c>
      <c r="AW33" s="238">
        <f>IF(SUM($AS$33:AV33)+IF(AV33="0","0",AV33)&gt;$AQ33,0,AV33)</f>
        <v>6851.77</v>
      </c>
      <c r="AX33" s="238">
        <f>IF(SUM($AS$33:AW33)+IF(AW33="0","0",AW33)&gt;$AQ33,0,AW33)</f>
        <v>6851.77</v>
      </c>
      <c r="AY33" s="238">
        <f>IF(SUM($AS$33:AX33)+IF(AX33="0","0",AX33)&gt;$AQ33,0,AX33)</f>
        <v>6851.77</v>
      </c>
      <c r="AZ33" s="238">
        <f>IF(SUM($AS$33:AY33)+IF(AY33="0","0",AY33)&gt;$AQ33,0,AY33)</f>
        <v>6851.77</v>
      </c>
      <c r="BA33" s="238">
        <f>IF(SUM($AS$33:AZ33)+IF(AZ33="0","0",AZ33)&gt;$AQ33,0,AZ33)</f>
        <v>6851.77</v>
      </c>
      <c r="BB33" s="238">
        <f>IF(SUM($AS$33:BA33)+IF(BA33="0","0",BA33)&gt;$AQ33,0,BA33)</f>
        <v>6851.77</v>
      </c>
      <c r="BC33" s="238">
        <f>IF(SUM($AS$33:BB33)+IF(BB33="0","0",BB33)&gt;$AQ33,0,BB33)</f>
        <v>6851.77</v>
      </c>
      <c r="BD33" s="239">
        <f>IF(SUM($AS$33:BC33)+IF(BC33="0","0",BC33)&gt;$AQ33,0,BC33)</f>
        <v>6851.77</v>
      </c>
      <c r="BE33" s="237">
        <f>IF(SUM($AS$33:BD33)+IF(BD33="0","0",BD33)&gt;$AQ33,0,BD33)</f>
        <v>6851.77</v>
      </c>
      <c r="BF33" s="238">
        <f>IF(SUM($AS$33:BE33)+IF(BE33="0","0",BE33)&gt;$AQ33,0,BE33)</f>
        <v>6851.77</v>
      </c>
      <c r="BG33" s="238">
        <f>IF(SUM($AS$33:BF33)+IF(BF33="0","0",BF33)&gt;$AQ33,0,BF33)</f>
        <v>6851.77</v>
      </c>
      <c r="BH33" s="238">
        <f>IF(SUM($AS$33:BG33)+IF(BG33="0","0",BG33)&gt;$AQ33,0,BG33)</f>
        <v>6851.77</v>
      </c>
      <c r="BI33" s="238">
        <f>IF(SUM($AS$33:BH33)+IF(BH33="0","0",BH33)&gt;$AQ33,0,BH33)</f>
        <v>6851.77</v>
      </c>
      <c r="BJ33" s="238">
        <f>IF(SUM($AS$33:BI33)+IF(BI33="0","0",BI33)&gt;$AQ33,0,BI33)</f>
        <v>6851.77</v>
      </c>
      <c r="BK33" s="238">
        <f>IF(SUM($AS$33:BJ33)+IF(BJ33="0","0",BJ33)&gt;$AQ33,0,BJ33)</f>
        <v>6851.77</v>
      </c>
      <c r="BL33" s="238">
        <f>IF(SUM($AS$33:BK33)+IF(BK33="0","0",BK33)&gt;$AQ33,0,BK33)</f>
        <v>6851.77</v>
      </c>
      <c r="BM33" s="238">
        <f>IF(SUM($AS$33:BL33)+IF(BL33="0","0",BL33)&gt;$AQ33,0,BL33)</f>
        <v>6851.77</v>
      </c>
      <c r="BN33" s="238">
        <f>IF(SUM($AS$33:BM33)+IF(BM33="0","0",BM33)&gt;$AQ33,0,BM33)</f>
        <v>6851.77</v>
      </c>
      <c r="BO33" s="238">
        <f>IF(SUM($AS$33:BN33)+IF(BN33="0","0",BN33)&gt;$AQ33,0,BN33)</f>
        <v>6851.77</v>
      </c>
      <c r="BP33" s="239">
        <f>IF(SUM($AS$33:BO33)+IF(BO33="0","0",BO33)&gt;$AQ33,0,BO33)</f>
        <v>6851.77</v>
      </c>
      <c r="BQ33" s="237">
        <f>IF(SUM($AS$33:BP33)+IF(BP33="0","0",BP33)&gt;$AQ33,0,BP33)</f>
        <v>6851.77</v>
      </c>
      <c r="BR33" s="238">
        <f>IF(SUM($AS$33:BQ33)+IF(BQ33="0","0",BQ33)&gt;$AQ33,0,BQ33)</f>
        <v>6851.77</v>
      </c>
      <c r="BS33" s="238">
        <f>IF(SUM($AS$33:BR33)+IF(BR33="0","0",BR33)&gt;$AQ33,0,BR33)</f>
        <v>6851.77</v>
      </c>
      <c r="BT33" s="238">
        <f>IF(SUM($AS$33:BS33)+IF(BS33="0","0",BS33)&gt;$AQ33,0,BS33)</f>
        <v>6851.77</v>
      </c>
      <c r="BU33" s="238">
        <f>IF(SUM($AS$33:BT33)+IF(BT33="0","0",BT33)&gt;$AQ33,0,BT33)</f>
        <v>6851.77</v>
      </c>
      <c r="BV33" s="238">
        <f>IF(SUM($AS$33:BU33)+IF(BU33="0","0",BU33)&gt;$AQ33,0,BU33)</f>
        <v>6851.77</v>
      </c>
      <c r="BW33" s="238">
        <f>IF(SUM($AS$33:BV33)+IF(BV33="0","0",BV33)&gt;$AQ33,0,BV33)</f>
        <v>6851.77</v>
      </c>
      <c r="BX33" s="238">
        <f>IF(SUM($AS$33:BW33)+IF(BW33="0","0",BW33)&gt;$AQ33,0,BW33)</f>
        <v>6851.77</v>
      </c>
      <c r="BY33" s="238">
        <f>IF(SUM($AS$33:BX33)+IF(BX33="0","0",BX33)&gt;$AQ33,0,BX33)</f>
        <v>6851.77</v>
      </c>
      <c r="BZ33" s="238">
        <f>IF(SUM($AS$33:BY33)+IF(BY33="0","0",BY33)&gt;$AQ33,0,BY33)</f>
        <v>6851.77</v>
      </c>
      <c r="CA33" s="238">
        <f>IF(SUM($AS$33:BZ33)+IF(BZ33="0","0",BZ33)&gt;$AQ33,0,BZ33)</f>
        <v>6851.77</v>
      </c>
      <c r="CB33" s="239">
        <f>IF(SUM($AS$33:CA33)+IF(CA33="0","0",CA33)&gt;$AQ33,0,CA33)</f>
        <v>6851.77</v>
      </c>
      <c r="CC33" s="237">
        <f>IF(SUM($AS$33:CB33)+IF(CB33="0","0",CB33)&gt;$AQ33,0,CB33)</f>
        <v>6851.77</v>
      </c>
      <c r="CD33" s="238">
        <f>IF(SUM($AS$33:CC33)+IF(CC33="0","0",CC33)&gt;$AQ33,0,CC33)</f>
        <v>6851.77</v>
      </c>
      <c r="CE33" s="238">
        <f>IF(SUM($AS$33:CD33)+IF(CD33="0","0",CD33)&gt;$AQ33,0,CD33)</f>
        <v>6851.77</v>
      </c>
      <c r="CF33" s="238">
        <f>IF(SUM($AS$33:CE33)+IF(CE33="0","0",CE33)&gt;$AQ33,0,CE33)</f>
        <v>6851.77</v>
      </c>
      <c r="CG33" s="145">
        <f>IF(SUM($AS$33:CF33)+IF(CF33="0","0",CF33)&gt;$AQ33,0,CF33)</f>
        <v>0</v>
      </c>
      <c r="CH33" s="145">
        <f>IF(SUM($AS$33:CG33)+IF(CG33="0","0",CG33)&gt;$AQ33,0,CG33)</f>
        <v>0</v>
      </c>
      <c r="CI33" s="145">
        <f>IF(SUM($AS$33:CH33)+IF(CH33="0","0",CH33)&gt;$AQ33,0,CH33)</f>
        <v>0</v>
      </c>
      <c r="CJ33" s="145">
        <f>IF(SUM($AS$33:CI33)+IF(CI33="0","0",CI33)&gt;$AQ33,0,CI33)</f>
        <v>0</v>
      </c>
      <c r="CK33" s="145">
        <f>IF(SUM($AS$33:CJ33)+IF(CJ33="0","0",CJ33)&gt;$AQ33,0,CJ33)</f>
        <v>0</v>
      </c>
      <c r="CL33" s="145">
        <f>IF(SUM($AS$33:CK33)+IF(CK33="0","0",CK33)&gt;$AQ33,0,CK33)</f>
        <v>0</v>
      </c>
      <c r="CM33" s="145">
        <f>IF(SUM($AS$33:CL33)+IF(CL33="0","0",CL33)&gt;$AQ33,0,CL33)</f>
        <v>0</v>
      </c>
      <c r="CN33" s="224">
        <f>IF(SUM($AS$33:CM33)+IF(CM33="0","0",CM33)&gt;$AQ33,0,CM33)</f>
        <v>0</v>
      </c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</row>
    <row r="34" spans="1:158" s="70" customFormat="1">
      <c r="A34" s="225">
        <v>29</v>
      </c>
      <c r="B34" s="226" t="s">
        <v>156</v>
      </c>
      <c r="C34" s="226" t="s">
        <v>157</v>
      </c>
      <c r="D34" s="226"/>
      <c r="E34" s="240">
        <v>45356</v>
      </c>
      <c r="F34" s="228"/>
      <c r="G34" s="229">
        <v>448571.43</v>
      </c>
      <c r="H34" s="229">
        <f t="shared" si="2"/>
        <v>134571.429</v>
      </c>
      <c r="I34" s="229">
        <f>G34*70%</f>
        <v>314000.00099999999</v>
      </c>
      <c r="J34" s="229"/>
      <c r="K34" s="229">
        <v>448571</v>
      </c>
      <c r="L34" s="229"/>
      <c r="M34" s="229">
        <f>J34+K34-L34</f>
        <v>448571</v>
      </c>
      <c r="N34" s="229">
        <f>G34*20%</f>
        <v>89714.286000000007</v>
      </c>
      <c r="O34" s="229">
        <f>ROUND(N34/12,2)</f>
        <v>7476.19</v>
      </c>
      <c r="P34" s="229">
        <v>0</v>
      </c>
      <c r="Q34" s="229">
        <v>10029.25753972603</v>
      </c>
      <c r="R34" s="229">
        <v>297941.55346027395</v>
      </c>
      <c r="S34" s="229">
        <v>8611.0275566553155</v>
      </c>
      <c r="T34" s="229">
        <v>0</v>
      </c>
      <c r="U34" s="229"/>
      <c r="V34" s="229">
        <f>ROUND($O$34*25/31,2)</f>
        <v>6029.19</v>
      </c>
      <c r="W34" s="229">
        <f>ROUND($O$34,2)</f>
        <v>7476.19</v>
      </c>
      <c r="X34" s="229">
        <v>8611.0275566553155</v>
      </c>
      <c r="Y34" s="229">
        <v>319.13344246575366</v>
      </c>
      <c r="Z34" s="231">
        <f t="shared" si="17"/>
        <v>8611.0275566553155</v>
      </c>
      <c r="AA34" s="229">
        <f t="shared" si="14"/>
        <v>319.13344246575366</v>
      </c>
      <c r="AB34" s="232">
        <f t="shared" si="18"/>
        <v>8611.0275566553155</v>
      </c>
      <c r="AC34" s="234">
        <f t="shared" si="18"/>
        <v>319.13344246575366</v>
      </c>
      <c r="AD34" s="232">
        <f t="shared" si="19"/>
        <v>8611.0275566553155</v>
      </c>
      <c r="AE34" s="234">
        <f t="shared" si="19"/>
        <v>319.13344246575366</v>
      </c>
      <c r="AF34" s="232">
        <f t="shared" si="19"/>
        <v>8611.0275566553155</v>
      </c>
      <c r="AG34" s="234">
        <v>319.13</v>
      </c>
      <c r="AH34" s="234">
        <v>8611.0275566553155</v>
      </c>
      <c r="AI34" s="233">
        <v>319.13</v>
      </c>
      <c r="AJ34" s="229">
        <v>8611.0300000000007</v>
      </c>
      <c r="AK34" s="229">
        <v>319.13</v>
      </c>
      <c r="AL34" s="229">
        <v>8611.0300000000007</v>
      </c>
      <c r="AM34" s="229">
        <v>319.13</v>
      </c>
      <c r="AN34" s="235">
        <f t="shared" si="10"/>
        <v>84946.659109794928</v>
      </c>
      <c r="AO34" s="235"/>
      <c r="AP34" s="206">
        <f t="shared" si="6"/>
        <v>84946.659109794928</v>
      </c>
      <c r="AQ34" s="206">
        <f t="shared" si="1"/>
        <v>363624.34089020506</v>
      </c>
      <c r="AR34" s="236"/>
      <c r="AS34" s="237">
        <f t="shared" si="7"/>
        <v>8930.16</v>
      </c>
      <c r="AT34" s="238">
        <f t="shared" si="13"/>
        <v>8930.16</v>
      </c>
      <c r="AU34" s="238">
        <f>IF(SUM($AS$34:AT34)+IF(AT34="0","0",AT34)&gt;$AQ34,0,AT34)</f>
        <v>8930.16</v>
      </c>
      <c r="AV34" s="238">
        <f>IF(SUM($AS$34:AU34)+IF(AU34="0","0",AU34)&gt;$AQ34,0,AU34)</f>
        <v>8930.16</v>
      </c>
      <c r="AW34" s="238">
        <f>IF(SUM($AS$34:AV34)+IF(AV34="0","0",AV34)&gt;$AQ34,0,AV34)</f>
        <v>8930.16</v>
      </c>
      <c r="AX34" s="238">
        <f>IF(SUM($AS$34:AW34)+IF(AW34="0","0",AW34)&gt;$AQ34,0,AW34)</f>
        <v>8930.16</v>
      </c>
      <c r="AY34" s="238">
        <f>IF(SUM($AS$34:AX34)+IF(AX34="0","0",AX34)&gt;$AQ34,0,AX34)</f>
        <v>8930.16</v>
      </c>
      <c r="AZ34" s="238">
        <f>IF(SUM($AS$34:AY34)+IF(AY34="0","0",AY34)&gt;$AQ34,0,AY34)</f>
        <v>8930.16</v>
      </c>
      <c r="BA34" s="238">
        <f>IF(SUM($AS$34:AZ34)+IF(AZ34="0","0",AZ34)&gt;$AQ34,0,AZ34)</f>
        <v>8930.16</v>
      </c>
      <c r="BB34" s="238">
        <f>IF(SUM($AS$34:BA34)+IF(BA34="0","0",BA34)&gt;$AQ34,0,BA34)</f>
        <v>8930.16</v>
      </c>
      <c r="BC34" s="238">
        <f>IF(SUM($AS$34:BB34)+IF(BB34="0","0",BB34)&gt;$AQ34,0,BB34)</f>
        <v>8930.16</v>
      </c>
      <c r="BD34" s="239">
        <f>IF(SUM($AS$34:BC34)+IF(BC34="0","0",BC34)&gt;$AQ34,0,BC34)</f>
        <v>8930.16</v>
      </c>
      <c r="BE34" s="237">
        <f>IF(SUM($AS$34:BD34)+IF(BD34="0","0",BD34)&gt;$AQ34,0,BD34)</f>
        <v>8930.16</v>
      </c>
      <c r="BF34" s="238">
        <f>IF(SUM($AS$34:BE34)+IF(BE34="0","0",BE34)&gt;$AQ34,0,BE34)</f>
        <v>8930.16</v>
      </c>
      <c r="BG34" s="238">
        <f>IF(SUM($AS$34:BF34)+IF(BF34="0","0",BF34)&gt;$AQ34,0,BF34)</f>
        <v>8930.16</v>
      </c>
      <c r="BH34" s="238">
        <f>IF(SUM($AS$34:BG34)+IF(BG34="0","0",BG34)&gt;$AQ34,0,BG34)</f>
        <v>8930.16</v>
      </c>
      <c r="BI34" s="238">
        <f>IF(SUM($AS$34:BH34)+IF(BH34="0","0",BH34)&gt;$AQ34,0,BH34)</f>
        <v>8930.16</v>
      </c>
      <c r="BJ34" s="238">
        <f>IF(SUM($AS$34:BI34)+IF(BI34="0","0",BI34)&gt;$AQ34,0,BI34)</f>
        <v>8930.16</v>
      </c>
      <c r="BK34" s="238">
        <f>IF(SUM($AS$34:BJ34)+IF(BJ34="0","0",BJ34)&gt;$AQ34,0,BJ34)</f>
        <v>8930.16</v>
      </c>
      <c r="BL34" s="238">
        <f>IF(SUM($AS$34:BK34)+IF(BK34="0","0",BK34)&gt;$AQ34,0,BK34)</f>
        <v>8930.16</v>
      </c>
      <c r="BM34" s="238">
        <f>IF(SUM($AS$34:BL34)+IF(BL34="0","0",BL34)&gt;$AQ34,0,BL34)</f>
        <v>8930.16</v>
      </c>
      <c r="BN34" s="238">
        <f>IF(SUM($AS$34:BM34)+IF(BM34="0","0",BM34)&gt;$AQ34,0,BM34)</f>
        <v>8930.16</v>
      </c>
      <c r="BO34" s="238">
        <f>IF(SUM($AS$34:BN34)+IF(BN34="0","0",BN34)&gt;$AQ34,0,BN34)</f>
        <v>8930.16</v>
      </c>
      <c r="BP34" s="239">
        <f>IF(SUM($AS$34:BO34)+IF(BO34="0","0",BO34)&gt;$AQ34,0,BO34)</f>
        <v>8930.16</v>
      </c>
      <c r="BQ34" s="237">
        <f>IF(SUM($AS$34:BP34)+IF(BP34="0","0",BP34)&gt;$AQ34,0,BP34)</f>
        <v>8930.16</v>
      </c>
      <c r="BR34" s="238">
        <f>IF(SUM($AS$34:BQ34)+IF(BQ34="0","0",BQ34)&gt;$AQ34,0,BQ34)</f>
        <v>8930.16</v>
      </c>
      <c r="BS34" s="238">
        <f>IF(SUM($AS$34:BR34)+IF(BR34="0","0",BR34)&gt;$AQ34,0,BR34)</f>
        <v>8930.16</v>
      </c>
      <c r="BT34" s="238">
        <f>IF(SUM($AS$34:BS34)+IF(BS34="0","0",BS34)&gt;$AQ34,0,BS34)</f>
        <v>8930.16</v>
      </c>
      <c r="BU34" s="238">
        <f>IF(SUM($AS$34:BT34)+IF(BT34="0","0",BT34)&gt;$AQ34,0,BT34)</f>
        <v>8930.16</v>
      </c>
      <c r="BV34" s="238">
        <f>IF(SUM($AS$34:BU34)+IF(BU34="0","0",BU34)&gt;$AQ34,0,BU34)</f>
        <v>8930.16</v>
      </c>
      <c r="BW34" s="238">
        <f>IF(SUM($AS$34:BV34)+IF(BV34="0","0",BV34)&gt;$AQ34,0,BV34)</f>
        <v>8930.16</v>
      </c>
      <c r="BX34" s="238">
        <f>IF(SUM($AS$34:BW34)+IF(BW34="0","0",BW34)&gt;$AQ34,0,BW34)</f>
        <v>8930.16</v>
      </c>
      <c r="BY34" s="238">
        <f>IF(SUM($AS$34:BX34)+IF(BX34="0","0",BX34)&gt;$AQ34,0,BX34)</f>
        <v>8930.16</v>
      </c>
      <c r="BZ34" s="238">
        <f>IF(SUM($AS$34:BY34)+IF(BY34="0","0",BY34)&gt;$AQ34,0,BY34)</f>
        <v>8930.16</v>
      </c>
      <c r="CA34" s="238">
        <f>IF(SUM($AS$34:BZ34)+IF(BZ34="0","0",BZ34)&gt;$AQ34,0,BZ34)</f>
        <v>8930.16</v>
      </c>
      <c r="CB34" s="239">
        <f>IF(SUM($AS$34:CA34)+IF(CA34="0","0",CA34)&gt;$AQ34,0,CA34)</f>
        <v>8930.16</v>
      </c>
      <c r="CC34" s="237">
        <f>IF(SUM($AS$34:CB34)+IF(CB34="0","0",CB34)&gt;$AQ34,0,CB34)</f>
        <v>8930.16</v>
      </c>
      <c r="CD34" s="238">
        <f>IF(SUM($AS$34:CC34)+IF(CC34="0","0",CC34)&gt;$AQ34,0,CC34)</f>
        <v>8930.16</v>
      </c>
      <c r="CE34" s="238">
        <f>IF(SUM($AS$34:CD34)+IF(CD34="0","0",CD34)&gt;$AQ34,0,CD34)</f>
        <v>8930.16</v>
      </c>
      <c r="CF34" s="238">
        <f>IF(SUM($AS$34:CE34)+IF(CE34="0","0",CE34)&gt;$AQ34,0,CE34)</f>
        <v>8930.16</v>
      </c>
      <c r="CG34" s="145">
        <f>IF(SUM($AS$34:CF34)+IF(CF34="0","0",CF34)&gt;$AQ34,0,CF34)</f>
        <v>0</v>
      </c>
      <c r="CH34" s="145">
        <f>IF(SUM($AS$34:CG34)+IF(CG34="0","0",CG34)&gt;$AQ34,0,CG34)</f>
        <v>0</v>
      </c>
      <c r="CI34" s="145">
        <f>IF(SUM($AS$34:CH34)+IF(CH34="0","0",CH34)&gt;$AQ34,0,CH34)</f>
        <v>0</v>
      </c>
      <c r="CJ34" s="145">
        <f>IF(SUM($AS$34:CI34)+IF(CI34="0","0",CI34)&gt;$AQ34,0,CI34)</f>
        <v>0</v>
      </c>
      <c r="CK34" s="145">
        <f>IF(SUM($AS$34:CJ34)+IF(CJ34="0","0",CJ34)&gt;$AQ34,0,CJ34)</f>
        <v>0</v>
      </c>
      <c r="CL34" s="145">
        <f>IF(SUM($AS$34:CK34)+IF(CK34="0","0",CK34)&gt;$AQ34,0,CK34)</f>
        <v>0</v>
      </c>
      <c r="CM34" s="145">
        <f>IF(SUM($AS$34:CL34)+IF(CL34="0","0",CL34)&gt;$AQ34,0,CL34)</f>
        <v>0</v>
      </c>
      <c r="CN34" s="224">
        <f>IF(SUM($AS$34:CM34)+IF(CM34="0","0",CM34)&gt;$AQ34,0,CM34)</f>
        <v>0</v>
      </c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</row>
    <row r="35" spans="1:158" s="70" customFormat="1">
      <c r="A35" s="225">
        <v>30</v>
      </c>
      <c r="B35" s="226" t="s">
        <v>156</v>
      </c>
      <c r="C35" s="226" t="s">
        <v>158</v>
      </c>
      <c r="D35" s="226"/>
      <c r="E35" s="240">
        <v>45356</v>
      </c>
      <c r="F35" s="228"/>
      <c r="G35" s="229">
        <v>448571.43</v>
      </c>
      <c r="H35" s="229">
        <f t="shared" si="2"/>
        <v>134571.429</v>
      </c>
      <c r="I35" s="229">
        <f>G35*70%</f>
        <v>314000.00099999999</v>
      </c>
      <c r="J35" s="229"/>
      <c r="K35" s="229">
        <v>448571</v>
      </c>
      <c r="L35" s="229"/>
      <c r="M35" s="229">
        <f t="shared" ref="M35:M36" si="20">J35+K35-L35</f>
        <v>448571</v>
      </c>
      <c r="N35" s="229">
        <f>G35*20%</f>
        <v>89714.286000000007</v>
      </c>
      <c r="O35" s="229">
        <f t="shared" si="12"/>
        <v>7476.19</v>
      </c>
      <c r="P35" s="229">
        <v>0</v>
      </c>
      <c r="Q35" s="229">
        <v>10029.25753972603</v>
      </c>
      <c r="R35" s="229">
        <v>297941.55346027395</v>
      </c>
      <c r="S35" s="229">
        <v>8611.0275566553155</v>
      </c>
      <c r="T35" s="229">
        <v>0</v>
      </c>
      <c r="U35" s="229"/>
      <c r="V35" s="229">
        <f>ROUND($O$35*25/31,2)</f>
        <v>6029.19</v>
      </c>
      <c r="W35" s="229">
        <f>ROUND($O$35,2)</f>
        <v>7476.19</v>
      </c>
      <c r="X35" s="229">
        <v>8611.0275566553155</v>
      </c>
      <c r="Y35" s="229">
        <v>319.13344246575366</v>
      </c>
      <c r="Z35" s="231">
        <f t="shared" si="17"/>
        <v>8611.0275566553155</v>
      </c>
      <c r="AA35" s="229">
        <f t="shared" si="14"/>
        <v>319.13344246575366</v>
      </c>
      <c r="AB35" s="232">
        <f t="shared" si="18"/>
        <v>8611.0275566553155</v>
      </c>
      <c r="AC35" s="234">
        <f t="shared" si="18"/>
        <v>319.13344246575366</v>
      </c>
      <c r="AD35" s="232">
        <f t="shared" si="19"/>
        <v>8611.0275566553155</v>
      </c>
      <c r="AE35" s="234">
        <f t="shared" si="19"/>
        <v>319.13344246575366</v>
      </c>
      <c r="AF35" s="232">
        <f t="shared" si="19"/>
        <v>8611.0275566553155</v>
      </c>
      <c r="AG35" s="234">
        <v>319.13</v>
      </c>
      <c r="AH35" s="234">
        <v>8611.0275566553155</v>
      </c>
      <c r="AI35" s="233">
        <v>319.13</v>
      </c>
      <c r="AJ35" s="229">
        <v>8611.0300000000007</v>
      </c>
      <c r="AK35" s="229">
        <v>319.13</v>
      </c>
      <c r="AL35" s="229">
        <v>8611.0300000000007</v>
      </c>
      <c r="AM35" s="229">
        <v>319.13</v>
      </c>
      <c r="AN35" s="235">
        <f t="shared" si="10"/>
        <v>84946.659109794928</v>
      </c>
      <c r="AO35" s="235"/>
      <c r="AP35" s="206">
        <f t="shared" si="6"/>
        <v>84946.659109794928</v>
      </c>
      <c r="AQ35" s="206">
        <f t="shared" si="1"/>
        <v>363624.34089020506</v>
      </c>
      <c r="AR35" s="236"/>
      <c r="AS35" s="237">
        <f t="shared" si="7"/>
        <v>8930.16</v>
      </c>
      <c r="AT35" s="238">
        <f t="shared" si="13"/>
        <v>8930.16</v>
      </c>
      <c r="AU35" s="238">
        <f>IF(SUM($AS$35:AT35)+IF(AT35="0","0",AT35)&gt;$AQ35,0,AT35)</f>
        <v>8930.16</v>
      </c>
      <c r="AV35" s="238">
        <f>IF(SUM($AS$35:AU35)+IF(AU35="0","0",AU35)&gt;$AQ35,0,AU35)</f>
        <v>8930.16</v>
      </c>
      <c r="AW35" s="238">
        <f>IF(SUM($AS$35:AV35)+IF(AV35="0","0",AV35)&gt;$AQ35,0,AV35)</f>
        <v>8930.16</v>
      </c>
      <c r="AX35" s="238">
        <f>IF(SUM($AS$35:AW35)+IF(AW35="0","0",AW35)&gt;$AQ35,0,AW35)</f>
        <v>8930.16</v>
      </c>
      <c r="AY35" s="238">
        <f>IF(SUM($AS$35:AX35)+IF(AX35="0","0",AX35)&gt;$AQ35,0,AX35)</f>
        <v>8930.16</v>
      </c>
      <c r="AZ35" s="238">
        <f>IF(SUM($AS$35:AY35)+IF(AY35="0","0",AY35)&gt;$AQ35,0,AY35)</f>
        <v>8930.16</v>
      </c>
      <c r="BA35" s="238">
        <f>IF(SUM($AS$35:AZ35)+IF(AZ35="0","0",AZ35)&gt;$AQ35,0,AZ35)</f>
        <v>8930.16</v>
      </c>
      <c r="BB35" s="238">
        <f>IF(SUM($AS$35:BA35)+IF(BA35="0","0",BA35)&gt;$AQ35,0,BA35)</f>
        <v>8930.16</v>
      </c>
      <c r="BC35" s="238">
        <f>IF(SUM($AS$35:BB35)+IF(BB35="0","0",BB35)&gt;$AQ35,0,BB35)</f>
        <v>8930.16</v>
      </c>
      <c r="BD35" s="239">
        <f>IF(SUM($AS$35:BC35)+IF(BC35="0","0",BC35)&gt;$AQ35,0,BC35)</f>
        <v>8930.16</v>
      </c>
      <c r="BE35" s="237">
        <f>IF(SUM($AS$35:BD35)+IF(BD35="0","0",BD35)&gt;$AQ35,0,BD35)</f>
        <v>8930.16</v>
      </c>
      <c r="BF35" s="238">
        <f>IF(SUM($AS$35:BE35)+IF(BE35="0","0",BE35)&gt;$AQ35,0,BE35)</f>
        <v>8930.16</v>
      </c>
      <c r="BG35" s="238">
        <f>IF(SUM($AS$35:BF35)+IF(BF35="0","0",BF35)&gt;$AQ35,0,BF35)</f>
        <v>8930.16</v>
      </c>
      <c r="BH35" s="238">
        <f>IF(SUM($AS$35:BG35)+IF(BG35="0","0",BG35)&gt;$AQ35,0,BG35)</f>
        <v>8930.16</v>
      </c>
      <c r="BI35" s="238">
        <f>IF(SUM($AS$35:BH35)+IF(BH35="0","0",BH35)&gt;$AQ35,0,BH35)</f>
        <v>8930.16</v>
      </c>
      <c r="BJ35" s="238">
        <f>IF(SUM($AS$35:BI35)+IF(BI35="0","0",BI35)&gt;$AQ35,0,BI35)</f>
        <v>8930.16</v>
      </c>
      <c r="BK35" s="238">
        <f>IF(SUM($AS$35:BJ35)+IF(BJ35="0","0",BJ35)&gt;$AQ35,0,BJ35)</f>
        <v>8930.16</v>
      </c>
      <c r="BL35" s="238">
        <f>IF(SUM($AS$35:BK35)+IF(BK35="0","0",BK35)&gt;$AQ35,0,BK35)</f>
        <v>8930.16</v>
      </c>
      <c r="BM35" s="238">
        <f>IF(SUM($AS$35:BL35)+IF(BL35="0","0",BL35)&gt;$AQ35,0,BL35)</f>
        <v>8930.16</v>
      </c>
      <c r="BN35" s="238">
        <f>IF(SUM($AS$35:BM35)+IF(BM35="0","0",BM35)&gt;$AQ35,0,BM35)</f>
        <v>8930.16</v>
      </c>
      <c r="BO35" s="238">
        <f>IF(SUM($AS$35:BN35)+IF(BN35="0","0",BN35)&gt;$AQ35,0,BN35)</f>
        <v>8930.16</v>
      </c>
      <c r="BP35" s="239">
        <f>IF(SUM($AS$35:BO35)+IF(BO35="0","0",BO35)&gt;$AQ35,0,BO35)</f>
        <v>8930.16</v>
      </c>
      <c r="BQ35" s="237">
        <f>IF(SUM($AS$35:BP35)+IF(BP35="0","0",BP35)&gt;$AQ35,0,BP35)</f>
        <v>8930.16</v>
      </c>
      <c r="BR35" s="238">
        <f>IF(SUM($AS$35:BQ35)+IF(BQ35="0","0",BQ35)&gt;$AQ35,0,BQ35)</f>
        <v>8930.16</v>
      </c>
      <c r="BS35" s="238">
        <f>IF(SUM($AS$35:BR35)+IF(BR35="0","0",BR35)&gt;$AQ35,0,BR35)</f>
        <v>8930.16</v>
      </c>
      <c r="BT35" s="238">
        <f>IF(SUM($AS$35:BS35)+IF(BS35="0","0",BS35)&gt;$AQ35,0,BS35)</f>
        <v>8930.16</v>
      </c>
      <c r="BU35" s="238">
        <f>IF(SUM($AS$35:BT35)+IF(BT35="0","0",BT35)&gt;$AQ35,0,BT35)</f>
        <v>8930.16</v>
      </c>
      <c r="BV35" s="238">
        <f>IF(SUM($AS$35:BU35)+IF(BU35="0","0",BU35)&gt;$AQ35,0,BU35)</f>
        <v>8930.16</v>
      </c>
      <c r="BW35" s="238">
        <f>IF(SUM($AS$35:BV35)+IF(BV35="0","0",BV35)&gt;$AQ35,0,BV35)</f>
        <v>8930.16</v>
      </c>
      <c r="BX35" s="238">
        <f>IF(SUM($AS$35:BW35)+IF(BW35="0","0",BW35)&gt;$AQ35,0,BW35)</f>
        <v>8930.16</v>
      </c>
      <c r="BY35" s="238">
        <f>IF(SUM($AS$35:BX35)+IF(BX35="0","0",BX35)&gt;$AQ35,0,BX35)</f>
        <v>8930.16</v>
      </c>
      <c r="BZ35" s="238">
        <f>IF(SUM($AS$35:BY35)+IF(BY35="0","0",BY35)&gt;$AQ35,0,BY35)</f>
        <v>8930.16</v>
      </c>
      <c r="CA35" s="238">
        <f>IF(SUM($AS$35:BZ35)+IF(BZ35="0","0",BZ35)&gt;$AQ35,0,BZ35)</f>
        <v>8930.16</v>
      </c>
      <c r="CB35" s="239">
        <f>IF(SUM($AS$35:CA35)+IF(CA35="0","0",CA35)&gt;$AQ35,0,CA35)</f>
        <v>8930.16</v>
      </c>
      <c r="CC35" s="237">
        <f>IF(SUM($AS$35:CB35)+IF(CB35="0","0",CB35)&gt;$AQ35,0,CB35)</f>
        <v>8930.16</v>
      </c>
      <c r="CD35" s="238">
        <f>IF(SUM($AS$35:CC35)+IF(CC35="0","0",CC35)&gt;$AQ35,0,CC35)</f>
        <v>8930.16</v>
      </c>
      <c r="CE35" s="238">
        <f>IF(SUM($AS$35:CD35)+IF(CD35="0","0",CD35)&gt;$AQ35,0,CD35)</f>
        <v>8930.16</v>
      </c>
      <c r="CF35" s="238">
        <f>IF(SUM($AS$35:CE35)+IF(CE35="0","0",CE35)&gt;$AQ35,0,CE35)</f>
        <v>8930.16</v>
      </c>
      <c r="CG35" s="145">
        <f>IF(SUM($AS$35:CF35)+IF(CF35="0","0",CF35)&gt;$AQ35,0,CF35)</f>
        <v>0</v>
      </c>
      <c r="CH35" s="145">
        <f>IF(SUM($AS$35:CG35)+IF(CG35="0","0",CG35)&gt;$AQ35,0,CG35)</f>
        <v>0</v>
      </c>
      <c r="CI35" s="145">
        <f>IF(SUM($AS$35:CH35)+IF(CH35="0","0",CH35)&gt;$AQ35,0,CH35)</f>
        <v>0</v>
      </c>
      <c r="CJ35" s="145">
        <f>IF(SUM($AS$35:CI35)+IF(CI35="0","0",CI35)&gt;$AQ35,0,CI35)</f>
        <v>0</v>
      </c>
      <c r="CK35" s="145">
        <f>IF(SUM($AS$35:CJ35)+IF(CJ35="0","0",CJ35)&gt;$AQ35,0,CJ35)</f>
        <v>0</v>
      </c>
      <c r="CL35" s="145">
        <f>IF(SUM($AS$35:CK35)+IF(CK35="0","0",CK35)&gt;$AQ35,0,CK35)</f>
        <v>0</v>
      </c>
      <c r="CM35" s="145">
        <f>IF(SUM($AS$35:CL35)+IF(CL35="0","0",CL35)&gt;$AQ35,0,CL35)</f>
        <v>0</v>
      </c>
      <c r="CN35" s="224">
        <f>IF(SUM($AS$35:CM35)+IF(CM35="0","0",CM35)&gt;$AQ35,0,CM35)</f>
        <v>0</v>
      </c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</row>
    <row r="36" spans="1:158" s="70" customFormat="1">
      <c r="A36" s="225">
        <v>31</v>
      </c>
      <c r="B36" s="226" t="s">
        <v>159</v>
      </c>
      <c r="C36" s="226" t="s">
        <v>160</v>
      </c>
      <c r="D36" s="226"/>
      <c r="E36" s="240">
        <v>45412</v>
      </c>
      <c r="F36" s="228"/>
      <c r="G36" s="229">
        <v>247619.05</v>
      </c>
      <c r="H36" s="229">
        <f t="shared" si="2"/>
        <v>74285.714999999997</v>
      </c>
      <c r="I36" s="229">
        <f>G36*70%</f>
        <v>173333.33499999999</v>
      </c>
      <c r="J36" s="229"/>
      <c r="K36" s="229">
        <v>247619.05</v>
      </c>
      <c r="L36" s="229"/>
      <c r="M36" s="229">
        <f t="shared" si="20"/>
        <v>247619.05</v>
      </c>
      <c r="N36" s="229">
        <f>G36*20%</f>
        <v>49523.81</v>
      </c>
      <c r="O36" s="229">
        <f>ROUND(N36/12,2)</f>
        <v>4126.9799999999996</v>
      </c>
      <c r="P36" s="229">
        <v>0</v>
      </c>
      <c r="Q36" s="229">
        <v>0</v>
      </c>
      <c r="R36" s="229">
        <v>173333.33499999999</v>
      </c>
      <c r="S36" s="229">
        <v>4753.1993144424123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Z36" s="229">
        <f>S36</f>
        <v>4753.1993144424123</v>
      </c>
      <c r="AA36" s="229">
        <v>0</v>
      </c>
      <c r="AB36" s="234">
        <f>S36</f>
        <v>4753.1993144424123</v>
      </c>
      <c r="AC36" s="234">
        <v>0</v>
      </c>
      <c r="AD36" s="234">
        <f>S36</f>
        <v>4753.1993144424123</v>
      </c>
      <c r="AE36" s="234">
        <v>0</v>
      </c>
      <c r="AF36" s="234">
        <v>4753.2</v>
      </c>
      <c r="AG36" s="234">
        <v>0</v>
      </c>
      <c r="AH36" s="234">
        <v>4753.2</v>
      </c>
      <c r="AI36" s="234">
        <v>0</v>
      </c>
      <c r="AJ36" s="229">
        <v>4753.2</v>
      </c>
      <c r="AK36" s="234">
        <v>0</v>
      </c>
      <c r="AL36" s="229">
        <v>4753.2</v>
      </c>
      <c r="AM36" s="234">
        <v>0</v>
      </c>
      <c r="AN36" s="235">
        <f t="shared" si="10"/>
        <v>33272.39794332724</v>
      </c>
      <c r="AO36" s="235"/>
      <c r="AP36" s="206">
        <f t="shared" si="6"/>
        <v>33272.39794332724</v>
      </c>
      <c r="AQ36" s="206">
        <f t="shared" si="1"/>
        <v>214346.65205667276</v>
      </c>
      <c r="AR36" s="236"/>
      <c r="AS36" s="237">
        <f t="shared" si="7"/>
        <v>4753.2</v>
      </c>
      <c r="AT36" s="238">
        <f t="shared" si="13"/>
        <v>4753.2</v>
      </c>
      <c r="AU36" s="238">
        <f>IF(SUM($AS$36:AT36)+IF(AT36="0","0",AT36)&gt;$AQ36,0,AT36)</f>
        <v>4753.2</v>
      </c>
      <c r="AV36" s="238">
        <f>IF(SUM($AS$36:AU36)+IF(AU36="0","0",AU36)&gt;$AQ36,0,AU36)</f>
        <v>4753.2</v>
      </c>
      <c r="AW36" s="238">
        <f>IF(SUM($AS$36:AV36)+IF(AV36="0","0",AV36)&gt;$AQ36,0,AV36)</f>
        <v>4753.2</v>
      </c>
      <c r="AX36" s="238">
        <f>IF(SUM($AS$36:AW36)+IF(AW36="0","0",AW36)&gt;$AQ36,0,AW36)</f>
        <v>4753.2</v>
      </c>
      <c r="AY36" s="238">
        <f>IF(SUM($AS$36:AX36)+IF(AX36="0","0",AX36)&gt;$AQ36,0,AX36)</f>
        <v>4753.2</v>
      </c>
      <c r="AZ36" s="238">
        <f>IF(SUM($AS$36:AY36)+IF(AY36="0","0",AY36)&gt;$AQ36,0,AY36)</f>
        <v>4753.2</v>
      </c>
      <c r="BA36" s="238">
        <f>IF(SUM($AS$36:AZ36)+IF(AZ36="0","0",AZ36)&gt;$AQ36,0,AZ36)</f>
        <v>4753.2</v>
      </c>
      <c r="BB36" s="238">
        <f>IF(SUM($AS$36:BA36)+IF(BA36="0","0",BA36)&gt;$AQ36,0,BA36)</f>
        <v>4753.2</v>
      </c>
      <c r="BC36" s="238">
        <f>IF(SUM($AS$36:BB36)+IF(BB36="0","0",BB36)&gt;$AQ36,0,BB36)</f>
        <v>4753.2</v>
      </c>
      <c r="BD36" s="239">
        <f>IF(SUM($AS$36:BC36)+IF(BC36="0","0",BC36)&gt;$AQ36,0,BC36)</f>
        <v>4753.2</v>
      </c>
      <c r="BE36" s="237">
        <f>IF(SUM($AS$36:BD36)+IF(BD36="0","0",BD36)&gt;$AQ36,0,BD36)</f>
        <v>4753.2</v>
      </c>
      <c r="BF36" s="238">
        <f>IF(SUM($AS$36:BE36)+IF(BE36="0","0",BE36)&gt;$AQ36,0,BE36)</f>
        <v>4753.2</v>
      </c>
      <c r="BG36" s="238">
        <f>IF(SUM($AS$36:BF36)+IF(BF36="0","0",BF36)&gt;$AQ36,0,BF36)</f>
        <v>4753.2</v>
      </c>
      <c r="BH36" s="238">
        <f>IF(SUM($AS$36:BG36)+IF(BG36="0","0",BG36)&gt;$AQ36,0,BG36)</f>
        <v>4753.2</v>
      </c>
      <c r="BI36" s="238">
        <f>IF(SUM($AS$36:BH36)+IF(BH36="0","0",BH36)&gt;$AQ36,0,BH36)</f>
        <v>4753.2</v>
      </c>
      <c r="BJ36" s="238">
        <f>IF(SUM($AS$36:BI36)+IF(BI36="0","0",BI36)&gt;$AQ36,0,BI36)</f>
        <v>4753.2</v>
      </c>
      <c r="BK36" s="238">
        <f>IF(SUM($AS$36:BJ36)+IF(BJ36="0","0",BJ36)&gt;$AQ36,0,BJ36)</f>
        <v>4753.2</v>
      </c>
      <c r="BL36" s="238">
        <f>IF(SUM($AS$36:BK36)+IF(BK36="0","0",BK36)&gt;$AQ36,0,BK36)</f>
        <v>4753.2</v>
      </c>
      <c r="BM36" s="238">
        <f>IF(SUM($AS$36:BL36)+IF(BL36="0","0",BL36)&gt;$AQ36,0,BL36)</f>
        <v>4753.2</v>
      </c>
      <c r="BN36" s="238">
        <f>IF(SUM($AS$36:BM36)+IF(BM36="0","0",BM36)&gt;$AQ36,0,BM36)</f>
        <v>4753.2</v>
      </c>
      <c r="BO36" s="238">
        <f>IF(SUM($AS$36:BN36)+IF(BN36="0","0",BN36)&gt;$AQ36,0,BN36)</f>
        <v>4753.2</v>
      </c>
      <c r="BP36" s="239">
        <f>IF(SUM($AS$36:BO36)+IF(BO36="0","0",BO36)&gt;$AQ36,0,BO36)</f>
        <v>4753.2</v>
      </c>
      <c r="BQ36" s="237">
        <f>IF(SUM($AS$36:BP36)+IF(BP36="0","0",BP36)&gt;$AQ36,0,BP36)</f>
        <v>4753.2</v>
      </c>
      <c r="BR36" s="238">
        <f>IF(SUM($AS$36:BQ36)+IF(BQ36="0","0",BQ36)&gt;$AQ36,0,BQ36)</f>
        <v>4753.2</v>
      </c>
      <c r="BS36" s="238">
        <f>IF(SUM($AS$36:BR36)+IF(BR36="0","0",BR36)&gt;$AQ36,0,BR36)</f>
        <v>4753.2</v>
      </c>
      <c r="BT36" s="238">
        <f>IF(SUM($AS$36:BS36)+IF(BS36="0","0",BS36)&gt;$AQ36,0,BS36)</f>
        <v>4753.2</v>
      </c>
      <c r="BU36" s="238">
        <f>IF(SUM($AS$36:BT36)+IF(BT36="0","0",BT36)&gt;$AQ36,0,BT36)</f>
        <v>4753.2</v>
      </c>
      <c r="BV36" s="238">
        <f>IF(SUM($AS$36:BU36)+IF(BU36="0","0",BU36)&gt;$AQ36,0,BU36)</f>
        <v>4753.2</v>
      </c>
      <c r="BW36" s="238">
        <f>IF(SUM($AS$36:BV36)+IF(BV36="0","0",BV36)&gt;$AQ36,0,BV36)</f>
        <v>4753.2</v>
      </c>
      <c r="BX36" s="238">
        <f>IF(SUM($AS$36:BW36)+IF(BW36="0","0",BW36)&gt;$AQ36,0,BW36)</f>
        <v>4753.2</v>
      </c>
      <c r="BY36" s="238">
        <f>IF(SUM($AS$36:BX36)+IF(BX36="0","0",BX36)&gt;$AQ36,0,BX36)</f>
        <v>4753.2</v>
      </c>
      <c r="BZ36" s="238">
        <f>IF(SUM($AS$36:BY36)+IF(BY36="0","0",BY36)&gt;$AQ36,0,BY36)</f>
        <v>4753.2</v>
      </c>
      <c r="CA36" s="238">
        <f>IF(SUM($AS$36:BZ36)+IF(BZ36="0","0",BZ36)&gt;$AQ36,0,BZ36)</f>
        <v>4753.2</v>
      </c>
      <c r="CB36" s="239">
        <f>IF(SUM($AS$36:CA36)+IF(CA36="0","0",CA36)&gt;$AQ36,0,CA36)</f>
        <v>4753.2</v>
      </c>
      <c r="CC36" s="237">
        <f>IF(SUM($AS$36:CB36)+IF(CB36="0","0",CB36)&gt;$AQ36,0,CB36)</f>
        <v>4753.2</v>
      </c>
      <c r="CD36" s="238">
        <f>IF(SUM($AS$36:CC36)+IF(CC36="0","0",CC36)&gt;$AQ36,0,CC36)</f>
        <v>4753.2</v>
      </c>
      <c r="CE36" s="238">
        <f>IF(SUM($AS$36:CD36)+IF(CD36="0","0",CD36)&gt;$AQ36,0,CD36)</f>
        <v>4753.2</v>
      </c>
      <c r="CF36" s="238">
        <f>IF(SUM($AS$36:CE36)+IF(CE36="0","0",CE36)&gt;$AQ36,0,CE36)</f>
        <v>4753.2</v>
      </c>
      <c r="CG36" s="238">
        <f>IF(SUM($AS$36:CF36)+IF(CF36="0","0",CF36)&gt;$AQ36,0,CF36)</f>
        <v>4753.2</v>
      </c>
      <c r="CH36" s="238">
        <f>IF(SUM($AS$36:CG36)+IF(CG36="0","0",CG36)&gt;$AQ36,0,CG36)</f>
        <v>4753.2</v>
      </c>
      <c r="CI36" s="238">
        <f>IF(SUM($AS$36:CH36)+IF(CH36="0","0",CH36)&gt;$AQ36,0,CH36)</f>
        <v>4753.2</v>
      </c>
      <c r="CJ36" s="238">
        <f>IF(SUM($AS$36:CI36)+IF(CI36="0","0",CI36)&gt;$AQ36,0,CI36)</f>
        <v>4753.2</v>
      </c>
      <c r="CK36" s="238">
        <f>IF(SUM($AS$36:CJ36)+IF(CJ36="0","0",CJ36)&gt;$AQ36,0,CJ36)</f>
        <v>4753.2</v>
      </c>
      <c r="CL36" s="238">
        <f>IF(SUM($AS$36:CK36)+IF(CK36="0","0",CK36)&gt;$AQ36,0,CK36)</f>
        <v>0</v>
      </c>
      <c r="CM36" s="238">
        <f>IF(SUM($AS$36:CL36)+IF(CL36="0","0",CL36)&gt;$AQ36,0,CL36)</f>
        <v>0</v>
      </c>
      <c r="CN36" s="242">
        <f>IF(SUM($AS$36:CM36)+IF(CM36="0","0",CM36)&gt;$AQ36,0,CM36)</f>
        <v>0</v>
      </c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</row>
    <row r="37" spans="1:158" s="70" customFormat="1">
      <c r="A37" s="243"/>
      <c r="B37" s="68" t="s">
        <v>161</v>
      </c>
      <c r="C37" s="226"/>
      <c r="D37" s="226"/>
      <c r="E37" s="72">
        <v>45687</v>
      </c>
      <c r="F37" s="228"/>
      <c r="G37" s="244">
        <f>'Dep-Vehicle monthly Dec 2026'!F25</f>
        <v>623809.52</v>
      </c>
      <c r="H37" s="245">
        <f t="shared" si="2"/>
        <v>187142.856</v>
      </c>
      <c r="I37" s="245">
        <f t="shared" ref="I37:I43" si="21">G37*70%</f>
        <v>436666.66399999999</v>
      </c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34"/>
      <c r="AC37" s="234"/>
      <c r="AD37" s="234"/>
      <c r="AE37" s="234"/>
      <c r="AF37" s="234"/>
      <c r="AG37" s="234"/>
      <c r="AH37" s="234"/>
      <c r="AI37" s="234"/>
      <c r="AJ37" s="229"/>
      <c r="AK37" s="234"/>
      <c r="AL37" s="229">
        <f>I37/36</f>
        <v>12129.629555555555</v>
      </c>
      <c r="AM37" s="234"/>
      <c r="AN37" s="235"/>
      <c r="AO37" s="235"/>
      <c r="AP37" s="206"/>
      <c r="AQ37" s="206">
        <f t="shared" ref="AQ37:AQ43" si="22">I37</f>
        <v>436666.66399999999</v>
      </c>
      <c r="AR37" s="236"/>
      <c r="AS37" s="215"/>
      <c r="AT37" s="246">
        <f>IF(AQ37&gt;H37,(AL37+AM37),0)</f>
        <v>12129.629555555555</v>
      </c>
      <c r="AU37" s="238">
        <f>IF(AT37+IF(AT37="0","0",AT37)&gt;$AQ37,0,AT37)</f>
        <v>12129.629555555555</v>
      </c>
      <c r="AV37" s="238">
        <f>IF(SUM($AT$37:AU37)+IF(AU37="0","0",AU37)&gt;$AQ37,0,AU37)</f>
        <v>12129.629555555555</v>
      </c>
      <c r="AW37" s="238">
        <f>IF(SUM($AT$37:AV37)+IF(AV37="0","0",AV37)&gt;$AQ37,0,AV37)</f>
        <v>12129.629555555555</v>
      </c>
      <c r="AX37" s="238">
        <f>IF(SUM($AT$37:AW37)+IF(AW37="0","0",AW37)&gt;$AQ37,0,AW37)</f>
        <v>12129.629555555555</v>
      </c>
      <c r="AY37" s="238">
        <f>IF(SUM($AT$37:AX37)+IF(AX37="0","0",AX37)&gt;$AQ37,0,AX37)</f>
        <v>12129.629555555555</v>
      </c>
      <c r="AZ37" s="238">
        <f>IF(SUM($AT$37:AY37)+IF(AY37="0","0",AY37)&gt;$AQ37,0,AY37)</f>
        <v>12129.629555555555</v>
      </c>
      <c r="BA37" s="238">
        <f>IF(SUM($AT$37:AZ37)+IF(AZ37="0","0",AZ37)&gt;$AQ37,0,AZ37)</f>
        <v>12129.629555555555</v>
      </c>
      <c r="BB37" s="238">
        <f>IF(SUM($AT$37:BA37)+IF(BA37="0","0",BA37)&gt;$AQ37,0,BA37)</f>
        <v>12129.629555555555</v>
      </c>
      <c r="BC37" s="238">
        <f>IF(SUM($AT$37:BB37)+IF(BB37="0","0",BB37)&gt;$AQ37,0,BB37)</f>
        <v>12129.629555555555</v>
      </c>
      <c r="BD37" s="239">
        <f>IF(SUM($AT$37:BC37)+IF(BC37="0","0",BC37)&gt;$AQ37,0,BC37)</f>
        <v>12129.629555555555</v>
      </c>
      <c r="BE37" s="237">
        <f>IF(SUM($AT$37:BD37)+IF(BD37="0","0",BD37)&gt;$AQ37,0,BD37)</f>
        <v>12129.629555555555</v>
      </c>
      <c r="BF37" s="238">
        <f>IF(SUM($AT$37:BE37)+IF(BE37="0","0",BE37)&gt;$AQ37,0,BE37)</f>
        <v>12129.629555555555</v>
      </c>
      <c r="BG37" s="238">
        <f>IF(SUM($AT$37:BF37)+IF(BF37="0","0",BF37)&gt;$AQ37,0,BF37)</f>
        <v>12129.629555555555</v>
      </c>
      <c r="BH37" s="238">
        <f>IF(SUM($AT$37:BG37)+IF(BG37="0","0",BG37)&gt;$AQ37,0,BG37)</f>
        <v>12129.629555555555</v>
      </c>
      <c r="BI37" s="238">
        <f>IF(SUM($AT$37:BH37)+IF(BH37="0","0",BH37)&gt;$AQ37,0,BH37)</f>
        <v>12129.629555555555</v>
      </c>
      <c r="BJ37" s="238">
        <f>IF(SUM($AT$37:BI37)+IF(BI37="0","0",BI37)&gt;$AQ37,0,BI37)</f>
        <v>12129.629555555555</v>
      </c>
      <c r="BK37" s="238">
        <f>IF(SUM($AT$37:BJ37)+IF(BJ37="0","0",BJ37)&gt;$AQ37,0,BJ37)</f>
        <v>12129.629555555555</v>
      </c>
      <c r="BL37" s="238">
        <f>IF(SUM($AT$37:BK37)+IF(BK37="0","0",BK37)&gt;$AQ37,0,BK37)</f>
        <v>12129.629555555555</v>
      </c>
      <c r="BM37" s="238">
        <f>IF(SUM($AT$37:BL37)+IF(BL37="0","0",BL37)&gt;$AQ37,0,BL37)</f>
        <v>12129.629555555555</v>
      </c>
      <c r="BN37" s="238">
        <f>IF(SUM($AT$37:BM37)+IF(BM37="0","0",BM37)&gt;$AQ37,0,BM37)</f>
        <v>12129.629555555555</v>
      </c>
      <c r="BO37" s="238">
        <f>IF(SUM($AT$37:BN37)+IF(BN37="0","0",BN37)&gt;$AQ37,0,BN37)</f>
        <v>12129.629555555555</v>
      </c>
      <c r="BP37" s="239">
        <f>IF(SUM($AT$37:BO37)+IF(BO37="0","0",BO37)&gt;$AQ37,0,BO37)</f>
        <v>12129.629555555555</v>
      </c>
      <c r="BQ37" s="237">
        <f>IF(SUM($AT$37:BP37)+IF(BP37="0","0",BP37)&gt;$AQ37,0,BP37)</f>
        <v>12129.629555555555</v>
      </c>
      <c r="BR37" s="238">
        <f>IF(SUM($AT$37:BQ37)+IF(BQ37="0","0",BQ37)&gt;$AQ37,0,BQ37)</f>
        <v>12129.629555555555</v>
      </c>
      <c r="BS37" s="238">
        <f>IF(SUM($AT$37:BR37)+IF(BR37="0","0",BR37)&gt;$AQ37,0,BR37)</f>
        <v>12129.629555555555</v>
      </c>
      <c r="BT37" s="238">
        <f>IF(SUM($AT$37:BS37)+IF(BS37="0","0",BS37)&gt;$AQ37,0,BS37)</f>
        <v>12129.629555555555</v>
      </c>
      <c r="BU37" s="238">
        <f>IF(SUM($AT$37:BT37)+IF(BT37="0","0",BT37)&gt;$AQ37,0,BT37)</f>
        <v>12129.629555555555</v>
      </c>
      <c r="BV37" s="238">
        <f>IF(SUM($AT$37:BU37)+IF(BU37="0","0",BU37)&gt;$AQ37,0,BU37)</f>
        <v>12129.629555555555</v>
      </c>
      <c r="BW37" s="238">
        <f>IF(SUM($AT$37:BV37)+IF(BV37="0","0",BV37)&gt;$AQ37,0,BV37)</f>
        <v>12129.629555555555</v>
      </c>
      <c r="BX37" s="238">
        <f>IF(SUM($AT$37:BW37)+IF(BW37="0","0",BW37)&gt;$AQ37,0,BW37)</f>
        <v>12129.629555555555</v>
      </c>
      <c r="BY37" s="238">
        <f>IF(SUM($AT$37:BX37)+IF(BX37="0","0",BX37)&gt;$AQ37,0,BX37)</f>
        <v>12129.629555555555</v>
      </c>
      <c r="BZ37" s="238">
        <f>IF(SUM($AT$37:BY37)+IF(BY37="0","0",BY37)&gt;$AQ37,0,BY37)</f>
        <v>12129.629555555555</v>
      </c>
      <c r="CA37" s="238">
        <f>IF(SUM($AT$37:BZ37)+IF(BZ37="0","0",BZ37)&gt;$AQ37,0,BZ37)</f>
        <v>12129.629555555555</v>
      </c>
      <c r="CB37" s="239">
        <f>IF(SUM($AT$37:CA37)+IF(CA37="0","0",CA37)&gt;$AQ37,0,CA37)</f>
        <v>12129.629555555555</v>
      </c>
      <c r="CC37" s="237">
        <f>IF(SUM($AT$37:CB37)+IF(CB37="0","0",CB37)&gt;$AQ37,0,CB37)</f>
        <v>12129.629555555555</v>
      </c>
      <c r="CD37" s="145">
        <f>IF(SUM($AT$37:CC37)+IF(CC37="0","0",CC37)&gt;$AQ37,0,CC37)</f>
        <v>0</v>
      </c>
      <c r="CE37" s="145">
        <f>IF(SUM($AT$37:CD37)+IF(CD37="0","0",CD37)&gt;$AQ37,0,CD37)</f>
        <v>0</v>
      </c>
      <c r="CF37" s="145">
        <f>IF(SUM($AT$37:CE37)+IF(CE37="0","0",CE37)&gt;$AQ37,0,CE37)</f>
        <v>0</v>
      </c>
      <c r="CG37" s="145">
        <f>IF(SUM($AT$37:CF37)+IF(CF37="0","0",CF37)&gt;$AQ37,0,CF37)</f>
        <v>0</v>
      </c>
      <c r="CH37" s="145">
        <f>IF(SUM($AT$37:CG37)+IF(CG37="0","0",CG37)&gt;$AQ37,0,CG37)</f>
        <v>0</v>
      </c>
      <c r="CI37" s="145">
        <f>IF(SUM($AT$37:CH37)+IF(CH37="0","0",CH37)&gt;$AQ37,0,CH37)</f>
        <v>0</v>
      </c>
      <c r="CJ37" s="145">
        <f>IF(SUM($AT$37:CI37)+IF(CI37="0","0",CI37)&gt;$AQ37,0,CI37)</f>
        <v>0</v>
      </c>
      <c r="CK37" s="145">
        <f>IF(SUM($AT$37:CJ37)+IF(CJ37="0","0",CJ37)&gt;$AQ37,0,CJ37)</f>
        <v>0</v>
      </c>
      <c r="CL37" s="145">
        <f>IF(SUM($AT$37:CK37)+IF(CK37="0","0",CK37)&gt;$AQ37,0,CK37)</f>
        <v>0</v>
      </c>
      <c r="CM37" s="145">
        <f>IF(SUM($AT$37:CL37)+IF(CL37="0","0",CL37)&gt;$AQ37,0,CL37)</f>
        <v>0</v>
      </c>
      <c r="CN37" s="224">
        <f>IF(SUM($AT$37:CM37)+IF(CM37="0","0",CM37)&gt;$AQ37,0,CM37)</f>
        <v>0</v>
      </c>
      <c r="CO37" s="241">
        <f>IF(SUM($AT$37:CN37)+IF(CN37="0","0",CN37)&gt;$AQ37,0,CN37)</f>
        <v>0</v>
      </c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</row>
    <row r="38" spans="1:158" s="70" customFormat="1">
      <c r="A38" s="243"/>
      <c r="B38" s="68" t="s">
        <v>161</v>
      </c>
      <c r="C38" s="226"/>
      <c r="D38" s="226"/>
      <c r="E38" s="72">
        <v>45687</v>
      </c>
      <c r="F38" s="228"/>
      <c r="G38" s="244">
        <f>'Dep-Vehicle monthly Dec 2026'!F26</f>
        <v>623809.52</v>
      </c>
      <c r="H38" s="245">
        <f t="shared" si="2"/>
        <v>187142.856</v>
      </c>
      <c r="I38" s="245">
        <f t="shared" si="21"/>
        <v>436666.66399999999</v>
      </c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  <c r="AA38" s="229"/>
      <c r="AB38" s="234"/>
      <c r="AC38" s="234"/>
      <c r="AD38" s="234"/>
      <c r="AE38" s="234"/>
      <c r="AF38" s="234"/>
      <c r="AG38" s="234"/>
      <c r="AH38" s="234"/>
      <c r="AI38" s="234"/>
      <c r="AJ38" s="229"/>
      <c r="AK38" s="234"/>
      <c r="AL38" s="229">
        <f t="shared" ref="AL38:AL43" si="23">I38/36</f>
        <v>12129.629555555555</v>
      </c>
      <c r="AM38" s="234"/>
      <c r="AN38" s="235"/>
      <c r="AO38" s="235"/>
      <c r="AP38" s="206"/>
      <c r="AQ38" s="206">
        <f t="shared" si="22"/>
        <v>436666.66399999999</v>
      </c>
      <c r="AR38" s="236"/>
      <c r="AS38" s="215"/>
      <c r="AT38" s="246">
        <f>IF(AQ38&gt;H38,(AL38+AM38),0)</f>
        <v>12129.629555555555</v>
      </c>
      <c r="AU38" s="238">
        <f>IF(AT38+IF(AT38="0","0",AT38)&gt;$AQ38,0,AT38)</f>
        <v>12129.629555555555</v>
      </c>
      <c r="AV38" s="238">
        <f>IF(SUM($AT$38:AU38)+IF(AU38="0","0",AU38)&gt;$AQ38,0,AU38)</f>
        <v>12129.629555555555</v>
      </c>
      <c r="AW38" s="238">
        <f>IF(SUM($AT$38:AV38)+IF(AV38="0","0",AV38)&gt;$AQ38,0,AV38)</f>
        <v>12129.629555555555</v>
      </c>
      <c r="AX38" s="238">
        <f>IF(SUM($AT$38:AW38)+IF(AW38="0","0",AW38)&gt;$AQ38,0,AW38)</f>
        <v>12129.629555555555</v>
      </c>
      <c r="AY38" s="238">
        <f>IF(SUM($AT$38:AX38)+IF(AX38="0","0",AX38)&gt;$AQ38,0,AX38)</f>
        <v>12129.629555555555</v>
      </c>
      <c r="AZ38" s="238">
        <f>IF(SUM($AT$38:AY38)+IF(AY38="0","0",AY38)&gt;$AQ38,0,AY38)</f>
        <v>12129.629555555555</v>
      </c>
      <c r="BA38" s="238">
        <f>IF(SUM($AT$38:AZ38)+IF(AZ38="0","0",AZ38)&gt;$AQ38,0,AZ38)</f>
        <v>12129.629555555555</v>
      </c>
      <c r="BB38" s="238">
        <f>IF(SUM($AT$38:BA38)+IF(BA38="0","0",BA38)&gt;$AQ38,0,BA38)</f>
        <v>12129.629555555555</v>
      </c>
      <c r="BC38" s="238">
        <f>IF(SUM($AT$38:BB38)+IF(BB38="0","0",BB38)&gt;$AQ38,0,BB38)</f>
        <v>12129.629555555555</v>
      </c>
      <c r="BD38" s="239">
        <f>IF(SUM($AT$38:BC38)+IF(BC38="0","0",BC38)&gt;$AQ38,0,BC38)</f>
        <v>12129.629555555555</v>
      </c>
      <c r="BE38" s="237">
        <f>IF(SUM($AT$38:BD38)+IF(BD38="0","0",BD38)&gt;$AQ38,0,BD38)</f>
        <v>12129.629555555555</v>
      </c>
      <c r="BF38" s="238">
        <f>IF(SUM($AT$38:BE38)+IF(BE38="0","0",BE38)&gt;$AQ38,0,BE38)</f>
        <v>12129.629555555555</v>
      </c>
      <c r="BG38" s="238">
        <f>IF(SUM($AT$38:BF38)+IF(BF38="0","0",BF38)&gt;$AQ38,0,BF38)</f>
        <v>12129.629555555555</v>
      </c>
      <c r="BH38" s="238">
        <f>IF(SUM($AT$38:BG38)+IF(BG38="0","0",BG38)&gt;$AQ38,0,BG38)</f>
        <v>12129.629555555555</v>
      </c>
      <c r="BI38" s="238">
        <f>IF(SUM($AT$38:BH38)+IF(BH38="0","0",BH38)&gt;$AQ38,0,BH38)</f>
        <v>12129.629555555555</v>
      </c>
      <c r="BJ38" s="238">
        <f>IF(SUM($AT$38:BI38)+IF(BI38="0","0",BI38)&gt;$AQ38,0,BI38)</f>
        <v>12129.629555555555</v>
      </c>
      <c r="BK38" s="238">
        <f>IF(SUM($AT$38:BJ38)+IF(BJ38="0","0",BJ38)&gt;$AQ38,0,BJ38)</f>
        <v>12129.629555555555</v>
      </c>
      <c r="BL38" s="238">
        <f>IF(SUM($AT$38:BK38)+IF(BK38="0","0",BK38)&gt;$AQ38,0,BK38)</f>
        <v>12129.629555555555</v>
      </c>
      <c r="BM38" s="238">
        <f>IF(SUM($AT$38:BL38)+IF(BL38="0","0",BL38)&gt;$AQ38,0,BL38)</f>
        <v>12129.629555555555</v>
      </c>
      <c r="BN38" s="238">
        <f>IF(SUM($AT$38:BM38)+IF(BM38="0","0",BM38)&gt;$AQ38,0,BM38)</f>
        <v>12129.629555555555</v>
      </c>
      <c r="BO38" s="238">
        <f>IF(SUM($AT$38:BN38)+IF(BN38="0","0",BN38)&gt;$AQ38,0,BN38)</f>
        <v>12129.629555555555</v>
      </c>
      <c r="BP38" s="239">
        <f>IF(SUM($AT$38:BO38)+IF(BO38="0","0",BO38)&gt;$AQ38,0,BO38)</f>
        <v>12129.629555555555</v>
      </c>
      <c r="BQ38" s="237">
        <f>IF(SUM($AT$38:BP38)+IF(BP38="0","0",BP38)&gt;$AQ38,0,BP38)</f>
        <v>12129.629555555555</v>
      </c>
      <c r="BR38" s="238">
        <f>IF(SUM($AT$38:BQ38)+IF(BQ38="0","0",BQ38)&gt;$AQ38,0,BQ38)</f>
        <v>12129.629555555555</v>
      </c>
      <c r="BS38" s="238">
        <f>IF(SUM($AT$38:BR38)+IF(BR38="0","0",BR38)&gt;$AQ38,0,BR38)</f>
        <v>12129.629555555555</v>
      </c>
      <c r="BT38" s="238">
        <f>IF(SUM($AT$38:BS38)+IF(BS38="0","0",BS38)&gt;$AQ38,0,BS38)</f>
        <v>12129.629555555555</v>
      </c>
      <c r="BU38" s="238">
        <f>IF(SUM($AT$38:BT38)+IF(BT38="0","0",BT38)&gt;$AQ38,0,BT38)</f>
        <v>12129.629555555555</v>
      </c>
      <c r="BV38" s="238">
        <f>IF(SUM($AT$38:BU38)+IF(BU38="0","0",BU38)&gt;$AQ38,0,BU38)</f>
        <v>12129.629555555555</v>
      </c>
      <c r="BW38" s="238">
        <f>IF(SUM($AT$38:BV38)+IF(BV38="0","0",BV38)&gt;$AQ38,0,BV38)</f>
        <v>12129.629555555555</v>
      </c>
      <c r="BX38" s="238">
        <f>IF(SUM($AT$38:BW38)+IF(BW38="0","0",BW38)&gt;$AQ38,0,BW38)</f>
        <v>12129.629555555555</v>
      </c>
      <c r="BY38" s="238">
        <f>IF(SUM($AT$38:BX38)+IF(BX38="0","0",BX38)&gt;$AQ38,0,BX38)</f>
        <v>12129.629555555555</v>
      </c>
      <c r="BZ38" s="238">
        <f>IF(SUM($AT$38:BY38)+IF(BY38="0","0",BY38)&gt;$AQ38,0,BY38)</f>
        <v>12129.629555555555</v>
      </c>
      <c r="CA38" s="238">
        <f>IF(SUM($AT$38:BZ38)+IF(BZ38="0","0",BZ38)&gt;$AQ38,0,BZ38)</f>
        <v>12129.629555555555</v>
      </c>
      <c r="CB38" s="239">
        <f>IF(SUM($AT$38:CA38)+IF(CA38="0","0",CA38)&gt;$AQ38,0,CA38)</f>
        <v>12129.629555555555</v>
      </c>
      <c r="CC38" s="237">
        <f>IF(SUM($AT$38:CB38)+IF(CB38="0","0",CB38)&gt;$AQ38,0,CB38)</f>
        <v>12129.629555555555</v>
      </c>
      <c r="CD38" s="145">
        <f>IF(SUM($AT$38:CC38)+IF(CC38="0","0",CC38)&gt;$AQ38,0,CC38)</f>
        <v>0</v>
      </c>
      <c r="CE38" s="145">
        <f>IF(SUM($AT$38:CD38)+IF(CD38="0","0",CD38)&gt;$AQ38,0,CD38)</f>
        <v>0</v>
      </c>
      <c r="CF38" s="145">
        <f>IF(SUM($AT$38:CE38)+IF(CE38="0","0",CE38)&gt;$AQ38,0,CE38)</f>
        <v>0</v>
      </c>
      <c r="CG38" s="145">
        <f>IF(SUM($AT$38:CF38)+IF(CF38="0","0",CF38)&gt;$AQ38,0,CF38)</f>
        <v>0</v>
      </c>
      <c r="CH38" s="145">
        <f>IF(SUM($AT$38:CG38)+IF(CG38="0","0",CG38)&gt;$AQ38,0,CG38)</f>
        <v>0</v>
      </c>
      <c r="CI38" s="145">
        <f>IF(SUM($AT$38:CH38)+IF(CH38="0","0",CH38)&gt;$AQ38,0,CH38)</f>
        <v>0</v>
      </c>
      <c r="CJ38" s="145">
        <f>IF(SUM($AT$38:CI38)+IF(CI38="0","0",CI38)&gt;$AQ38,0,CI38)</f>
        <v>0</v>
      </c>
      <c r="CK38" s="145">
        <f>IF(SUM($AT$38:CJ38)+IF(CJ38="0","0",CJ38)&gt;$AQ38,0,CJ38)</f>
        <v>0</v>
      </c>
      <c r="CL38" s="145">
        <f>IF(SUM($AT$38:CK38)+IF(CK38="0","0",CK38)&gt;$AQ38,0,CK38)</f>
        <v>0</v>
      </c>
      <c r="CM38" s="145">
        <f>IF(SUM($AT$38:CL38)+IF(CL38="0","0",CL38)&gt;$AQ38,0,CL38)</f>
        <v>0</v>
      </c>
      <c r="CN38" s="224">
        <f>IF(SUM($AT$38:CM38)+IF(CM38="0","0",CM38)&gt;$AQ38,0,CM38)</f>
        <v>0</v>
      </c>
      <c r="CO38" s="241">
        <f>IF(SUM($AT$38:CN38)+IF(CN38="0","0",CN38)&gt;$AQ38,0,CN38)</f>
        <v>0</v>
      </c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</row>
    <row r="39" spans="1:158" s="70" customFormat="1">
      <c r="A39" s="243"/>
      <c r="B39" s="68" t="s">
        <v>161</v>
      </c>
      <c r="C39" s="226"/>
      <c r="D39" s="226"/>
      <c r="E39" s="72">
        <v>45687</v>
      </c>
      <c r="F39" s="228"/>
      <c r="G39" s="244">
        <f>'Dep-Vehicle monthly Dec 2026'!F27</f>
        <v>623809.52</v>
      </c>
      <c r="H39" s="245">
        <f t="shared" si="2"/>
        <v>187142.856</v>
      </c>
      <c r="I39" s="245">
        <f t="shared" si="21"/>
        <v>436666.66399999999</v>
      </c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  <c r="Z39" s="229"/>
      <c r="AA39" s="229"/>
      <c r="AB39" s="234"/>
      <c r="AC39" s="234"/>
      <c r="AD39" s="234"/>
      <c r="AE39" s="234"/>
      <c r="AF39" s="234"/>
      <c r="AG39" s="234"/>
      <c r="AH39" s="234"/>
      <c r="AI39" s="234"/>
      <c r="AJ39" s="229"/>
      <c r="AK39" s="234"/>
      <c r="AL39" s="229">
        <f t="shared" si="23"/>
        <v>12129.629555555555</v>
      </c>
      <c r="AM39" s="234"/>
      <c r="AN39" s="235"/>
      <c r="AO39" s="235"/>
      <c r="AP39" s="206"/>
      <c r="AQ39" s="206">
        <f t="shared" si="22"/>
        <v>436666.66399999999</v>
      </c>
      <c r="AR39" s="236"/>
      <c r="AS39" s="215"/>
      <c r="AT39" s="246">
        <f>IF(AQ39&gt;H39,(AL39+AM39),0)</f>
        <v>12129.629555555555</v>
      </c>
      <c r="AU39" s="238">
        <f>IF(AT39+IF(AT39="0","0",AT39)&gt;$AQ39,0,AT39)</f>
        <v>12129.629555555555</v>
      </c>
      <c r="AV39" s="238">
        <f>IF(SUM($AT$39:AU39)+IF(AU39="0","0",AU39)&gt;$AQ39,0,AU39)</f>
        <v>12129.629555555555</v>
      </c>
      <c r="AW39" s="238">
        <f>IF(SUM($AT$39:AV39)+IF(AV39="0","0",AV39)&gt;$AQ39,0,AV39)</f>
        <v>12129.629555555555</v>
      </c>
      <c r="AX39" s="238">
        <f>IF(SUM($AT$39:AW39)+IF(AW39="0","0",AW39)&gt;$AQ39,0,AW39)</f>
        <v>12129.629555555555</v>
      </c>
      <c r="AY39" s="238">
        <f>IF(SUM($AT$39:AX39)+IF(AX39="0","0",AX39)&gt;$AQ39,0,AX39)</f>
        <v>12129.629555555555</v>
      </c>
      <c r="AZ39" s="238">
        <f>IF(SUM($AT$39:AY39)+IF(AY39="0","0",AY39)&gt;$AQ39,0,AY39)</f>
        <v>12129.629555555555</v>
      </c>
      <c r="BA39" s="238">
        <f>IF(SUM($AT$39:AZ39)+IF(AZ39="0","0",AZ39)&gt;$AQ39,0,AZ39)</f>
        <v>12129.629555555555</v>
      </c>
      <c r="BB39" s="238">
        <f>IF(SUM($AT$39:BA39)+IF(BA39="0","0",BA39)&gt;$AQ39,0,BA39)</f>
        <v>12129.629555555555</v>
      </c>
      <c r="BC39" s="238">
        <f>IF(SUM($AT$39:BB39)+IF(BB39="0","0",BB39)&gt;$AQ39,0,BB39)</f>
        <v>12129.629555555555</v>
      </c>
      <c r="BD39" s="239">
        <f>IF(SUM($AT$39:BC39)+IF(BC39="0","0",BC39)&gt;$AQ39,0,BC39)</f>
        <v>12129.629555555555</v>
      </c>
      <c r="BE39" s="237">
        <f>IF(SUM($AT$39:BD39)+IF(BD39="0","0",BD39)&gt;$AQ39,0,BD39)</f>
        <v>12129.629555555555</v>
      </c>
      <c r="BF39" s="238">
        <f>IF(SUM($AT$39:BE39)+IF(BE39="0","0",BE39)&gt;$AQ39,0,BE39)</f>
        <v>12129.629555555555</v>
      </c>
      <c r="BG39" s="238">
        <f>IF(SUM($AT$39:BF39)+IF(BF39="0","0",BF39)&gt;$AQ39,0,BF39)</f>
        <v>12129.629555555555</v>
      </c>
      <c r="BH39" s="238">
        <f>IF(SUM($AT$39:BG39)+IF(BG39="0","0",BG39)&gt;$AQ39,0,BG39)</f>
        <v>12129.629555555555</v>
      </c>
      <c r="BI39" s="238">
        <f>IF(SUM($AT$39:BH39)+IF(BH39="0","0",BH39)&gt;$AQ39,0,BH39)</f>
        <v>12129.629555555555</v>
      </c>
      <c r="BJ39" s="238">
        <f>IF(SUM($AT$39:BI39)+IF(BI39="0","0",BI39)&gt;$AQ39,0,BI39)</f>
        <v>12129.629555555555</v>
      </c>
      <c r="BK39" s="238">
        <f>IF(SUM($AT$39:BJ39)+IF(BJ39="0","0",BJ39)&gt;$AQ39,0,BJ39)</f>
        <v>12129.629555555555</v>
      </c>
      <c r="BL39" s="238">
        <f>IF(SUM($AT$39:BK39)+IF(BK39="0","0",BK39)&gt;$AQ39,0,BK39)</f>
        <v>12129.629555555555</v>
      </c>
      <c r="BM39" s="238">
        <f>IF(SUM($AT$39:BL39)+IF(BL39="0","0",BL39)&gt;$AQ39,0,BL39)</f>
        <v>12129.629555555555</v>
      </c>
      <c r="BN39" s="238">
        <f>IF(SUM($AT$39:BM39)+IF(BM39="0","0",BM39)&gt;$AQ39,0,BM39)</f>
        <v>12129.629555555555</v>
      </c>
      <c r="BO39" s="238">
        <f>IF(SUM($AT$39:BN39)+IF(BN39="0","0",BN39)&gt;$AQ39,0,BN39)</f>
        <v>12129.629555555555</v>
      </c>
      <c r="BP39" s="239">
        <f>IF(SUM($AT$39:BO39)+IF(BO39="0","0",BO39)&gt;$AQ39,0,BO39)</f>
        <v>12129.629555555555</v>
      </c>
      <c r="BQ39" s="237">
        <f>IF(SUM($AT$39:BP39)+IF(BP39="0","0",BP39)&gt;$AQ39,0,BP39)</f>
        <v>12129.629555555555</v>
      </c>
      <c r="BR39" s="238">
        <f>IF(SUM($AT$39:BQ39)+IF(BQ39="0","0",BQ39)&gt;$AQ39,0,BQ39)</f>
        <v>12129.629555555555</v>
      </c>
      <c r="BS39" s="238">
        <f>IF(SUM($AT$39:BR39)+IF(BR39="0","0",BR39)&gt;$AQ39,0,BR39)</f>
        <v>12129.629555555555</v>
      </c>
      <c r="BT39" s="238">
        <f>IF(SUM($AT$39:BS39)+IF(BS39="0","0",BS39)&gt;$AQ39,0,BS39)</f>
        <v>12129.629555555555</v>
      </c>
      <c r="BU39" s="238">
        <f>IF(SUM($AT$39:BT39)+IF(BT39="0","0",BT39)&gt;$AQ39,0,BT39)</f>
        <v>12129.629555555555</v>
      </c>
      <c r="BV39" s="238">
        <f>IF(SUM($AT$39:BU39)+IF(BU39="0","0",BU39)&gt;$AQ39,0,BU39)</f>
        <v>12129.629555555555</v>
      </c>
      <c r="BW39" s="238">
        <f>IF(SUM($AT$39:BV39)+IF(BV39="0","0",BV39)&gt;$AQ39,0,BV39)</f>
        <v>12129.629555555555</v>
      </c>
      <c r="BX39" s="238">
        <f>IF(SUM($AT$39:BW39)+IF(BW39="0","0",BW39)&gt;$AQ39,0,BW39)</f>
        <v>12129.629555555555</v>
      </c>
      <c r="BY39" s="238">
        <f>IF(SUM($AT$39:BX39)+IF(BX39="0","0",BX39)&gt;$AQ39,0,BX39)</f>
        <v>12129.629555555555</v>
      </c>
      <c r="BZ39" s="238">
        <f>IF(SUM($AT$39:BY39)+IF(BY39="0","0",BY39)&gt;$AQ39,0,BY39)</f>
        <v>12129.629555555555</v>
      </c>
      <c r="CA39" s="238">
        <f>IF(SUM($AT$39:BZ39)+IF(BZ39="0","0",BZ39)&gt;$AQ39,0,BZ39)</f>
        <v>12129.629555555555</v>
      </c>
      <c r="CB39" s="239">
        <f>IF(SUM($AT$39:CA39)+IF(CA39="0","0",CA39)&gt;$AQ39,0,CA39)</f>
        <v>12129.629555555555</v>
      </c>
      <c r="CC39" s="237">
        <f>IF(SUM($AT$39:CB39)+IF(CB39="0","0",CB39)&gt;$AQ39,0,CB39)</f>
        <v>12129.629555555555</v>
      </c>
      <c r="CD39" s="145">
        <f>IF(SUM($AT$39:CC39)+IF(CC39="0","0",CC39)&gt;$AQ39,0,CC39)</f>
        <v>0</v>
      </c>
      <c r="CE39" s="145">
        <f>IF(SUM($AT$39:CD39)+IF(CD39="0","0",CD39)&gt;$AQ39,0,CD39)</f>
        <v>0</v>
      </c>
      <c r="CF39" s="145">
        <f>IF(SUM($AT$39:CE39)+IF(CE39="0","0",CE39)&gt;$AQ39,0,CE39)</f>
        <v>0</v>
      </c>
      <c r="CG39" s="145">
        <f>IF(SUM($AT$39:CF39)+IF(CF39="0","0",CF39)&gt;$AQ39,0,CF39)</f>
        <v>0</v>
      </c>
      <c r="CH39" s="145">
        <f>IF(SUM($AT$39:CG39)+IF(CG39="0","0",CG39)&gt;$AQ39,0,CG39)</f>
        <v>0</v>
      </c>
      <c r="CI39" s="145">
        <f>IF(SUM($AT$39:CH39)+IF(CH39="0","0",CH39)&gt;$AQ39,0,CH39)</f>
        <v>0</v>
      </c>
      <c r="CJ39" s="145">
        <f>IF(SUM($AT$39:CI39)+IF(CI39="0","0",CI39)&gt;$AQ39,0,CI39)</f>
        <v>0</v>
      </c>
      <c r="CK39" s="145">
        <f>IF(SUM($AT$39:CJ39)+IF(CJ39="0","0",CJ39)&gt;$AQ39,0,CJ39)</f>
        <v>0</v>
      </c>
      <c r="CL39" s="145">
        <f>IF(SUM($AT$39:CK39)+IF(CK39="0","0",CK39)&gt;$AQ39,0,CK39)</f>
        <v>0</v>
      </c>
      <c r="CM39" s="145">
        <f>IF(SUM($AT$39:CL39)+IF(CL39="0","0",CL39)&gt;$AQ39,0,CL39)</f>
        <v>0</v>
      </c>
      <c r="CN39" s="224">
        <f>IF(SUM($AT$39:CM39)+IF(CM39="0","0",CM39)&gt;$AQ39,0,CM39)</f>
        <v>0</v>
      </c>
      <c r="CO39" s="241">
        <f>IF(SUM($AT$39:CN39)+IF(CN39="0","0",CN39)&gt;$AQ39,0,CN39)</f>
        <v>0</v>
      </c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</row>
    <row r="40" spans="1:158" s="70" customFormat="1">
      <c r="A40" s="243"/>
      <c r="B40" s="68" t="s">
        <v>171</v>
      </c>
      <c r="C40" s="226"/>
      <c r="D40" s="226"/>
      <c r="E40" s="72">
        <v>45716</v>
      </c>
      <c r="F40" s="228"/>
      <c r="G40" s="244">
        <f>'Dep-Vehicle monthly Dec 2026'!F31</f>
        <v>485714.29</v>
      </c>
      <c r="H40" s="245">
        <f t="shared" si="2"/>
        <v>145714.28699999998</v>
      </c>
      <c r="I40" s="245">
        <f t="shared" si="21"/>
        <v>340000.00299999997</v>
      </c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234"/>
      <c r="AC40" s="234"/>
      <c r="AD40" s="234"/>
      <c r="AE40" s="234"/>
      <c r="AF40" s="234"/>
      <c r="AG40" s="234"/>
      <c r="AH40" s="234"/>
      <c r="AI40" s="234"/>
      <c r="AJ40" s="229"/>
      <c r="AK40" s="234"/>
      <c r="AL40" s="229">
        <f t="shared" si="23"/>
        <v>9444.4445277777777</v>
      </c>
      <c r="AM40" s="234"/>
      <c r="AN40" s="235"/>
      <c r="AO40" s="235"/>
      <c r="AP40" s="206"/>
      <c r="AQ40" s="206">
        <f t="shared" si="22"/>
        <v>340000.00299999997</v>
      </c>
      <c r="AR40" s="236"/>
      <c r="AS40" s="215"/>
      <c r="AT40" s="154"/>
      <c r="AU40" s="246">
        <f>IF(AQ40&gt;H40,(AL40+AM40),0)</f>
        <v>9444.4445277777777</v>
      </c>
      <c r="AV40" s="238">
        <f>IF(AU40+IF(AU40="0","0",AU40)&gt;$AQ40,0,AU40)</f>
        <v>9444.4445277777777</v>
      </c>
      <c r="AW40" s="238">
        <f>IF(SUM($AU$40:AV40)+IF(AV40="0","0",AV40)&gt;$AQ40,0,AV40)</f>
        <v>9444.4445277777777</v>
      </c>
      <c r="AX40" s="238">
        <f>IF(SUM($AU$40:AW40)+IF(AW40="0","0",AW40)&gt;$AQ40,0,AW40)</f>
        <v>9444.4445277777777</v>
      </c>
      <c r="AY40" s="238">
        <f>IF(SUM($AU$40:AX40)+IF(AX40="0","0",AX40)&gt;$AQ40,0,AX40)</f>
        <v>9444.4445277777777</v>
      </c>
      <c r="AZ40" s="238">
        <f>IF(SUM($AU$40:AY40)+IF(AY40="0","0",AY40)&gt;$AQ40,0,AY40)</f>
        <v>9444.4445277777777</v>
      </c>
      <c r="BA40" s="238">
        <f>IF(SUM($AU$40:AZ40)+IF(AZ40="0","0",AZ40)&gt;$AQ40,0,AZ40)</f>
        <v>9444.4445277777777</v>
      </c>
      <c r="BB40" s="238">
        <f>IF(SUM($AU$40:BA40)+IF(BA40="0","0",BA40)&gt;$AQ40,0,BA40)</f>
        <v>9444.4445277777777</v>
      </c>
      <c r="BC40" s="238">
        <f>IF(SUM($AU$40:BB40)+IF(BB40="0","0",BB40)&gt;$AQ40,0,BB40)</f>
        <v>9444.4445277777777</v>
      </c>
      <c r="BD40" s="239">
        <f>IF(SUM($AU$40:BC40)+IF(BC40="0","0",BC40)&gt;$AQ40,0,BC40)</f>
        <v>9444.4445277777777</v>
      </c>
      <c r="BE40" s="237">
        <f>IF(SUM($AU$40:BD40)+IF(BD40="0","0",BD40)&gt;$AQ40,0,BD40)</f>
        <v>9444.4445277777777</v>
      </c>
      <c r="BF40" s="238">
        <f>IF(SUM($AU$40:BE40)+IF(BE40="0","0",BE40)&gt;$AQ40,0,BE40)</f>
        <v>9444.4445277777777</v>
      </c>
      <c r="BG40" s="238">
        <f>IF(SUM($AU$40:BF40)+IF(BF40="0","0",BF40)&gt;$AQ40,0,BF40)</f>
        <v>9444.4445277777777</v>
      </c>
      <c r="BH40" s="238">
        <f>IF(SUM($AU$40:BG40)+IF(BG40="0","0",BG40)&gt;$AQ40,0,BG40)</f>
        <v>9444.4445277777777</v>
      </c>
      <c r="BI40" s="238">
        <f>IF(SUM($AU$40:BH40)+IF(BH40="0","0",BH40)&gt;$AQ40,0,BH40)</f>
        <v>9444.4445277777777</v>
      </c>
      <c r="BJ40" s="238">
        <f>IF(SUM($AU$40:BI40)+IF(BI40="0","0",BI40)&gt;$AQ40,0,BI40)</f>
        <v>9444.4445277777777</v>
      </c>
      <c r="BK40" s="238">
        <f>IF(SUM($AU$40:BJ40)+IF(BJ40="0","0",BJ40)&gt;$AQ40,0,BJ40)</f>
        <v>9444.4445277777777</v>
      </c>
      <c r="BL40" s="238">
        <f>IF(SUM($AU$40:BK40)+IF(BK40="0","0",BK40)&gt;$AQ40,0,BK40)</f>
        <v>9444.4445277777777</v>
      </c>
      <c r="BM40" s="238">
        <f>IF(SUM($AU$40:BL40)+IF(BL40="0","0",BL40)&gt;$AQ40,0,BL40)</f>
        <v>9444.4445277777777</v>
      </c>
      <c r="BN40" s="238">
        <f>IF(SUM($AU$40:BM40)+IF(BM40="0","0",BM40)&gt;$AQ40,0,BM40)</f>
        <v>9444.4445277777777</v>
      </c>
      <c r="BO40" s="238">
        <f>IF(SUM($AU$40:BN40)+IF(BN40="0","0",BN40)&gt;$AQ40,0,BN40)</f>
        <v>9444.4445277777777</v>
      </c>
      <c r="BP40" s="239">
        <f>IF(SUM($AU$40:BO40)+IF(BO40="0","0",BO40)&gt;$AQ40,0,BO40)</f>
        <v>9444.4445277777777</v>
      </c>
      <c r="BQ40" s="237">
        <f>IF(SUM($AU$40:BP40)+IF(BP40="0","0",BP40)&gt;$AQ40,0,BP40)</f>
        <v>9444.4445277777777</v>
      </c>
      <c r="BR40" s="238">
        <f>IF(SUM($AU$40:BQ40)+IF(BQ40="0","0",BQ40)&gt;$AQ40,0,BQ40)</f>
        <v>9444.4445277777777</v>
      </c>
      <c r="BS40" s="238">
        <f>IF(SUM($AU$40:BR40)+IF(BR40="0","0",BR40)&gt;$AQ40,0,BR40)</f>
        <v>9444.4445277777777</v>
      </c>
      <c r="BT40" s="238">
        <f>IF(SUM($AU$40:BS40)+IF(BS40="0","0",BS40)&gt;$AQ40,0,BS40)</f>
        <v>9444.4445277777777</v>
      </c>
      <c r="BU40" s="238">
        <f>IF(SUM($AU$40:BT40)+IF(BT40="0","0",BT40)&gt;$AQ40,0,BT40)</f>
        <v>9444.4445277777777</v>
      </c>
      <c r="BV40" s="238">
        <f>IF(SUM($AU$40:BU40)+IF(BU40="0","0",BU40)&gt;$AQ40,0,BU40)</f>
        <v>9444.4445277777777</v>
      </c>
      <c r="BW40" s="238">
        <f>IF(SUM($AU$40:BV40)+IF(BV40="0","0",BV40)&gt;$AQ40,0,BV40)</f>
        <v>9444.4445277777777</v>
      </c>
      <c r="BX40" s="238">
        <f>IF(SUM($AU$40:BW40)+IF(BW40="0","0",BW40)&gt;$AQ40,0,BW40)</f>
        <v>9444.4445277777777</v>
      </c>
      <c r="BY40" s="238">
        <f>IF(SUM($AU$40:BX40)+IF(BX40="0","0",BX40)&gt;$AQ40,0,BX40)</f>
        <v>9444.4445277777777</v>
      </c>
      <c r="BZ40" s="238">
        <f>IF(SUM($AU$40:BY40)+IF(BY40="0","0",BY40)&gt;$AQ40,0,BY40)</f>
        <v>9444.4445277777777</v>
      </c>
      <c r="CA40" s="238">
        <f>IF(SUM($AU$40:BZ40)+IF(BZ40="0","0",BZ40)&gt;$AQ40,0,BZ40)</f>
        <v>9444.4445277777777</v>
      </c>
      <c r="CB40" s="239">
        <f>IF(SUM($AU$40:CA40)+IF(CA40="0","0",CA40)&gt;$AQ40,0,CA40)</f>
        <v>9444.4445277777777</v>
      </c>
      <c r="CC40" s="237">
        <f>IF(SUM($AU$40:CB40)+IF(CB40="0","0",CB40)&gt;$AQ40,0,CB40)</f>
        <v>9444.4445277777777</v>
      </c>
      <c r="CD40" s="238">
        <f>IF(SUM($AU$40:CC40)+IF(CC40="0","0",CC40)&gt;$AQ40,0,CC40)</f>
        <v>9444.4445277777777</v>
      </c>
      <c r="CE40" s="145">
        <f>IF(SUM($AU$40:CD40)+IF(CD40="0","0",CD40)&gt;$AQ40,0,CD40)</f>
        <v>0</v>
      </c>
      <c r="CF40" s="145">
        <f>IF(SUM($AU$40:CE40)+IF(CE40="0","0",CE40)&gt;$AQ40,0,CE40)</f>
        <v>0</v>
      </c>
      <c r="CG40" s="145">
        <f>IF(SUM($AU$40:CF40)+IF(CF40="0","0",CF40)&gt;$AQ40,0,CF40)</f>
        <v>0</v>
      </c>
      <c r="CH40" s="145">
        <f>IF(SUM($AU$40:CG40)+IF(CG40="0","0",CG40)&gt;$AQ40,0,CG40)</f>
        <v>0</v>
      </c>
      <c r="CI40" s="145">
        <f>IF(SUM($AU$40:CH40)+IF(CH40="0","0",CH40)&gt;$AQ40,0,CH40)</f>
        <v>0</v>
      </c>
      <c r="CJ40" s="145">
        <f>IF(SUM($AU$40:CI40)+IF(CI40="0","0",CI40)&gt;$AQ40,0,CI40)</f>
        <v>0</v>
      </c>
      <c r="CK40" s="145">
        <f>IF(SUM($AU$40:CJ40)+IF(CJ40="0","0",CJ40)&gt;$AQ40,0,CJ40)</f>
        <v>0</v>
      </c>
      <c r="CL40" s="145">
        <f>IF(SUM($AU$40:CK40)+IF(CK40="0","0",CK40)&gt;$AQ40,0,CK40)</f>
        <v>0</v>
      </c>
      <c r="CM40" s="145">
        <f>IF(SUM($AU$40:CL40)+IF(CL40="0","0",CL40)&gt;$AQ40,0,CL40)</f>
        <v>0</v>
      </c>
      <c r="CN40" s="224">
        <f>IF(SUM($AU$40:CM40)+IF(CM40="0","0",CM40)&gt;$AQ40,0,CM40)</f>
        <v>0</v>
      </c>
      <c r="CO40" s="241">
        <f>IF(SUM($AU$40:CN40)+IF(CN40="0","0",CN40)&gt;$AQ40,0,CN40)</f>
        <v>0</v>
      </c>
      <c r="CP40" s="241">
        <f>IF(SUM($AU$40:CO40)+IF(CO40="0","0",CO40)&gt;$AQ40,0,CO40)</f>
        <v>0</v>
      </c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</row>
    <row r="41" spans="1:158" s="70" customFormat="1">
      <c r="A41" s="243"/>
      <c r="B41" s="68" t="s">
        <v>239</v>
      </c>
      <c r="C41" s="226"/>
      <c r="D41" s="226"/>
      <c r="E41" s="72">
        <v>45716</v>
      </c>
      <c r="F41" s="228"/>
      <c r="G41" s="244">
        <f>'Dep-Vehicle monthly Dec 2026'!F28</f>
        <v>480124.47000000003</v>
      </c>
      <c r="H41" s="245">
        <f t="shared" si="2"/>
        <v>144037.34100000001</v>
      </c>
      <c r="I41" s="245">
        <f t="shared" si="21"/>
        <v>336087.12900000002</v>
      </c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29"/>
      <c r="AA41" s="229"/>
      <c r="AB41" s="234"/>
      <c r="AC41" s="234"/>
      <c r="AD41" s="234"/>
      <c r="AE41" s="234"/>
      <c r="AF41" s="234"/>
      <c r="AG41" s="234"/>
      <c r="AH41" s="234"/>
      <c r="AI41" s="234"/>
      <c r="AJ41" s="229"/>
      <c r="AK41" s="234"/>
      <c r="AL41" s="229">
        <f t="shared" si="23"/>
        <v>9335.7535833333332</v>
      </c>
      <c r="AM41" s="234"/>
      <c r="AN41" s="235"/>
      <c r="AO41" s="235"/>
      <c r="AP41" s="206"/>
      <c r="AQ41" s="206">
        <f t="shared" si="22"/>
        <v>336087.12900000002</v>
      </c>
      <c r="AR41" s="236"/>
      <c r="AS41" s="215"/>
      <c r="AT41" s="154"/>
      <c r="AU41" s="246">
        <f>IF(AQ41&gt;H41,(AL41+AM41),0)</f>
        <v>9335.7535833333332</v>
      </c>
      <c r="AV41" s="238">
        <f>IF(AU41+IF(AU41="0","0",AU41)&gt;$AQ41,0,AU41)</f>
        <v>9335.7535833333332</v>
      </c>
      <c r="AW41" s="238">
        <f>IF(SUM($AU$41:AV41)+IF(AV41="0","0",AV41)&gt;$AQ41,0,AV41)</f>
        <v>9335.7535833333332</v>
      </c>
      <c r="AX41" s="238">
        <f>IF(SUM($AU$41:AW41)+IF(AW41="0","0",AW41)&gt;$AQ41,0,AW41)</f>
        <v>9335.7535833333332</v>
      </c>
      <c r="AY41" s="238">
        <f>IF(SUM($AU$41:AX41)+IF(AX41="0","0",AX41)&gt;$AQ41,0,AX41)</f>
        <v>9335.7535833333332</v>
      </c>
      <c r="AZ41" s="238">
        <f>IF(SUM($AU$41:AY41)+IF(AY41="0","0",AY41)&gt;$AQ41,0,AY41)</f>
        <v>9335.7535833333332</v>
      </c>
      <c r="BA41" s="238">
        <f>IF(SUM($AU$41:AZ41)+IF(AZ41="0","0",AZ41)&gt;$AQ41,0,AZ41)</f>
        <v>9335.7535833333332</v>
      </c>
      <c r="BB41" s="238">
        <f>IF(SUM($AU$41:BA41)+IF(BA41="0","0",BA41)&gt;$AQ41,0,BA41)</f>
        <v>9335.7535833333332</v>
      </c>
      <c r="BC41" s="238">
        <f>IF(SUM($AU$41:BB41)+IF(BB41="0","0",BB41)&gt;$AQ41,0,BB41)</f>
        <v>9335.7535833333332</v>
      </c>
      <c r="BD41" s="239">
        <f>IF(SUM($AU$41:BC41)+IF(BC41="0","0",BC41)&gt;$AQ41,0,BC41)</f>
        <v>9335.7535833333332</v>
      </c>
      <c r="BE41" s="237">
        <f>IF(SUM($AU$41:BD41)+IF(BD41="0","0",BD41)&gt;$AQ41,0,BD41)</f>
        <v>9335.7535833333332</v>
      </c>
      <c r="BF41" s="238">
        <f>IF(SUM($AU$41:BE41)+IF(BE41="0","0",BE41)&gt;$AQ41,0,BE41)</f>
        <v>9335.7535833333332</v>
      </c>
      <c r="BG41" s="238">
        <f>IF(SUM($AU$41:BF41)+IF(BF41="0","0",BF41)&gt;$AQ41,0,BF41)</f>
        <v>9335.7535833333332</v>
      </c>
      <c r="BH41" s="238">
        <f>IF(SUM($AU$41:BG41)+IF(BG41="0","0",BG41)&gt;$AQ41,0,BG41)</f>
        <v>9335.7535833333332</v>
      </c>
      <c r="BI41" s="238">
        <f>IF(SUM($AU$41:BH41)+IF(BH41="0","0",BH41)&gt;$AQ41,0,BH41)</f>
        <v>9335.7535833333332</v>
      </c>
      <c r="BJ41" s="238">
        <f>IF(SUM($AU$41:BI41)+IF(BI41="0","0",BI41)&gt;$AQ41,0,BI41)</f>
        <v>9335.7535833333332</v>
      </c>
      <c r="BK41" s="238">
        <f>IF(SUM($AU$41:BJ41)+IF(BJ41="0","0",BJ41)&gt;$AQ41,0,BJ41)</f>
        <v>9335.7535833333332</v>
      </c>
      <c r="BL41" s="238">
        <f>IF(SUM($AU$41:BK41)+IF(BK41="0","0",BK41)&gt;$AQ41,0,BK41)</f>
        <v>9335.7535833333332</v>
      </c>
      <c r="BM41" s="238">
        <f>IF(SUM($AU$41:BL41)+IF(BL41="0","0",BL41)&gt;$AQ41,0,BL41)</f>
        <v>9335.7535833333332</v>
      </c>
      <c r="BN41" s="238">
        <f>IF(SUM($AU$41:BM41)+IF(BM41="0","0",BM41)&gt;$AQ41,0,BM41)</f>
        <v>9335.7535833333332</v>
      </c>
      <c r="BO41" s="238">
        <f>IF(SUM($AU$41:BN41)+IF(BN41="0","0",BN41)&gt;$AQ41,0,BN41)</f>
        <v>9335.7535833333332</v>
      </c>
      <c r="BP41" s="239">
        <f>IF(SUM($AU$41:BO41)+IF(BO41="0","0",BO41)&gt;$AQ41,0,BO41)</f>
        <v>9335.7535833333332</v>
      </c>
      <c r="BQ41" s="237">
        <f>IF(SUM($AU$41:BP41)+IF(BP41="0","0",BP41)&gt;$AQ41,0,BP41)</f>
        <v>9335.7535833333332</v>
      </c>
      <c r="BR41" s="238">
        <f>IF(SUM($AU$41:BQ41)+IF(BQ41="0","0",BQ41)&gt;$AQ41,0,BQ41)</f>
        <v>9335.7535833333332</v>
      </c>
      <c r="BS41" s="238">
        <f>IF(SUM($AU$41:BR41)+IF(BR41="0","0",BR41)&gt;$AQ41,0,BR41)</f>
        <v>9335.7535833333332</v>
      </c>
      <c r="BT41" s="238">
        <f>IF(SUM($AU$41:BS41)+IF(BS41="0","0",BS41)&gt;$AQ41,0,BS41)</f>
        <v>9335.7535833333332</v>
      </c>
      <c r="BU41" s="238">
        <f>IF(SUM($AU$41:BT41)+IF(BT41="0","0",BT41)&gt;$AQ41,0,BT41)</f>
        <v>9335.7535833333332</v>
      </c>
      <c r="BV41" s="238">
        <f>IF(SUM($AU$41:BU41)+IF(BU41="0","0",BU41)&gt;$AQ41,0,BU41)</f>
        <v>9335.7535833333332</v>
      </c>
      <c r="BW41" s="238">
        <f>IF(SUM($AU$41:BV41)+IF(BV41="0","0",BV41)&gt;$AQ41,0,BV41)</f>
        <v>9335.7535833333332</v>
      </c>
      <c r="BX41" s="238">
        <f>IF(SUM($AU$41:BW41)+IF(BW41="0","0",BW41)&gt;$AQ41,0,BW41)</f>
        <v>9335.7535833333332</v>
      </c>
      <c r="BY41" s="238">
        <f>IF(SUM($AU$41:BX41)+IF(BX41="0","0",BX41)&gt;$AQ41,0,BX41)</f>
        <v>9335.7535833333332</v>
      </c>
      <c r="BZ41" s="238">
        <f>IF(SUM($AU$41:BY41)+IF(BY41="0","0",BY41)&gt;$AQ41,0,BY41)</f>
        <v>9335.7535833333332</v>
      </c>
      <c r="CA41" s="238">
        <f>IF(SUM($AU$41:BZ41)+IF(BZ41="0","0",BZ41)&gt;$AQ41,0,BZ41)</f>
        <v>9335.7535833333332</v>
      </c>
      <c r="CB41" s="239">
        <f>IF(SUM($AU$41:CA41)+IF(CA41="0","0",CA41)&gt;$AQ41,0,CA41)</f>
        <v>9335.7535833333332</v>
      </c>
      <c r="CC41" s="237">
        <f>IF(SUM($AU$41:CB41)+IF(CB41="0","0",CB41)&gt;$AQ41,0,CB41)</f>
        <v>9335.7535833333332</v>
      </c>
      <c r="CD41" s="238">
        <f>IF(SUM($AU$41:CC41)+IF(CC41="0","0",CC41)&gt;$AQ41,0,CC41)</f>
        <v>9335.7535833333332</v>
      </c>
      <c r="CE41" s="145">
        <f>IF(SUM($AU$41:CD41)+IF(CD41="0","0",CD41)&gt;$AQ41,0,CD41)</f>
        <v>0</v>
      </c>
      <c r="CF41" s="145">
        <f>IF(SUM($AU$41:CE41)+IF(CE41="0","0",CE41)&gt;$AQ41,0,CE41)</f>
        <v>0</v>
      </c>
      <c r="CG41" s="145">
        <f>IF(SUM($AU$41:CF41)+IF(CF41="0","0",CF41)&gt;$AQ41,0,CF41)</f>
        <v>0</v>
      </c>
      <c r="CH41" s="145">
        <f>IF(SUM($AU$41:CG41)+IF(CG41="0","0",CG41)&gt;$AQ41,0,CG41)</f>
        <v>0</v>
      </c>
      <c r="CI41" s="145">
        <f>IF(SUM($AU$41:CH41)+IF(CH41="0","0",CH41)&gt;$AQ41,0,CH41)</f>
        <v>0</v>
      </c>
      <c r="CJ41" s="145">
        <f>IF(SUM($AU$41:CI41)+IF(CI41="0","0",CI41)&gt;$AQ41,0,CI41)</f>
        <v>0</v>
      </c>
      <c r="CK41" s="145">
        <f>IF(SUM($AU$41:CJ41)+IF(CJ41="0","0",CJ41)&gt;$AQ41,0,CJ41)</f>
        <v>0</v>
      </c>
      <c r="CL41" s="145">
        <f>IF(SUM($AU$41:CK41)+IF(CK41="0","0",CK41)&gt;$AQ41,0,CK41)</f>
        <v>0</v>
      </c>
      <c r="CM41" s="145">
        <f>IF(SUM($AU$41:CL41)+IF(CL41="0","0",CL41)&gt;$AQ41,0,CL41)</f>
        <v>0</v>
      </c>
      <c r="CN41" s="224">
        <f>IF(SUM($AU$41:CM41)+IF(CM41="0","0",CM41)&gt;$AQ41,0,CM41)</f>
        <v>0</v>
      </c>
      <c r="CO41" s="241">
        <f>IF(SUM($AU$41:CN41)+IF(CN41="0","0",CN41)&gt;$AQ41,0,CN41)</f>
        <v>0</v>
      </c>
      <c r="CP41" s="241">
        <f>IF(SUM($AU$41:CO41)+IF(CO41="0","0",CO41)&gt;$AQ41,0,CO41)</f>
        <v>0</v>
      </c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</row>
    <row r="42" spans="1:158" s="70" customFormat="1">
      <c r="A42" s="243"/>
      <c r="B42" s="68" t="s">
        <v>161</v>
      </c>
      <c r="C42" s="226"/>
      <c r="D42" s="226"/>
      <c r="E42" s="72">
        <v>45747</v>
      </c>
      <c r="F42" s="228"/>
      <c r="G42" s="244">
        <f>'Dep-Vehicle monthly Dec 2026'!F29</f>
        <v>576341.80999999994</v>
      </c>
      <c r="H42" s="245">
        <f t="shared" si="2"/>
        <v>172902.54299999998</v>
      </c>
      <c r="I42" s="245">
        <f t="shared" si="21"/>
        <v>403439.26699999993</v>
      </c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229"/>
      <c r="AA42" s="229"/>
      <c r="AB42" s="229"/>
      <c r="AC42" s="229"/>
      <c r="AD42" s="229"/>
      <c r="AE42" s="229"/>
      <c r="AF42" s="229"/>
      <c r="AG42" s="229"/>
      <c r="AH42" s="229"/>
      <c r="AI42" s="229"/>
      <c r="AJ42" s="229"/>
      <c r="AK42" s="229"/>
      <c r="AL42" s="229">
        <f t="shared" si="23"/>
        <v>11206.646305555554</v>
      </c>
      <c r="AM42" s="229"/>
      <c r="AN42" s="235"/>
      <c r="AO42" s="235"/>
      <c r="AP42" s="206"/>
      <c r="AQ42" s="206">
        <f t="shared" si="22"/>
        <v>403439.26699999993</v>
      </c>
      <c r="AR42" s="236"/>
      <c r="AS42" s="215"/>
      <c r="AT42" s="154"/>
      <c r="AU42" s="154"/>
      <c r="AV42" s="246">
        <f>IF(AQ42&gt;H42,(AL42+AM42),0)</f>
        <v>11206.646305555554</v>
      </c>
      <c r="AW42" s="238">
        <f>IF(AV42+IF(AV42="0","0",AV42)&gt;$AQ42,0,AV42)</f>
        <v>11206.646305555554</v>
      </c>
      <c r="AX42" s="238">
        <f>IF(SUM($AV$42:AW42)+IF(AW42="0","0",AW42)&gt;$AQ42,0,AW42)</f>
        <v>11206.646305555554</v>
      </c>
      <c r="AY42" s="238">
        <f>IF(SUM($AV$42:AX42)+IF(AX42="0","0",AX42)&gt;$AQ42,0,AX42)</f>
        <v>11206.646305555554</v>
      </c>
      <c r="AZ42" s="238">
        <f>IF(SUM($AV$42:AY42)+IF(AY42="0","0",AY42)&gt;$AQ42,0,AY42)</f>
        <v>11206.646305555554</v>
      </c>
      <c r="BA42" s="238">
        <f>IF(SUM($AV$42:AZ42)+IF(AZ42="0","0",AZ42)&gt;$AQ42,0,AZ42)</f>
        <v>11206.646305555554</v>
      </c>
      <c r="BB42" s="238">
        <f>IF(SUM($AV$42:BA42)+IF(BA42="0","0",BA42)&gt;$AQ42,0,BA42)</f>
        <v>11206.646305555554</v>
      </c>
      <c r="BC42" s="238">
        <f>IF(SUM($AV$42:BB42)+IF(BB42="0","0",BB42)&gt;$AQ42,0,BB42)</f>
        <v>11206.646305555554</v>
      </c>
      <c r="BD42" s="239">
        <f>IF(SUM($AV$42:BC42)+IF(BC42="0","0",BC42)&gt;$AQ42,0,BC42)</f>
        <v>11206.646305555554</v>
      </c>
      <c r="BE42" s="237">
        <f>IF(SUM($AV$42:BD42)+IF(BD42="0","0",BD42)&gt;$AQ42,0,BD42)</f>
        <v>11206.646305555554</v>
      </c>
      <c r="BF42" s="238">
        <f>IF(SUM($AV$42:BE42)+IF(BE42="0","0",BE42)&gt;$AQ42,0,BE42)</f>
        <v>11206.646305555554</v>
      </c>
      <c r="BG42" s="238">
        <f>IF(SUM($AV$42:BF42)+IF(BF42="0","0",BF42)&gt;$AQ42,0,BF42)</f>
        <v>11206.646305555554</v>
      </c>
      <c r="BH42" s="238">
        <f>IF(SUM($AV$42:BG42)+IF(BG42="0","0",BG42)&gt;$AQ42,0,BG42)</f>
        <v>11206.646305555554</v>
      </c>
      <c r="BI42" s="238">
        <f>IF(SUM($AV$42:BH42)+IF(BH42="0","0",BH42)&gt;$AQ42,0,BH42)</f>
        <v>11206.646305555554</v>
      </c>
      <c r="BJ42" s="238">
        <f>IF(SUM($AV$42:BI42)+IF(BI42="0","0",BI42)&gt;$AQ42,0,BI42)</f>
        <v>11206.646305555554</v>
      </c>
      <c r="BK42" s="238">
        <f>IF(SUM($AV$42:BJ42)+IF(BJ42="0","0",BJ42)&gt;$AQ42,0,BJ42)</f>
        <v>11206.646305555554</v>
      </c>
      <c r="BL42" s="238">
        <f>IF(SUM($AV$42:BK42)+IF(BK42="0","0",BK42)&gt;$AQ42,0,BK42)</f>
        <v>11206.646305555554</v>
      </c>
      <c r="BM42" s="238">
        <f>IF(SUM($AV$42:BL42)+IF(BL42="0","0",BL42)&gt;$AQ42,0,BL42)</f>
        <v>11206.646305555554</v>
      </c>
      <c r="BN42" s="238">
        <f>IF(SUM($AV$42:BM42)+IF(BM42="0","0",BM42)&gt;$AQ42,0,BM42)</f>
        <v>11206.646305555554</v>
      </c>
      <c r="BO42" s="238">
        <f>IF(SUM($AV$42:BN42)+IF(BN42="0","0",BN42)&gt;$AQ42,0,BN42)</f>
        <v>11206.646305555554</v>
      </c>
      <c r="BP42" s="239">
        <f>IF(SUM($AV$42:BO42)+IF(BO42="0","0",BO42)&gt;$AQ42,0,BO42)</f>
        <v>11206.646305555554</v>
      </c>
      <c r="BQ42" s="237">
        <f>IF(SUM($AV$42:BP42)+IF(BP42="0","0",BP42)&gt;$AQ42,0,BP42)</f>
        <v>11206.646305555554</v>
      </c>
      <c r="BR42" s="238">
        <f>IF(SUM($AV$42:BQ42)+IF(BQ42="0","0",BQ42)&gt;$AQ42,0,BQ42)</f>
        <v>11206.646305555554</v>
      </c>
      <c r="BS42" s="238">
        <f>IF(SUM($AV$42:BR42)+IF(BR42="0","0",BR42)&gt;$AQ42,0,BR42)</f>
        <v>11206.646305555554</v>
      </c>
      <c r="BT42" s="238">
        <f>IF(SUM($AV$42:BS42)+IF(BS42="0","0",BS42)&gt;$AQ42,0,BS42)</f>
        <v>11206.646305555554</v>
      </c>
      <c r="BU42" s="238">
        <f>IF(SUM($AV$42:BT42)+IF(BT42="0","0",BT42)&gt;$AQ42,0,BT42)</f>
        <v>11206.646305555554</v>
      </c>
      <c r="BV42" s="238">
        <f>IF(SUM($AV$42:BU42)+IF(BU42="0","0",BU42)&gt;$AQ42,0,BU42)</f>
        <v>11206.646305555554</v>
      </c>
      <c r="BW42" s="238">
        <f>IF(SUM($AV$42:BV42)+IF(BV42="0","0",BV42)&gt;$AQ42,0,BV42)</f>
        <v>11206.646305555554</v>
      </c>
      <c r="BX42" s="238">
        <f>IF(SUM($AV$42:BW42)+IF(BW42="0","0",BW42)&gt;$AQ42,0,BW42)</f>
        <v>11206.646305555554</v>
      </c>
      <c r="BY42" s="238">
        <f>IF(SUM($AV$42:BX42)+IF(BX42="0","0",BX42)&gt;$AQ42,0,BX42)</f>
        <v>11206.646305555554</v>
      </c>
      <c r="BZ42" s="238">
        <f>IF(SUM($AV$42:BY42)+IF(BY42="0","0",BY42)&gt;$AQ42,0,BY42)</f>
        <v>11206.646305555554</v>
      </c>
      <c r="CA42" s="238">
        <f>IF(SUM($AV$42:BZ42)+IF(BZ42="0","0",BZ42)&gt;$AQ42,0,BZ42)</f>
        <v>11206.646305555554</v>
      </c>
      <c r="CB42" s="239">
        <f>IF(SUM($AV$42:CA42)+IF(CA42="0","0",CA42)&gt;$AQ42,0,CA42)</f>
        <v>11206.646305555554</v>
      </c>
      <c r="CC42" s="237">
        <f>IF(SUM($AV$42:CB42)+IF(CB42="0","0",CB42)&gt;$AQ42,0,CB42)</f>
        <v>11206.646305555554</v>
      </c>
      <c r="CD42" s="238">
        <f>IF(SUM($AV$42:CC42)+IF(CC42="0","0",CC42)&gt;$AQ42,0,CC42)</f>
        <v>11206.646305555554</v>
      </c>
      <c r="CE42" s="238">
        <f>IF(SUM($AV$42:CD42)+IF(CD42="0","0",CD42)&gt;$AQ42,0,CD42)</f>
        <v>11206.646305555554</v>
      </c>
      <c r="CF42" s="145">
        <f>IF(SUM($AV$42:CE42)+IF(CE42="0","0",CE42)&gt;$AQ42,0,CE42)</f>
        <v>0</v>
      </c>
      <c r="CG42" s="145">
        <f>IF(SUM($AV$42:CF42)+IF(CF42="0","0",CF42)&gt;$AQ42,0,CF42)</f>
        <v>0</v>
      </c>
      <c r="CH42" s="145">
        <f>IF(SUM($AV$42:CG42)+IF(CG42="0","0",CG42)&gt;$AQ42,0,CG42)</f>
        <v>0</v>
      </c>
      <c r="CI42" s="145">
        <f>IF(SUM($AV$42:CH42)+IF(CH42="0","0",CH42)&gt;$AQ42,0,CH42)</f>
        <v>0</v>
      </c>
      <c r="CJ42" s="145">
        <f>IF(SUM($AV$42:CI42)+IF(CI42="0","0",CI42)&gt;$AQ42,0,CI42)</f>
        <v>0</v>
      </c>
      <c r="CK42" s="145">
        <f>IF(SUM($AV$42:CJ42)+IF(CJ42="0","0",CJ42)&gt;$AQ42,0,CJ42)</f>
        <v>0</v>
      </c>
      <c r="CL42" s="145">
        <f>IF(SUM($AV$42:CK42)+IF(CK42="0","0",CK42)&gt;$AQ42,0,CK42)</f>
        <v>0</v>
      </c>
      <c r="CM42" s="145">
        <f>IF(SUM($AV$42:CL42)+IF(CL42="0","0",CL42)&gt;$AQ42,0,CL42)</f>
        <v>0</v>
      </c>
      <c r="CN42" s="224">
        <f>IF(SUM($AV$42:CM42)+IF(CM42="0","0",CM42)&gt;$AQ42,0,CM42)</f>
        <v>0</v>
      </c>
      <c r="CO42" s="241">
        <f>IF(SUM($AV$42:CN42)+IF(CN42="0","0",CN42)&gt;$AQ42,0,CN42)</f>
        <v>0</v>
      </c>
      <c r="CP42" s="241">
        <f>IF(SUM($AV$42:CO42)+IF(CO42="0","0",CO42)&gt;$AQ42,0,CO42)</f>
        <v>0</v>
      </c>
      <c r="CQ42" s="241">
        <f>IF(SUM($AV$42:CP42)+IF(CP42="0","0",CP42)&gt;$AQ42,0,CP42)</f>
        <v>0</v>
      </c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</row>
    <row r="43" spans="1:158">
      <c r="A43" s="76"/>
      <c r="B43" s="68" t="s">
        <v>258</v>
      </c>
      <c r="C43" s="68"/>
      <c r="D43" s="68"/>
      <c r="E43" s="72">
        <v>45412</v>
      </c>
      <c r="F43" s="83"/>
      <c r="G43" s="244">
        <f>'Dep-Vehicle monthly Dec 2026'!F32</f>
        <v>504761.9</v>
      </c>
      <c r="H43" s="245">
        <f t="shared" si="2"/>
        <v>151428.57</v>
      </c>
      <c r="I43" s="245">
        <f t="shared" si="21"/>
        <v>353333.33</v>
      </c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229">
        <f t="shared" si="23"/>
        <v>9814.8147222222233</v>
      </c>
      <c r="AM43" s="79"/>
      <c r="AN43" s="80"/>
      <c r="AO43" s="80"/>
      <c r="AP43" s="81"/>
      <c r="AQ43" s="206">
        <f t="shared" si="22"/>
        <v>353333.33</v>
      </c>
      <c r="AR43" s="236"/>
      <c r="AS43" s="215"/>
      <c r="AT43" s="154"/>
      <c r="AU43" s="154"/>
      <c r="AV43" s="154"/>
      <c r="AW43" s="246">
        <f>IF(AQ43&gt;H43,(AL43+AM43),0)</f>
        <v>9814.8147222222233</v>
      </c>
      <c r="AX43" s="238">
        <f>IF(AW43+IF(AW43="0","0",AW43)&gt;$AQ43,0,AW43)</f>
        <v>9814.8147222222233</v>
      </c>
      <c r="AY43" s="238">
        <f>IF(SUM($AW$43:AX43)+IF(AX43="0","0",AX43)&gt;$AQ43,0,AX43)</f>
        <v>9814.8147222222233</v>
      </c>
      <c r="AZ43" s="238">
        <f>IF(SUM($AW$43:AY43)+IF(AY43="0","0",AY43)&gt;$AQ43,0,AY43)</f>
        <v>9814.8147222222233</v>
      </c>
      <c r="BA43" s="238">
        <f>IF(SUM($AW$43:AZ43)+IF(AZ43="0","0",AZ43)&gt;$AQ43,0,AZ43)</f>
        <v>9814.8147222222233</v>
      </c>
      <c r="BB43" s="238">
        <f>IF(SUM($AW$43:BA43)+IF(BA43="0","0",BA43)&gt;$AQ43,0,BA43)</f>
        <v>9814.8147222222233</v>
      </c>
      <c r="BC43" s="238">
        <f>IF(SUM($AW$43:BB43)+IF(BB43="0","0",BB43)&gt;$AQ43,0,BB43)</f>
        <v>9814.8147222222233</v>
      </c>
      <c r="BD43" s="239">
        <f>IF(SUM($AW$43:BC43)+IF(BC43="0","0",BC43)&gt;$AQ43,0,BC43)</f>
        <v>9814.8147222222233</v>
      </c>
      <c r="BE43" s="237">
        <f>IF(SUM($AW$43:BD43)+IF(BD43="0","0",BD43)&gt;$AQ43,0,BD43)</f>
        <v>9814.8147222222233</v>
      </c>
      <c r="BF43" s="238">
        <f>IF(SUM($AW$43:BE43)+IF(BE43="0","0",BE43)&gt;$AQ43,0,BE43)</f>
        <v>9814.8147222222233</v>
      </c>
      <c r="BG43" s="238">
        <f>IF(SUM($AW$43:BF43)+IF(BF43="0","0",BF43)&gt;$AQ43,0,BF43)</f>
        <v>9814.8147222222233</v>
      </c>
      <c r="BH43" s="238">
        <f>IF(SUM($AW$43:BG43)+IF(BG43="0","0",BG43)&gt;$AQ43,0,BG43)</f>
        <v>9814.8147222222233</v>
      </c>
      <c r="BI43" s="238">
        <f>IF(SUM($AW$43:BH43)+IF(BH43="0","0",BH43)&gt;$AQ43,0,BH43)</f>
        <v>9814.8147222222233</v>
      </c>
      <c r="BJ43" s="238">
        <f>IF(SUM($AW$43:BI43)+IF(BI43="0","0",BI43)&gt;$AQ43,0,BI43)</f>
        <v>9814.8147222222233</v>
      </c>
      <c r="BK43" s="238">
        <f>IF(SUM($AW$43:BJ43)+IF(BJ43="0","0",BJ43)&gt;$AQ43,0,BJ43)</f>
        <v>9814.8147222222233</v>
      </c>
      <c r="BL43" s="238">
        <f>IF(SUM($AW$43:BK43)+IF(BK43="0","0",BK43)&gt;$AQ43,0,BK43)</f>
        <v>9814.8147222222233</v>
      </c>
      <c r="BM43" s="238">
        <f>IF(SUM($AW$43:BL43)+IF(BL43="0","0",BL43)&gt;$AQ43,0,BL43)</f>
        <v>9814.8147222222233</v>
      </c>
      <c r="BN43" s="238">
        <f>IF(SUM($AW$43:BM43)+IF(BM43="0","0",BM43)&gt;$AQ43,0,BM43)</f>
        <v>9814.8147222222233</v>
      </c>
      <c r="BO43" s="238">
        <f>IF(SUM($AW$43:BN43)+IF(BN43="0","0",BN43)&gt;$AQ43,0,BN43)</f>
        <v>9814.8147222222233</v>
      </c>
      <c r="BP43" s="239">
        <f>IF(SUM($AW$43:BO43)+IF(BO43="0","0",BO43)&gt;$AQ43,0,BO43)</f>
        <v>9814.8147222222233</v>
      </c>
      <c r="BQ43" s="237">
        <f>IF(SUM($AW$43:BP43)+IF(BP43="0","0",BP43)&gt;$AQ43,0,BP43)</f>
        <v>9814.8147222222233</v>
      </c>
      <c r="BR43" s="238">
        <f>IF(SUM($AW$43:BQ43)+IF(BQ43="0","0",BQ43)&gt;$AQ43,0,BQ43)</f>
        <v>9814.8147222222233</v>
      </c>
      <c r="BS43" s="238">
        <f>IF(SUM($AW$43:BR43)+IF(BR43="0","0",BR43)&gt;$AQ43,0,BR43)</f>
        <v>9814.8147222222233</v>
      </c>
      <c r="BT43" s="238">
        <f>IF(SUM($AW$43:BS43)+IF(BS43="0","0",BS43)&gt;$AQ43,0,BS43)</f>
        <v>9814.8147222222233</v>
      </c>
      <c r="BU43" s="238">
        <f>IF(SUM($AW$43:BT43)+IF(BT43="0","0",BT43)&gt;$AQ43,0,BT43)</f>
        <v>9814.8147222222233</v>
      </c>
      <c r="BV43" s="238">
        <f>IF(SUM($AW$43:BU43)+IF(BU43="0","0",BU43)&gt;$AQ43,0,BU43)</f>
        <v>9814.8147222222233</v>
      </c>
      <c r="BW43" s="238">
        <f>IF(SUM($AW$43:BV43)+IF(BV43="0","0",BV43)&gt;$AQ43,0,BV43)</f>
        <v>9814.8147222222233</v>
      </c>
      <c r="BX43" s="238">
        <f>IF(SUM($AW$43:BW43)+IF(BW43="0","0",BW43)&gt;$AQ43,0,BW43)</f>
        <v>9814.8147222222233</v>
      </c>
      <c r="BY43" s="238">
        <f>IF(SUM($AW$43:BX43)+IF(BX43="0","0",BX43)&gt;$AQ43,0,BX43)</f>
        <v>9814.8147222222233</v>
      </c>
      <c r="BZ43" s="238">
        <f>IF(SUM($AW$43:BY43)+IF(BY43="0","0",BY43)&gt;$AQ43,0,BY43)</f>
        <v>9814.8147222222233</v>
      </c>
      <c r="CA43" s="238">
        <f>IF(SUM($AW$43:BZ43)+IF(BZ43="0","0",BZ43)&gt;$AQ43,0,BZ43)</f>
        <v>9814.8147222222233</v>
      </c>
      <c r="CB43" s="239">
        <f>IF(SUM($AW$43:CA43)+IF(CA43="0","0",CA43)&gt;$AQ43,0,CA43)</f>
        <v>9814.8147222222233</v>
      </c>
      <c r="CC43" s="237">
        <f>IF(SUM($AW$43:CB43)+IF(CB43="0","0",CB43)&gt;$AQ43,0,CB43)</f>
        <v>9814.8147222222233</v>
      </c>
      <c r="CD43" s="238">
        <f>IF(SUM($AW$43:CC43)+IF(CC43="0","0",CC43)&gt;$AQ43,0,CC43)</f>
        <v>9814.8147222222233</v>
      </c>
      <c r="CE43" s="238">
        <f>IF(SUM($AW$43:CD43)+IF(CD43="0","0",CD43)&gt;$AQ43,0,CD43)</f>
        <v>9814.8147222222233</v>
      </c>
      <c r="CF43" s="238">
        <f>IF(SUM($AW$43:CE43)+IF(CE43="0","0",CE43)&gt;$AQ43,0,CE43)</f>
        <v>9814.8147222222233</v>
      </c>
      <c r="CG43" s="145">
        <f>IF(SUM($AW$43:CF43)+IF(CF43="0","0",CF43)&gt;$AQ43,0,CF43)</f>
        <v>0</v>
      </c>
      <c r="CH43" s="145">
        <f>IF(SUM($AW$43:CG43)+IF(CG43="0","0",CG43)&gt;$AQ43,0,CG43)</f>
        <v>0</v>
      </c>
      <c r="CI43" s="145">
        <f>IF(SUM($AW$43:CH43)+IF(CH43="0","0",CH43)&gt;$AQ43,0,CH43)</f>
        <v>0</v>
      </c>
      <c r="CJ43" s="145">
        <f>IF(SUM($AW$43:CI43)+IF(CI43="0","0",CI43)&gt;$AQ43,0,CI43)</f>
        <v>0</v>
      </c>
      <c r="CK43" s="145">
        <f>IF(SUM($AW$43:CJ43)+IF(CJ43="0","0",CJ43)&gt;$AQ43,0,CJ43)</f>
        <v>0</v>
      </c>
      <c r="CL43" s="145">
        <f>IF(SUM($AW$43:CK43)+IF(CK43="0","0",CK43)&gt;$AQ43,0,CK43)</f>
        <v>0</v>
      </c>
      <c r="CM43" s="145">
        <f>IF(SUM($AW$43:CL43)+IF(CL43="0","0",CL43)&gt;$AQ43,0,CL43)</f>
        <v>0</v>
      </c>
      <c r="CN43" s="224">
        <f>IF(SUM($AW$43:CM43)+IF(CM43="0","0",CM43)&gt;$AQ43,0,CM43)</f>
        <v>0</v>
      </c>
      <c r="CO43" s="241">
        <f>IF(SUM($AW$43:CN43)+IF(CN43="0","0",CN43)&gt;$AQ43,0,CN43)</f>
        <v>0</v>
      </c>
      <c r="CP43" s="241">
        <f>IF(SUM($AW$43:CO43)+IF(CO43="0","0",CO43)&gt;$AQ43,0,CO43)</f>
        <v>0</v>
      </c>
      <c r="CQ43" s="241">
        <f>IF(SUM($AW$43:CP43)+IF(CP43="0","0",CP43)&gt;$AQ43,0,CP43)</f>
        <v>0</v>
      </c>
      <c r="CR43" s="241">
        <f>IF(SUM($AW$43:CQ43)+IF(CQ43="0","0",CQ43)&gt;$AQ43,0,CQ43)</f>
        <v>0</v>
      </c>
    </row>
    <row r="44" spans="1:158">
      <c r="A44" s="77"/>
      <c r="B44" s="68"/>
      <c r="C44" s="68"/>
      <c r="D44" s="68"/>
      <c r="E44" s="68"/>
      <c r="F44" s="68"/>
      <c r="G44" s="79"/>
      <c r="H44" s="79"/>
      <c r="I44" s="79"/>
      <c r="J44" s="79"/>
      <c r="K44" s="79"/>
      <c r="L44" s="79"/>
      <c r="M44" s="79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79"/>
      <c r="AK44" s="68"/>
      <c r="AL44" s="79"/>
      <c r="AM44" s="79"/>
      <c r="AN44" s="68"/>
      <c r="AO44" s="68"/>
      <c r="AP44" s="81">
        <f t="shared" si="6"/>
        <v>0</v>
      </c>
      <c r="AQ44" s="80">
        <f t="shared" ref="AQ44:AQ50" si="24">M44-AP44</f>
        <v>0</v>
      </c>
      <c r="AR44" s="236"/>
      <c r="AS44" s="215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78"/>
      <c r="BE44" s="215"/>
      <c r="BF44" s="154"/>
      <c r="BG44" s="154"/>
      <c r="BH44" s="154"/>
      <c r="BI44" s="154"/>
      <c r="BJ44" s="154"/>
      <c r="BK44" s="154"/>
      <c r="BL44" s="154"/>
      <c r="BM44" s="154"/>
      <c r="BN44" s="154"/>
      <c r="BO44" s="154"/>
      <c r="BP44" s="78"/>
      <c r="BQ44" s="215"/>
      <c r="BR44" s="154"/>
      <c r="BS44" s="154"/>
      <c r="BT44" s="154"/>
      <c r="BU44" s="154"/>
      <c r="BV44" s="154"/>
      <c r="BW44" s="154"/>
      <c r="BX44" s="154"/>
      <c r="BY44" s="154"/>
      <c r="BZ44" s="154"/>
      <c r="CA44" s="154"/>
      <c r="CB44" s="78"/>
      <c r="CC44" s="215"/>
      <c r="CD44" s="154"/>
      <c r="CE44" s="154"/>
      <c r="CF44" s="154"/>
      <c r="CG44" s="154"/>
      <c r="CH44" s="154"/>
      <c r="CI44" s="154"/>
      <c r="CJ44" s="154"/>
      <c r="CK44" s="154"/>
      <c r="CL44" s="154"/>
      <c r="CM44" s="154"/>
      <c r="CN44" s="216"/>
    </row>
    <row r="45" spans="1:158">
      <c r="A45" s="247"/>
      <c r="B45" s="68"/>
      <c r="C45" s="68"/>
      <c r="D45" s="68"/>
      <c r="E45" s="68"/>
      <c r="F45" s="68"/>
      <c r="G45" s="79"/>
      <c r="H45" s="79"/>
      <c r="I45" s="79"/>
      <c r="J45" s="79"/>
      <c r="K45" s="79"/>
      <c r="L45" s="79"/>
      <c r="M45" s="79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79"/>
      <c r="AK45" s="68"/>
      <c r="AL45" s="79"/>
      <c r="AM45" s="79"/>
      <c r="AN45" s="68"/>
      <c r="AO45" s="68"/>
      <c r="AP45" s="81"/>
      <c r="AQ45" s="80"/>
      <c r="AR45" s="236"/>
      <c r="AS45" s="215"/>
      <c r="AT45" s="154"/>
      <c r="AU45" s="154"/>
      <c r="AV45" s="154"/>
      <c r="AW45" s="154"/>
      <c r="AX45" s="154"/>
      <c r="AY45" s="154"/>
      <c r="AZ45" s="154"/>
      <c r="BA45" s="154"/>
      <c r="BB45" s="154"/>
      <c r="BC45" s="154"/>
      <c r="BD45" s="78"/>
      <c r="BE45" s="215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78"/>
      <c r="BQ45" s="215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78"/>
      <c r="CC45" s="215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216"/>
    </row>
    <row r="46" spans="1:158">
      <c r="A46" s="247"/>
      <c r="B46" s="68"/>
      <c r="C46" s="68"/>
      <c r="D46" s="68"/>
      <c r="E46" s="68"/>
      <c r="F46" s="68"/>
      <c r="G46" s="79"/>
      <c r="H46" s="79"/>
      <c r="I46" s="79"/>
      <c r="J46" s="79"/>
      <c r="K46" s="79"/>
      <c r="L46" s="79"/>
      <c r="M46" s="79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79"/>
      <c r="AK46" s="68"/>
      <c r="AL46" s="79"/>
      <c r="AM46" s="79"/>
      <c r="AN46" s="68"/>
      <c r="AO46" s="68"/>
      <c r="AP46" s="81"/>
      <c r="AQ46" s="80"/>
      <c r="AR46" s="236"/>
      <c r="AS46" s="215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78"/>
      <c r="BE46" s="215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78"/>
      <c r="BQ46" s="215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78"/>
      <c r="CC46" s="215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216"/>
    </row>
    <row r="47" spans="1:158">
      <c r="A47" s="247"/>
      <c r="B47" s="68"/>
      <c r="C47" s="68"/>
      <c r="D47" s="68"/>
      <c r="E47" s="68"/>
      <c r="F47" s="68"/>
      <c r="G47" s="79"/>
      <c r="H47" s="79"/>
      <c r="I47" s="79"/>
      <c r="J47" s="79"/>
      <c r="K47" s="79"/>
      <c r="L47" s="79"/>
      <c r="M47" s="79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79"/>
      <c r="AK47" s="68"/>
      <c r="AL47" s="79"/>
      <c r="AM47" s="79"/>
      <c r="AN47" s="68"/>
      <c r="AO47" s="68"/>
      <c r="AP47" s="81"/>
      <c r="AQ47" s="80"/>
      <c r="AR47" s="236"/>
      <c r="AS47" s="215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78"/>
      <c r="BE47" s="215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78"/>
      <c r="BQ47" s="215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78"/>
      <c r="CC47" s="215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216"/>
    </row>
    <row r="48" spans="1:158">
      <c r="A48" s="247"/>
      <c r="B48" s="68"/>
      <c r="C48" s="68"/>
      <c r="D48" s="68"/>
      <c r="E48" s="68"/>
      <c r="F48" s="68"/>
      <c r="G48" s="79"/>
      <c r="H48" s="79"/>
      <c r="I48" s="79"/>
      <c r="J48" s="79"/>
      <c r="K48" s="79"/>
      <c r="L48" s="79"/>
      <c r="M48" s="79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79"/>
      <c r="AK48" s="68"/>
      <c r="AL48" s="79"/>
      <c r="AM48" s="79"/>
      <c r="AN48" s="68"/>
      <c r="AO48" s="68"/>
      <c r="AP48" s="81"/>
      <c r="AQ48" s="80"/>
      <c r="AR48" s="236"/>
      <c r="AS48" s="215"/>
      <c r="AT48" s="154"/>
      <c r="AU48" s="154"/>
      <c r="AV48" s="154"/>
      <c r="AW48" s="154"/>
      <c r="AX48" s="154"/>
      <c r="AY48" s="154"/>
      <c r="AZ48" s="154"/>
      <c r="BA48" s="154"/>
      <c r="BB48" s="154"/>
      <c r="BC48" s="154"/>
      <c r="BD48" s="78"/>
      <c r="BE48" s="215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78"/>
      <c r="BQ48" s="215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78"/>
      <c r="CC48" s="215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216"/>
    </row>
    <row r="49" spans="1:158">
      <c r="A49" s="247"/>
      <c r="B49" s="68"/>
      <c r="C49" s="68"/>
      <c r="D49" s="68"/>
      <c r="E49" s="68"/>
      <c r="F49" s="68"/>
      <c r="G49" s="79"/>
      <c r="H49" s="79"/>
      <c r="I49" s="79"/>
      <c r="J49" s="79"/>
      <c r="K49" s="79"/>
      <c r="L49" s="79"/>
      <c r="M49" s="79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79"/>
      <c r="AK49" s="68"/>
      <c r="AL49" s="79"/>
      <c r="AM49" s="79"/>
      <c r="AN49" s="68"/>
      <c r="AO49" s="68"/>
      <c r="AP49" s="81"/>
      <c r="AQ49" s="80"/>
      <c r="AR49" s="236"/>
      <c r="AS49" s="215"/>
      <c r="AT49" s="154"/>
      <c r="AU49" s="154"/>
      <c r="AV49" s="154"/>
      <c r="AW49" s="154"/>
      <c r="AX49" s="154"/>
      <c r="AY49" s="154"/>
      <c r="AZ49" s="154"/>
      <c r="BA49" s="154"/>
      <c r="BB49" s="154"/>
      <c r="BC49" s="154"/>
      <c r="BD49" s="78"/>
      <c r="BE49" s="215"/>
      <c r="BF49" s="154"/>
      <c r="BG49" s="154"/>
      <c r="BH49" s="154"/>
      <c r="BI49" s="154"/>
      <c r="BJ49" s="154"/>
      <c r="BK49" s="154"/>
      <c r="BL49" s="154"/>
      <c r="BM49" s="154"/>
      <c r="BN49" s="154"/>
      <c r="BO49" s="154"/>
      <c r="BP49" s="78"/>
      <c r="BQ49" s="215"/>
      <c r="BR49" s="154"/>
      <c r="BS49" s="154"/>
      <c r="BT49" s="154"/>
      <c r="BU49" s="154"/>
      <c r="BV49" s="154"/>
      <c r="BW49" s="154"/>
      <c r="BX49" s="154"/>
      <c r="BY49" s="154"/>
      <c r="BZ49" s="154"/>
      <c r="CA49" s="154"/>
      <c r="CB49" s="78"/>
      <c r="CC49" s="215"/>
      <c r="CD49" s="154"/>
      <c r="CE49" s="154"/>
      <c r="CF49" s="154"/>
      <c r="CG49" s="154"/>
      <c r="CH49" s="154"/>
      <c r="CI49" s="154"/>
      <c r="CJ49" s="154"/>
      <c r="CK49" s="154"/>
      <c r="CL49" s="154"/>
      <c r="CM49" s="154"/>
      <c r="CN49" s="216"/>
    </row>
    <row r="50" spans="1:158">
      <c r="A50" s="75"/>
      <c r="B50" s="82" t="s">
        <v>180</v>
      </c>
      <c r="C50" s="68"/>
      <c r="D50" s="68"/>
      <c r="E50" s="72"/>
      <c r="F50" s="72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80"/>
      <c r="AO50" s="80"/>
      <c r="AP50" s="81"/>
      <c r="AQ50" s="80">
        <f t="shared" si="24"/>
        <v>0</v>
      </c>
      <c r="AR50" s="236"/>
      <c r="AS50" s="215"/>
      <c r="AT50" s="154"/>
      <c r="AU50" s="154"/>
      <c r="AV50" s="154"/>
      <c r="AW50" s="154"/>
      <c r="AX50" s="154"/>
      <c r="AY50" s="154"/>
      <c r="AZ50" s="154"/>
      <c r="BA50" s="154"/>
      <c r="BB50" s="154"/>
      <c r="BC50" s="154"/>
      <c r="BD50" s="78"/>
      <c r="BE50" s="215"/>
      <c r="BF50" s="154"/>
      <c r="BG50" s="154"/>
      <c r="BH50" s="154"/>
      <c r="BI50" s="154"/>
      <c r="BJ50" s="154"/>
      <c r="BK50" s="154"/>
      <c r="BL50" s="154"/>
      <c r="BM50" s="154"/>
      <c r="BN50" s="154"/>
      <c r="BO50" s="154"/>
      <c r="BP50" s="78"/>
      <c r="BQ50" s="215"/>
      <c r="BR50" s="154"/>
      <c r="BS50" s="154"/>
      <c r="BT50" s="154"/>
      <c r="BU50" s="154"/>
      <c r="BV50" s="154"/>
      <c r="BW50" s="154"/>
      <c r="BX50" s="154"/>
      <c r="BY50" s="154"/>
      <c r="BZ50" s="154"/>
      <c r="CA50" s="154"/>
      <c r="CB50" s="78"/>
      <c r="CC50" s="215"/>
      <c r="CD50" s="154"/>
      <c r="CE50" s="154"/>
      <c r="CF50" s="154"/>
      <c r="CG50" s="154"/>
      <c r="CH50" s="154"/>
      <c r="CI50" s="154"/>
      <c r="CJ50" s="154"/>
      <c r="CK50" s="154"/>
      <c r="CL50" s="154"/>
      <c r="CM50" s="154"/>
      <c r="CN50" s="216"/>
    </row>
    <row r="51" spans="1:158" s="71" customFormat="1">
      <c r="A51" s="248"/>
      <c r="B51" s="249"/>
      <c r="C51" s="249"/>
      <c r="D51" s="249"/>
      <c r="E51" s="250"/>
      <c r="F51" s="250"/>
      <c r="G51" s="251"/>
      <c r="H51" s="251"/>
      <c r="I51" s="251"/>
      <c r="J51" s="252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  <c r="AA51" s="251"/>
      <c r="AB51" s="251"/>
      <c r="AC51" s="251"/>
      <c r="AD51" s="251"/>
      <c r="AE51" s="251"/>
      <c r="AF51" s="251"/>
      <c r="AG51" s="251"/>
      <c r="AH51" s="251"/>
      <c r="AI51" s="251"/>
      <c r="AJ51" s="251"/>
      <c r="AK51" s="251"/>
      <c r="AL51" s="251"/>
      <c r="AM51" s="251"/>
      <c r="AN51" s="253"/>
      <c r="AO51" s="253"/>
      <c r="AP51" s="207"/>
      <c r="AQ51" s="208"/>
      <c r="AR51" s="236"/>
      <c r="AS51" s="254"/>
      <c r="AT51" s="255"/>
      <c r="AU51" s="255"/>
      <c r="AV51" s="255"/>
      <c r="AW51" s="255"/>
      <c r="AX51" s="255"/>
      <c r="AY51" s="255"/>
      <c r="AZ51" s="255"/>
      <c r="BA51" s="255"/>
      <c r="BB51" s="255"/>
      <c r="BC51" s="255"/>
      <c r="BD51" s="256"/>
      <c r="BE51" s="254"/>
      <c r="BF51" s="255"/>
      <c r="BG51" s="255"/>
      <c r="BH51" s="255"/>
      <c r="BI51" s="255"/>
      <c r="BJ51" s="255"/>
      <c r="BK51" s="255"/>
      <c r="BL51" s="255"/>
      <c r="BM51" s="255"/>
      <c r="BN51" s="255"/>
      <c r="BO51" s="255"/>
      <c r="BP51" s="256"/>
      <c r="BQ51" s="254"/>
      <c r="BR51" s="255"/>
      <c r="BS51" s="255"/>
      <c r="BT51" s="255"/>
      <c r="BU51" s="255"/>
      <c r="BV51" s="255"/>
      <c r="BW51" s="255"/>
      <c r="BX51" s="255"/>
      <c r="BY51" s="255"/>
      <c r="BZ51" s="255"/>
      <c r="CA51" s="255"/>
      <c r="CB51" s="256"/>
      <c r="CC51" s="254"/>
      <c r="CD51" s="255"/>
      <c r="CE51" s="255"/>
      <c r="CF51" s="255"/>
      <c r="CG51" s="255"/>
      <c r="CH51" s="255"/>
      <c r="CI51" s="255"/>
      <c r="CJ51" s="255"/>
      <c r="CK51" s="255"/>
      <c r="CL51" s="255"/>
      <c r="CM51" s="255"/>
      <c r="CN51" s="257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</row>
    <row r="52" spans="1:158" s="71" customFormat="1">
      <c r="A52" s="248"/>
      <c r="B52" s="249"/>
      <c r="C52" s="249"/>
      <c r="D52" s="249"/>
      <c r="E52" s="250"/>
      <c r="F52" s="250"/>
      <c r="G52" s="251"/>
      <c r="H52" s="251"/>
      <c r="I52" s="251"/>
      <c r="J52" s="252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Z52" s="251"/>
      <c r="AA52" s="251"/>
      <c r="AB52" s="251"/>
      <c r="AC52" s="251"/>
      <c r="AD52" s="251"/>
      <c r="AE52" s="251"/>
      <c r="AF52" s="251"/>
      <c r="AG52" s="251"/>
      <c r="AH52" s="251"/>
      <c r="AI52" s="251"/>
      <c r="AJ52" s="251"/>
      <c r="AK52" s="251"/>
      <c r="AL52" s="251"/>
      <c r="AM52" s="251"/>
      <c r="AN52" s="253"/>
      <c r="AO52" s="253"/>
      <c r="AP52" s="207"/>
      <c r="AQ52" s="208"/>
      <c r="AR52" s="236"/>
      <c r="AS52" s="254"/>
      <c r="AT52" s="255"/>
      <c r="AU52" s="255"/>
      <c r="AV52" s="255"/>
      <c r="AW52" s="255"/>
      <c r="AX52" s="255"/>
      <c r="AY52" s="255"/>
      <c r="AZ52" s="255"/>
      <c r="BA52" s="255"/>
      <c r="BB52" s="255"/>
      <c r="BC52" s="255"/>
      <c r="BD52" s="256"/>
      <c r="BE52" s="254"/>
      <c r="BF52" s="255"/>
      <c r="BG52" s="255"/>
      <c r="BH52" s="255"/>
      <c r="BI52" s="255"/>
      <c r="BJ52" s="255"/>
      <c r="BK52" s="255"/>
      <c r="BL52" s="255"/>
      <c r="BM52" s="255"/>
      <c r="BN52" s="255"/>
      <c r="BO52" s="255"/>
      <c r="BP52" s="256"/>
      <c r="BQ52" s="254"/>
      <c r="BR52" s="255"/>
      <c r="BS52" s="255"/>
      <c r="BT52" s="255"/>
      <c r="BU52" s="255"/>
      <c r="BV52" s="255"/>
      <c r="BW52" s="255"/>
      <c r="BX52" s="255"/>
      <c r="BY52" s="255"/>
      <c r="BZ52" s="255"/>
      <c r="CA52" s="255"/>
      <c r="CB52" s="256"/>
      <c r="CC52" s="254"/>
      <c r="CD52" s="255"/>
      <c r="CE52" s="255"/>
      <c r="CF52" s="255"/>
      <c r="CG52" s="255"/>
      <c r="CH52" s="255"/>
      <c r="CI52" s="255"/>
      <c r="CJ52" s="255"/>
      <c r="CK52" s="255"/>
      <c r="CL52" s="255"/>
      <c r="CM52" s="255"/>
      <c r="CN52" s="257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</row>
    <row r="53" spans="1:158" s="71" customFormat="1">
      <c r="A53" s="248"/>
      <c r="B53" s="249"/>
      <c r="C53" s="249"/>
      <c r="D53" s="249"/>
      <c r="E53" s="250"/>
      <c r="F53" s="250"/>
      <c r="G53" s="251"/>
      <c r="H53" s="251"/>
      <c r="I53" s="251"/>
      <c r="J53" s="252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251"/>
      <c r="W53" s="251"/>
      <c r="X53" s="251"/>
      <c r="Y53" s="251"/>
      <c r="Z53" s="251"/>
      <c r="AA53" s="251"/>
      <c r="AB53" s="251"/>
      <c r="AC53" s="251"/>
      <c r="AD53" s="251"/>
      <c r="AE53" s="251"/>
      <c r="AF53" s="251"/>
      <c r="AG53" s="251"/>
      <c r="AH53" s="251"/>
      <c r="AI53" s="251"/>
      <c r="AJ53" s="251"/>
      <c r="AK53" s="251"/>
      <c r="AL53" s="251"/>
      <c r="AM53" s="251"/>
      <c r="AN53" s="253"/>
      <c r="AO53" s="253"/>
      <c r="AP53" s="207"/>
      <c r="AQ53" s="208"/>
      <c r="AR53" s="236"/>
      <c r="AS53" s="254"/>
      <c r="AT53" s="255"/>
      <c r="AU53" s="255"/>
      <c r="AV53" s="255"/>
      <c r="AW53" s="255"/>
      <c r="AX53" s="255"/>
      <c r="AY53" s="255"/>
      <c r="AZ53" s="255"/>
      <c r="BA53" s="255"/>
      <c r="BB53" s="255"/>
      <c r="BC53" s="255"/>
      <c r="BD53" s="256"/>
      <c r="BE53" s="254"/>
      <c r="BF53" s="255"/>
      <c r="BG53" s="255"/>
      <c r="BH53" s="255"/>
      <c r="BI53" s="255"/>
      <c r="BJ53" s="255"/>
      <c r="BK53" s="255"/>
      <c r="BL53" s="255"/>
      <c r="BM53" s="255"/>
      <c r="BN53" s="255"/>
      <c r="BO53" s="255"/>
      <c r="BP53" s="256"/>
      <c r="BQ53" s="254"/>
      <c r="BR53" s="255"/>
      <c r="BS53" s="255"/>
      <c r="BT53" s="255"/>
      <c r="BU53" s="255"/>
      <c r="BV53" s="255"/>
      <c r="BW53" s="255"/>
      <c r="BX53" s="255"/>
      <c r="BY53" s="255"/>
      <c r="BZ53" s="255"/>
      <c r="CA53" s="255"/>
      <c r="CB53" s="256"/>
      <c r="CC53" s="254"/>
      <c r="CD53" s="255"/>
      <c r="CE53" s="255"/>
      <c r="CF53" s="255"/>
      <c r="CG53" s="255"/>
      <c r="CH53" s="255"/>
      <c r="CI53" s="255"/>
      <c r="CJ53" s="255"/>
      <c r="CK53" s="255"/>
      <c r="CL53" s="255"/>
      <c r="CM53" s="255"/>
      <c r="CN53" s="257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</row>
    <row r="54" spans="1:158" s="71" customFormat="1">
      <c r="A54" s="248"/>
      <c r="B54" s="249"/>
      <c r="C54" s="249"/>
      <c r="D54" s="249"/>
      <c r="E54" s="250"/>
      <c r="F54" s="250"/>
      <c r="G54" s="251"/>
      <c r="H54" s="251"/>
      <c r="I54" s="251"/>
      <c r="J54" s="252"/>
      <c r="K54" s="251"/>
      <c r="L54" s="251"/>
      <c r="M54" s="251"/>
      <c r="N54" s="251"/>
      <c r="O54" s="251"/>
      <c r="P54" s="251"/>
      <c r="Q54" s="251"/>
      <c r="R54" s="251"/>
      <c r="S54" s="251"/>
      <c r="T54" s="251"/>
      <c r="U54" s="251"/>
      <c r="V54" s="251"/>
      <c r="W54" s="251"/>
      <c r="X54" s="251"/>
      <c r="Y54" s="251"/>
      <c r="Z54" s="251"/>
      <c r="AA54" s="251"/>
      <c r="AB54" s="251"/>
      <c r="AC54" s="251"/>
      <c r="AD54" s="251"/>
      <c r="AE54" s="251"/>
      <c r="AF54" s="251"/>
      <c r="AG54" s="251"/>
      <c r="AH54" s="251"/>
      <c r="AI54" s="251"/>
      <c r="AJ54" s="251"/>
      <c r="AK54" s="251"/>
      <c r="AL54" s="251"/>
      <c r="AM54" s="251"/>
      <c r="AN54" s="253"/>
      <c r="AO54" s="253"/>
      <c r="AP54" s="207"/>
      <c r="AQ54" s="208"/>
      <c r="AR54" s="236"/>
      <c r="AS54" s="254"/>
      <c r="AT54" s="255"/>
      <c r="AU54" s="255"/>
      <c r="AV54" s="255"/>
      <c r="AW54" s="255"/>
      <c r="AX54" s="255"/>
      <c r="AY54" s="255"/>
      <c r="AZ54" s="255"/>
      <c r="BA54" s="255"/>
      <c r="BB54" s="255"/>
      <c r="BC54" s="255"/>
      <c r="BD54" s="256"/>
      <c r="BE54" s="254"/>
      <c r="BF54" s="255"/>
      <c r="BG54" s="255"/>
      <c r="BH54" s="255"/>
      <c r="BI54" s="255"/>
      <c r="BJ54" s="255"/>
      <c r="BK54" s="255"/>
      <c r="BL54" s="255"/>
      <c r="BM54" s="255"/>
      <c r="BN54" s="255"/>
      <c r="BO54" s="255"/>
      <c r="BP54" s="256"/>
      <c r="BQ54" s="254"/>
      <c r="BR54" s="255"/>
      <c r="BS54" s="255"/>
      <c r="BT54" s="255"/>
      <c r="BU54" s="255"/>
      <c r="BV54" s="255"/>
      <c r="BW54" s="255"/>
      <c r="BX54" s="255"/>
      <c r="BY54" s="255"/>
      <c r="BZ54" s="255"/>
      <c r="CA54" s="255"/>
      <c r="CB54" s="256"/>
      <c r="CC54" s="254"/>
      <c r="CD54" s="255"/>
      <c r="CE54" s="255"/>
      <c r="CF54" s="255"/>
      <c r="CG54" s="255"/>
      <c r="CH54" s="255"/>
      <c r="CI54" s="255"/>
      <c r="CJ54" s="255"/>
      <c r="CK54" s="255"/>
      <c r="CL54" s="255"/>
      <c r="CM54" s="255"/>
      <c r="CN54" s="257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</row>
    <row r="55" spans="1:158" s="71" customFormat="1">
      <c r="A55" s="248"/>
      <c r="B55" s="249"/>
      <c r="C55" s="249"/>
      <c r="D55" s="249"/>
      <c r="E55" s="250"/>
      <c r="F55" s="250"/>
      <c r="G55" s="251"/>
      <c r="H55" s="251"/>
      <c r="I55" s="251"/>
      <c r="J55" s="252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  <c r="Z55" s="251"/>
      <c r="AA55" s="251"/>
      <c r="AB55" s="251"/>
      <c r="AC55" s="251"/>
      <c r="AD55" s="251"/>
      <c r="AE55" s="251"/>
      <c r="AF55" s="251"/>
      <c r="AG55" s="251"/>
      <c r="AH55" s="251"/>
      <c r="AI55" s="251"/>
      <c r="AJ55" s="251"/>
      <c r="AK55" s="251"/>
      <c r="AL55" s="251"/>
      <c r="AM55" s="251"/>
      <c r="AN55" s="253"/>
      <c r="AO55" s="253"/>
      <c r="AP55" s="207"/>
      <c r="AQ55" s="208"/>
      <c r="AR55" s="236"/>
      <c r="AS55" s="254"/>
      <c r="AT55" s="255"/>
      <c r="AU55" s="255"/>
      <c r="AV55" s="255"/>
      <c r="AW55" s="255"/>
      <c r="AX55" s="255"/>
      <c r="AY55" s="255"/>
      <c r="AZ55" s="255"/>
      <c r="BA55" s="255"/>
      <c r="BB55" s="255"/>
      <c r="BC55" s="255"/>
      <c r="BD55" s="256"/>
      <c r="BE55" s="254"/>
      <c r="BF55" s="255"/>
      <c r="BG55" s="255"/>
      <c r="BH55" s="255"/>
      <c r="BI55" s="255"/>
      <c r="BJ55" s="255"/>
      <c r="BK55" s="255"/>
      <c r="BL55" s="255"/>
      <c r="BM55" s="255"/>
      <c r="BN55" s="255"/>
      <c r="BO55" s="255"/>
      <c r="BP55" s="256"/>
      <c r="BQ55" s="254"/>
      <c r="BR55" s="255"/>
      <c r="BS55" s="255"/>
      <c r="BT55" s="255"/>
      <c r="BU55" s="255"/>
      <c r="BV55" s="255"/>
      <c r="BW55" s="255"/>
      <c r="BX55" s="255"/>
      <c r="BY55" s="255"/>
      <c r="BZ55" s="255"/>
      <c r="CA55" s="255"/>
      <c r="CB55" s="256"/>
      <c r="CC55" s="254"/>
      <c r="CD55" s="255"/>
      <c r="CE55" s="255"/>
      <c r="CF55" s="255"/>
      <c r="CG55" s="255"/>
      <c r="CH55" s="255"/>
      <c r="CI55" s="255"/>
      <c r="CJ55" s="255"/>
      <c r="CK55" s="255"/>
      <c r="CL55" s="255"/>
      <c r="CM55" s="255"/>
      <c r="CN55" s="257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</row>
    <row r="56" spans="1:158" s="71" customFormat="1">
      <c r="A56" s="248"/>
      <c r="B56" s="249"/>
      <c r="C56" s="249"/>
      <c r="D56" s="249"/>
      <c r="E56" s="250"/>
      <c r="F56" s="250"/>
      <c r="G56" s="251"/>
      <c r="H56" s="251"/>
      <c r="I56" s="251"/>
      <c r="J56" s="252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251"/>
      <c r="X56" s="251"/>
      <c r="Y56" s="251"/>
      <c r="Z56" s="251"/>
      <c r="AA56" s="251"/>
      <c r="AB56" s="251"/>
      <c r="AC56" s="251"/>
      <c r="AD56" s="251"/>
      <c r="AE56" s="251"/>
      <c r="AF56" s="251"/>
      <c r="AG56" s="251"/>
      <c r="AH56" s="251"/>
      <c r="AI56" s="251"/>
      <c r="AJ56" s="251"/>
      <c r="AK56" s="251"/>
      <c r="AL56" s="251"/>
      <c r="AM56" s="251"/>
      <c r="AN56" s="253"/>
      <c r="AO56" s="253"/>
      <c r="AP56" s="207"/>
      <c r="AQ56" s="208"/>
      <c r="AR56" s="236"/>
      <c r="AS56" s="254"/>
      <c r="AT56" s="255"/>
      <c r="AU56" s="255"/>
      <c r="AV56" s="255"/>
      <c r="AW56" s="255"/>
      <c r="AX56" s="255"/>
      <c r="AY56" s="255"/>
      <c r="AZ56" s="255"/>
      <c r="BA56" s="255"/>
      <c r="BB56" s="255"/>
      <c r="BC56" s="255"/>
      <c r="BD56" s="256"/>
      <c r="BE56" s="254"/>
      <c r="BF56" s="255"/>
      <c r="BG56" s="255"/>
      <c r="BH56" s="255"/>
      <c r="BI56" s="255"/>
      <c r="BJ56" s="255"/>
      <c r="BK56" s="255"/>
      <c r="BL56" s="255"/>
      <c r="BM56" s="255"/>
      <c r="BN56" s="255"/>
      <c r="BO56" s="255"/>
      <c r="BP56" s="256"/>
      <c r="BQ56" s="254"/>
      <c r="BR56" s="255"/>
      <c r="BS56" s="255"/>
      <c r="BT56" s="255"/>
      <c r="BU56" s="255"/>
      <c r="BV56" s="255"/>
      <c r="BW56" s="255"/>
      <c r="BX56" s="255"/>
      <c r="BY56" s="255"/>
      <c r="BZ56" s="255"/>
      <c r="CA56" s="255"/>
      <c r="CB56" s="256"/>
      <c r="CC56" s="254"/>
      <c r="CD56" s="255"/>
      <c r="CE56" s="255"/>
      <c r="CF56" s="255"/>
      <c r="CG56" s="255"/>
      <c r="CH56" s="255"/>
      <c r="CI56" s="255"/>
      <c r="CJ56" s="255"/>
      <c r="CK56" s="255"/>
      <c r="CL56" s="255"/>
      <c r="CM56" s="255"/>
      <c r="CN56" s="257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</row>
    <row r="57" spans="1:158" s="71" customFormat="1">
      <c r="A57" s="248"/>
      <c r="B57" s="249"/>
      <c r="C57" s="249"/>
      <c r="D57" s="249"/>
      <c r="E57" s="250"/>
      <c r="F57" s="250"/>
      <c r="G57" s="251"/>
      <c r="H57" s="251"/>
      <c r="I57" s="251"/>
      <c r="J57" s="252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  <c r="Z57" s="251"/>
      <c r="AA57" s="251"/>
      <c r="AB57" s="251"/>
      <c r="AC57" s="251"/>
      <c r="AD57" s="251"/>
      <c r="AE57" s="251"/>
      <c r="AF57" s="251"/>
      <c r="AG57" s="251"/>
      <c r="AH57" s="251"/>
      <c r="AI57" s="251"/>
      <c r="AJ57" s="251"/>
      <c r="AK57" s="251"/>
      <c r="AL57" s="251"/>
      <c r="AM57" s="251"/>
      <c r="AN57" s="253"/>
      <c r="AO57" s="253"/>
      <c r="AP57" s="207"/>
      <c r="AQ57" s="208"/>
      <c r="AR57" s="236"/>
      <c r="AS57" s="254"/>
      <c r="AT57" s="255"/>
      <c r="AU57" s="255"/>
      <c r="AV57" s="255"/>
      <c r="AW57" s="255"/>
      <c r="AX57" s="255"/>
      <c r="AY57" s="255"/>
      <c r="AZ57" s="255"/>
      <c r="BA57" s="255"/>
      <c r="BB57" s="255"/>
      <c r="BC57" s="255"/>
      <c r="BD57" s="256"/>
      <c r="BE57" s="254"/>
      <c r="BF57" s="255"/>
      <c r="BG57" s="255"/>
      <c r="BH57" s="255"/>
      <c r="BI57" s="255"/>
      <c r="BJ57" s="255"/>
      <c r="BK57" s="255"/>
      <c r="BL57" s="255"/>
      <c r="BM57" s="255"/>
      <c r="BN57" s="255"/>
      <c r="BO57" s="255"/>
      <c r="BP57" s="256"/>
      <c r="BQ57" s="254"/>
      <c r="BR57" s="255"/>
      <c r="BS57" s="255"/>
      <c r="BT57" s="255"/>
      <c r="BU57" s="255"/>
      <c r="BV57" s="255"/>
      <c r="BW57" s="255"/>
      <c r="BX57" s="255"/>
      <c r="BY57" s="255"/>
      <c r="BZ57" s="255"/>
      <c r="CA57" s="255"/>
      <c r="CB57" s="256"/>
      <c r="CC57" s="254"/>
      <c r="CD57" s="255"/>
      <c r="CE57" s="255"/>
      <c r="CF57" s="255"/>
      <c r="CG57" s="255"/>
      <c r="CH57" s="255"/>
      <c r="CI57" s="255"/>
      <c r="CJ57" s="255"/>
      <c r="CK57" s="255"/>
      <c r="CL57" s="255"/>
      <c r="CM57" s="255"/>
      <c r="CN57" s="257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</row>
    <row r="58" spans="1:158" s="71" customFormat="1">
      <c r="A58" s="258"/>
      <c r="B58" s="249"/>
      <c r="C58" s="249"/>
      <c r="D58" s="249"/>
      <c r="E58" s="250"/>
      <c r="F58" s="250"/>
      <c r="G58" s="251"/>
      <c r="H58" s="251"/>
      <c r="I58" s="251"/>
      <c r="J58" s="252"/>
      <c r="K58" s="251"/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1"/>
      <c r="Z58" s="251"/>
      <c r="AA58" s="251"/>
      <c r="AB58" s="251"/>
      <c r="AC58" s="251"/>
      <c r="AD58" s="251"/>
      <c r="AE58" s="251"/>
      <c r="AF58" s="251"/>
      <c r="AG58" s="251"/>
      <c r="AH58" s="251"/>
      <c r="AI58" s="251"/>
      <c r="AJ58" s="251"/>
      <c r="AK58" s="251"/>
      <c r="AL58" s="251"/>
      <c r="AM58" s="251"/>
      <c r="AN58" s="253"/>
      <c r="AO58" s="253"/>
      <c r="AP58" s="207"/>
      <c r="AQ58" s="208"/>
      <c r="AR58" s="236"/>
      <c r="AS58" s="254"/>
      <c r="AT58" s="255"/>
      <c r="AU58" s="255"/>
      <c r="AV58" s="255"/>
      <c r="AW58" s="255"/>
      <c r="AX58" s="255"/>
      <c r="AY58" s="255"/>
      <c r="AZ58" s="255"/>
      <c r="BA58" s="255"/>
      <c r="BB58" s="255"/>
      <c r="BC58" s="255"/>
      <c r="BD58" s="256"/>
      <c r="BE58" s="254"/>
      <c r="BF58" s="255"/>
      <c r="BG58" s="255"/>
      <c r="BH58" s="255"/>
      <c r="BI58" s="255"/>
      <c r="BJ58" s="255"/>
      <c r="BK58" s="255"/>
      <c r="BL58" s="255"/>
      <c r="BM58" s="255"/>
      <c r="BN58" s="255"/>
      <c r="BO58" s="255"/>
      <c r="BP58" s="256"/>
      <c r="BQ58" s="254"/>
      <c r="BR58" s="255"/>
      <c r="BS58" s="255"/>
      <c r="BT58" s="255"/>
      <c r="BU58" s="255"/>
      <c r="BV58" s="255"/>
      <c r="BW58" s="255"/>
      <c r="BX58" s="255"/>
      <c r="BY58" s="255"/>
      <c r="BZ58" s="255"/>
      <c r="CA58" s="255"/>
      <c r="CB58" s="256"/>
      <c r="CC58" s="254"/>
      <c r="CD58" s="255"/>
      <c r="CE58" s="255"/>
      <c r="CF58" s="255"/>
      <c r="CG58" s="255"/>
      <c r="CH58" s="255"/>
      <c r="CI58" s="255"/>
      <c r="CJ58" s="255"/>
      <c r="CK58" s="255"/>
      <c r="CL58" s="255"/>
      <c r="CM58" s="255"/>
      <c r="CN58" s="257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</row>
    <row r="59" spans="1:158" s="71" customFormat="1">
      <c r="A59" s="256"/>
      <c r="B59" s="249"/>
      <c r="C59" s="249"/>
      <c r="D59" s="249"/>
      <c r="E59" s="250"/>
      <c r="F59" s="250"/>
      <c r="G59" s="251"/>
      <c r="H59" s="251"/>
      <c r="I59" s="251"/>
      <c r="J59" s="252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  <c r="Z59" s="251"/>
      <c r="AA59" s="251"/>
      <c r="AB59" s="251"/>
      <c r="AC59" s="251"/>
      <c r="AD59" s="251"/>
      <c r="AE59" s="251"/>
      <c r="AF59" s="251"/>
      <c r="AG59" s="251"/>
      <c r="AH59" s="251"/>
      <c r="AI59" s="251"/>
      <c r="AJ59" s="251"/>
      <c r="AK59" s="251"/>
      <c r="AL59" s="251"/>
      <c r="AM59" s="251"/>
      <c r="AN59" s="253"/>
      <c r="AO59" s="253"/>
      <c r="AP59" s="207"/>
      <c r="AQ59" s="208"/>
      <c r="AR59" s="236"/>
      <c r="AS59" s="254"/>
      <c r="AT59" s="255"/>
      <c r="AU59" s="255"/>
      <c r="AV59" s="255"/>
      <c r="AW59" s="255"/>
      <c r="AX59" s="255"/>
      <c r="AY59" s="255"/>
      <c r="AZ59" s="255"/>
      <c r="BA59" s="255"/>
      <c r="BB59" s="255"/>
      <c r="BC59" s="255"/>
      <c r="BD59" s="256"/>
      <c r="BE59" s="254"/>
      <c r="BF59" s="255"/>
      <c r="BG59" s="255"/>
      <c r="BH59" s="255"/>
      <c r="BI59" s="255"/>
      <c r="BJ59" s="255"/>
      <c r="BK59" s="255"/>
      <c r="BL59" s="255"/>
      <c r="BM59" s="255"/>
      <c r="BN59" s="255"/>
      <c r="BO59" s="255"/>
      <c r="BP59" s="256"/>
      <c r="BQ59" s="254"/>
      <c r="BR59" s="255"/>
      <c r="BS59" s="255"/>
      <c r="BT59" s="255"/>
      <c r="BU59" s="255"/>
      <c r="BV59" s="255"/>
      <c r="BW59" s="255"/>
      <c r="BX59" s="255"/>
      <c r="BY59" s="255"/>
      <c r="BZ59" s="255"/>
      <c r="CA59" s="255"/>
      <c r="CB59" s="256"/>
      <c r="CC59" s="254"/>
      <c r="CD59" s="255"/>
      <c r="CE59" s="255"/>
      <c r="CF59" s="255"/>
      <c r="CG59" s="255"/>
      <c r="CH59" s="255"/>
      <c r="CI59" s="255"/>
      <c r="CJ59" s="255"/>
      <c r="CK59" s="255"/>
      <c r="CL59" s="255"/>
      <c r="CM59" s="255"/>
      <c r="CN59" s="257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</row>
    <row r="60" spans="1:158" s="71" customFormat="1">
      <c r="A60" s="256"/>
      <c r="B60" s="249"/>
      <c r="C60" s="249"/>
      <c r="D60" s="249"/>
      <c r="E60" s="250"/>
      <c r="F60" s="250"/>
      <c r="G60" s="251"/>
      <c r="H60" s="251"/>
      <c r="I60" s="251"/>
      <c r="J60" s="252"/>
      <c r="K60" s="251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  <c r="Z60" s="251"/>
      <c r="AA60" s="251"/>
      <c r="AB60" s="251"/>
      <c r="AC60" s="251"/>
      <c r="AD60" s="251"/>
      <c r="AE60" s="251"/>
      <c r="AF60" s="251"/>
      <c r="AG60" s="251"/>
      <c r="AH60" s="251"/>
      <c r="AI60" s="251"/>
      <c r="AJ60" s="251"/>
      <c r="AK60" s="251"/>
      <c r="AL60" s="251"/>
      <c r="AM60" s="251"/>
      <c r="AN60" s="253"/>
      <c r="AO60" s="253"/>
      <c r="AP60" s="207"/>
      <c r="AQ60" s="208"/>
      <c r="AR60" s="236"/>
      <c r="AS60" s="254"/>
      <c r="AT60" s="255"/>
      <c r="AU60" s="255"/>
      <c r="AV60" s="255"/>
      <c r="AW60" s="255"/>
      <c r="AX60" s="255"/>
      <c r="AY60" s="255"/>
      <c r="AZ60" s="255"/>
      <c r="BA60" s="255"/>
      <c r="BB60" s="255"/>
      <c r="BC60" s="255"/>
      <c r="BD60" s="256"/>
      <c r="BE60" s="254"/>
      <c r="BF60" s="255"/>
      <c r="BG60" s="255"/>
      <c r="BH60" s="255"/>
      <c r="BI60" s="255"/>
      <c r="BJ60" s="255"/>
      <c r="BK60" s="255"/>
      <c r="BL60" s="255"/>
      <c r="BM60" s="255"/>
      <c r="BN60" s="255"/>
      <c r="BO60" s="255"/>
      <c r="BP60" s="256"/>
      <c r="BQ60" s="254"/>
      <c r="BR60" s="255"/>
      <c r="BS60" s="255"/>
      <c r="BT60" s="255"/>
      <c r="BU60" s="255"/>
      <c r="BV60" s="255"/>
      <c r="BW60" s="255"/>
      <c r="BX60" s="255"/>
      <c r="BY60" s="255"/>
      <c r="BZ60" s="255"/>
      <c r="CA60" s="255"/>
      <c r="CB60" s="256"/>
      <c r="CC60" s="254"/>
      <c r="CD60" s="255"/>
      <c r="CE60" s="255"/>
      <c r="CF60" s="255"/>
      <c r="CG60" s="255"/>
      <c r="CH60" s="255"/>
      <c r="CI60" s="255"/>
      <c r="CJ60" s="255"/>
      <c r="CK60" s="255"/>
      <c r="CL60" s="255"/>
      <c r="CM60" s="255"/>
      <c r="CN60" s="257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</row>
    <row r="61" spans="1:158" s="71" customFormat="1">
      <c r="A61" s="256"/>
      <c r="B61" s="249"/>
      <c r="C61" s="249"/>
      <c r="D61" s="249"/>
      <c r="E61" s="250"/>
      <c r="F61" s="250"/>
      <c r="G61" s="251"/>
      <c r="H61" s="251"/>
      <c r="I61" s="251"/>
      <c r="J61" s="252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X61" s="251"/>
      <c r="Y61" s="251"/>
      <c r="Z61" s="251"/>
      <c r="AA61" s="251"/>
      <c r="AB61" s="251"/>
      <c r="AC61" s="251"/>
      <c r="AD61" s="251"/>
      <c r="AE61" s="251"/>
      <c r="AF61" s="251"/>
      <c r="AG61" s="251"/>
      <c r="AH61" s="251"/>
      <c r="AI61" s="251"/>
      <c r="AJ61" s="251"/>
      <c r="AK61" s="251"/>
      <c r="AL61" s="251"/>
      <c r="AM61" s="251"/>
      <c r="AN61" s="253"/>
      <c r="AO61" s="253"/>
      <c r="AP61" s="207"/>
      <c r="AQ61" s="208"/>
      <c r="AR61" s="236"/>
      <c r="AS61" s="254"/>
      <c r="AT61" s="255"/>
      <c r="AU61" s="255"/>
      <c r="AV61" s="255"/>
      <c r="AW61" s="255"/>
      <c r="AX61" s="255"/>
      <c r="AY61" s="255"/>
      <c r="AZ61" s="255"/>
      <c r="BA61" s="255"/>
      <c r="BB61" s="255"/>
      <c r="BC61" s="255"/>
      <c r="BD61" s="256"/>
      <c r="BE61" s="254"/>
      <c r="BF61" s="255"/>
      <c r="BG61" s="255"/>
      <c r="BH61" s="255"/>
      <c r="BI61" s="255"/>
      <c r="BJ61" s="255"/>
      <c r="BK61" s="255"/>
      <c r="BL61" s="255"/>
      <c r="BM61" s="255"/>
      <c r="BN61" s="255"/>
      <c r="BO61" s="255"/>
      <c r="BP61" s="256"/>
      <c r="BQ61" s="254"/>
      <c r="BR61" s="255"/>
      <c r="BS61" s="255"/>
      <c r="BT61" s="255"/>
      <c r="BU61" s="255"/>
      <c r="BV61" s="255"/>
      <c r="BW61" s="255"/>
      <c r="BX61" s="255"/>
      <c r="BY61" s="255"/>
      <c r="BZ61" s="255"/>
      <c r="CA61" s="255"/>
      <c r="CB61" s="256"/>
      <c r="CC61" s="254"/>
      <c r="CD61" s="255"/>
      <c r="CE61" s="255"/>
      <c r="CF61" s="255"/>
      <c r="CG61" s="255"/>
      <c r="CH61" s="255"/>
      <c r="CI61" s="255"/>
      <c r="CJ61" s="255"/>
      <c r="CK61" s="255"/>
      <c r="CL61" s="255"/>
      <c r="CM61" s="255"/>
      <c r="CN61" s="257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</row>
    <row r="62" spans="1:158" s="71" customFormat="1">
      <c r="A62" s="256"/>
      <c r="B62" s="249"/>
      <c r="C62" s="249"/>
      <c r="D62" s="249"/>
      <c r="E62" s="250"/>
      <c r="F62" s="250"/>
      <c r="G62" s="251"/>
      <c r="H62" s="251"/>
      <c r="I62" s="251"/>
      <c r="J62" s="252"/>
      <c r="K62" s="251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51"/>
      <c r="Z62" s="251"/>
      <c r="AA62" s="251"/>
      <c r="AB62" s="251"/>
      <c r="AC62" s="251"/>
      <c r="AD62" s="251"/>
      <c r="AE62" s="251"/>
      <c r="AF62" s="251"/>
      <c r="AG62" s="251"/>
      <c r="AH62" s="251"/>
      <c r="AI62" s="251"/>
      <c r="AJ62" s="251"/>
      <c r="AK62" s="251"/>
      <c r="AL62" s="251"/>
      <c r="AM62" s="251"/>
      <c r="AN62" s="253"/>
      <c r="AO62" s="253"/>
      <c r="AP62" s="207"/>
      <c r="AQ62" s="208"/>
      <c r="AR62" s="236"/>
      <c r="AS62" s="254"/>
      <c r="AT62" s="255"/>
      <c r="AU62" s="255"/>
      <c r="AV62" s="255"/>
      <c r="AW62" s="255"/>
      <c r="AX62" s="255"/>
      <c r="AY62" s="255"/>
      <c r="AZ62" s="255"/>
      <c r="BA62" s="255"/>
      <c r="BB62" s="255"/>
      <c r="BC62" s="255"/>
      <c r="BD62" s="256"/>
      <c r="BE62" s="254"/>
      <c r="BF62" s="255"/>
      <c r="BG62" s="255"/>
      <c r="BH62" s="255"/>
      <c r="BI62" s="255"/>
      <c r="BJ62" s="255"/>
      <c r="BK62" s="255"/>
      <c r="BL62" s="255"/>
      <c r="BM62" s="255"/>
      <c r="BN62" s="255"/>
      <c r="BO62" s="255"/>
      <c r="BP62" s="256"/>
      <c r="BQ62" s="254"/>
      <c r="BR62" s="255"/>
      <c r="BS62" s="255"/>
      <c r="BT62" s="255"/>
      <c r="BU62" s="255"/>
      <c r="BV62" s="255"/>
      <c r="BW62" s="255"/>
      <c r="BX62" s="255"/>
      <c r="BY62" s="255"/>
      <c r="BZ62" s="255"/>
      <c r="CA62" s="255"/>
      <c r="CB62" s="256"/>
      <c r="CC62" s="254"/>
      <c r="CD62" s="255"/>
      <c r="CE62" s="255"/>
      <c r="CF62" s="255"/>
      <c r="CG62" s="255"/>
      <c r="CH62" s="255"/>
      <c r="CI62" s="255"/>
      <c r="CJ62" s="255"/>
      <c r="CK62" s="255"/>
      <c r="CL62" s="255"/>
      <c r="CM62" s="255"/>
      <c r="CN62" s="257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</row>
    <row r="63" spans="1:158" s="71" customFormat="1">
      <c r="A63" s="256"/>
      <c r="B63" s="249"/>
      <c r="C63" s="249"/>
      <c r="D63" s="249"/>
      <c r="E63" s="250"/>
      <c r="F63" s="250"/>
      <c r="G63" s="251"/>
      <c r="H63" s="251"/>
      <c r="I63" s="251"/>
      <c r="J63" s="252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Y63" s="251"/>
      <c r="Z63" s="251"/>
      <c r="AA63" s="251"/>
      <c r="AB63" s="251"/>
      <c r="AC63" s="251"/>
      <c r="AD63" s="251"/>
      <c r="AE63" s="251"/>
      <c r="AF63" s="251"/>
      <c r="AG63" s="251"/>
      <c r="AH63" s="251"/>
      <c r="AI63" s="251"/>
      <c r="AJ63" s="251"/>
      <c r="AK63" s="251"/>
      <c r="AL63" s="251"/>
      <c r="AM63" s="251"/>
      <c r="AN63" s="253"/>
      <c r="AO63" s="253"/>
      <c r="AP63" s="207"/>
      <c r="AQ63" s="208"/>
      <c r="AR63" s="236"/>
      <c r="AS63" s="254"/>
      <c r="AT63" s="255"/>
      <c r="AU63" s="255"/>
      <c r="AV63" s="255"/>
      <c r="AW63" s="255"/>
      <c r="AX63" s="255"/>
      <c r="AY63" s="255"/>
      <c r="AZ63" s="255"/>
      <c r="BA63" s="255"/>
      <c r="BB63" s="255"/>
      <c r="BC63" s="255"/>
      <c r="BD63" s="256"/>
      <c r="BE63" s="254"/>
      <c r="BF63" s="255"/>
      <c r="BG63" s="255"/>
      <c r="BH63" s="255"/>
      <c r="BI63" s="255"/>
      <c r="BJ63" s="255"/>
      <c r="BK63" s="255"/>
      <c r="BL63" s="255"/>
      <c r="BM63" s="255"/>
      <c r="BN63" s="255"/>
      <c r="BO63" s="255"/>
      <c r="BP63" s="256"/>
      <c r="BQ63" s="254"/>
      <c r="BR63" s="255"/>
      <c r="BS63" s="255"/>
      <c r="BT63" s="255"/>
      <c r="BU63" s="255"/>
      <c r="BV63" s="255"/>
      <c r="BW63" s="255"/>
      <c r="BX63" s="255"/>
      <c r="BY63" s="255"/>
      <c r="BZ63" s="255"/>
      <c r="CA63" s="255"/>
      <c r="CB63" s="256"/>
      <c r="CC63" s="254"/>
      <c r="CD63" s="255"/>
      <c r="CE63" s="255"/>
      <c r="CF63" s="255"/>
      <c r="CG63" s="255"/>
      <c r="CH63" s="255"/>
      <c r="CI63" s="255"/>
      <c r="CJ63" s="255"/>
      <c r="CK63" s="255"/>
      <c r="CL63" s="255"/>
      <c r="CM63" s="255"/>
      <c r="CN63" s="257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</row>
    <row r="64" spans="1:158" s="71" customFormat="1">
      <c r="A64" s="256"/>
      <c r="B64" s="249"/>
      <c r="C64" s="249"/>
      <c r="D64" s="249"/>
      <c r="E64" s="250"/>
      <c r="F64" s="250"/>
      <c r="G64" s="251"/>
      <c r="H64" s="251"/>
      <c r="I64" s="251"/>
      <c r="J64" s="252"/>
      <c r="K64" s="251"/>
      <c r="L64" s="251"/>
      <c r="M64" s="251"/>
      <c r="N64" s="251"/>
      <c r="O64" s="251"/>
      <c r="P64" s="251"/>
      <c r="Q64" s="251"/>
      <c r="R64" s="251"/>
      <c r="S64" s="251"/>
      <c r="T64" s="251"/>
      <c r="U64" s="251"/>
      <c r="V64" s="251"/>
      <c r="W64" s="251"/>
      <c r="X64" s="251"/>
      <c r="Y64" s="251"/>
      <c r="Z64" s="251"/>
      <c r="AA64" s="251"/>
      <c r="AB64" s="251"/>
      <c r="AC64" s="251"/>
      <c r="AD64" s="251"/>
      <c r="AE64" s="251"/>
      <c r="AF64" s="251"/>
      <c r="AG64" s="251"/>
      <c r="AH64" s="251"/>
      <c r="AI64" s="251"/>
      <c r="AJ64" s="251"/>
      <c r="AK64" s="251"/>
      <c r="AL64" s="251"/>
      <c r="AM64" s="251"/>
      <c r="AN64" s="253"/>
      <c r="AO64" s="253"/>
      <c r="AP64" s="207"/>
      <c r="AQ64" s="208"/>
      <c r="AR64" s="236"/>
      <c r="AS64" s="254"/>
      <c r="AT64" s="255"/>
      <c r="AU64" s="255"/>
      <c r="AV64" s="255"/>
      <c r="AW64" s="255"/>
      <c r="AX64" s="255"/>
      <c r="AY64" s="255"/>
      <c r="AZ64" s="255"/>
      <c r="BA64" s="255"/>
      <c r="BB64" s="255"/>
      <c r="BC64" s="255"/>
      <c r="BD64" s="256"/>
      <c r="BE64" s="254"/>
      <c r="BF64" s="255"/>
      <c r="BG64" s="255"/>
      <c r="BH64" s="255"/>
      <c r="BI64" s="255"/>
      <c r="BJ64" s="255"/>
      <c r="BK64" s="255"/>
      <c r="BL64" s="255"/>
      <c r="BM64" s="255"/>
      <c r="BN64" s="255"/>
      <c r="BO64" s="255"/>
      <c r="BP64" s="256"/>
      <c r="BQ64" s="254"/>
      <c r="BR64" s="255"/>
      <c r="BS64" s="255"/>
      <c r="BT64" s="255"/>
      <c r="BU64" s="255"/>
      <c r="BV64" s="255"/>
      <c r="BW64" s="255"/>
      <c r="BX64" s="255"/>
      <c r="BY64" s="255"/>
      <c r="BZ64" s="255"/>
      <c r="CA64" s="255"/>
      <c r="CB64" s="256"/>
      <c r="CC64" s="254"/>
      <c r="CD64" s="255"/>
      <c r="CE64" s="255"/>
      <c r="CF64" s="255"/>
      <c r="CG64" s="255"/>
      <c r="CH64" s="255"/>
      <c r="CI64" s="255"/>
      <c r="CJ64" s="255"/>
      <c r="CK64" s="255"/>
      <c r="CL64" s="255"/>
      <c r="CM64" s="255"/>
      <c r="CN64" s="257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</row>
    <row r="65" spans="1:158" s="71" customFormat="1">
      <c r="A65" s="256"/>
      <c r="B65" s="249"/>
      <c r="C65" s="249"/>
      <c r="D65" s="250"/>
      <c r="E65" s="259"/>
      <c r="F65" s="259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Y65" s="251"/>
      <c r="Z65" s="251"/>
      <c r="AA65" s="251"/>
      <c r="AB65" s="251"/>
      <c r="AC65" s="251"/>
      <c r="AD65" s="251"/>
      <c r="AE65" s="251"/>
      <c r="AF65" s="251"/>
      <c r="AG65" s="251"/>
      <c r="AH65" s="251"/>
      <c r="AI65" s="251"/>
      <c r="AJ65" s="251"/>
      <c r="AK65" s="251"/>
      <c r="AL65" s="251"/>
      <c r="AM65" s="251"/>
      <c r="AN65" s="253"/>
      <c r="AO65" s="253"/>
      <c r="AP65" s="207"/>
      <c r="AQ65" s="208"/>
      <c r="AR65" s="236"/>
      <c r="AS65" s="254"/>
      <c r="AT65" s="255"/>
      <c r="AU65" s="255"/>
      <c r="AV65" s="255"/>
      <c r="AW65" s="255"/>
      <c r="AX65" s="255"/>
      <c r="AY65" s="255"/>
      <c r="AZ65" s="255"/>
      <c r="BA65" s="255"/>
      <c r="BB65" s="255"/>
      <c r="BC65" s="255"/>
      <c r="BD65" s="256"/>
      <c r="BE65" s="254"/>
      <c r="BF65" s="255"/>
      <c r="BG65" s="255"/>
      <c r="BH65" s="255"/>
      <c r="BI65" s="255"/>
      <c r="BJ65" s="255"/>
      <c r="BK65" s="255"/>
      <c r="BL65" s="255"/>
      <c r="BM65" s="255"/>
      <c r="BN65" s="255"/>
      <c r="BO65" s="255"/>
      <c r="BP65" s="256"/>
      <c r="BQ65" s="254"/>
      <c r="BR65" s="255"/>
      <c r="BS65" s="255"/>
      <c r="BT65" s="255"/>
      <c r="BU65" s="255"/>
      <c r="BV65" s="255"/>
      <c r="BW65" s="255"/>
      <c r="BX65" s="255"/>
      <c r="BY65" s="255"/>
      <c r="BZ65" s="255"/>
      <c r="CA65" s="255"/>
      <c r="CB65" s="256"/>
      <c r="CC65" s="254"/>
      <c r="CD65" s="255"/>
      <c r="CE65" s="255"/>
      <c r="CF65" s="255"/>
      <c r="CG65" s="255"/>
      <c r="CH65" s="255"/>
      <c r="CI65" s="255"/>
      <c r="CJ65" s="255"/>
      <c r="CK65" s="255"/>
      <c r="CL65" s="255"/>
      <c r="CM65" s="255"/>
      <c r="CN65" s="257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</row>
    <row r="66" spans="1:158" s="71" customFormat="1">
      <c r="A66" s="256"/>
      <c r="B66" s="249"/>
      <c r="C66" s="249"/>
      <c r="D66" s="250"/>
      <c r="E66" s="259"/>
      <c r="F66" s="259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51"/>
      <c r="AG66" s="251"/>
      <c r="AH66" s="251"/>
      <c r="AI66" s="251"/>
      <c r="AJ66" s="251"/>
      <c r="AK66" s="251"/>
      <c r="AL66" s="251"/>
      <c r="AM66" s="251"/>
      <c r="AN66" s="253"/>
      <c r="AO66" s="253"/>
      <c r="AP66" s="207"/>
      <c r="AQ66" s="208"/>
      <c r="AR66" s="236"/>
      <c r="AS66" s="254"/>
      <c r="AT66" s="255"/>
      <c r="AU66" s="255"/>
      <c r="AV66" s="255"/>
      <c r="AW66" s="255"/>
      <c r="AX66" s="255"/>
      <c r="AY66" s="255"/>
      <c r="AZ66" s="255"/>
      <c r="BA66" s="255"/>
      <c r="BB66" s="255"/>
      <c r="BC66" s="255"/>
      <c r="BD66" s="256"/>
      <c r="BE66" s="254"/>
      <c r="BF66" s="255"/>
      <c r="BG66" s="255"/>
      <c r="BH66" s="255"/>
      <c r="BI66" s="255"/>
      <c r="BJ66" s="255"/>
      <c r="BK66" s="255"/>
      <c r="BL66" s="255"/>
      <c r="BM66" s="255"/>
      <c r="BN66" s="255"/>
      <c r="BO66" s="255"/>
      <c r="BP66" s="256"/>
      <c r="BQ66" s="254"/>
      <c r="BR66" s="255"/>
      <c r="BS66" s="255"/>
      <c r="BT66" s="255"/>
      <c r="BU66" s="255"/>
      <c r="BV66" s="255"/>
      <c r="BW66" s="255"/>
      <c r="BX66" s="255"/>
      <c r="BY66" s="255"/>
      <c r="BZ66" s="255"/>
      <c r="CA66" s="255"/>
      <c r="CB66" s="256"/>
      <c r="CC66" s="254"/>
      <c r="CD66" s="255"/>
      <c r="CE66" s="255"/>
      <c r="CF66" s="255"/>
      <c r="CG66" s="255"/>
      <c r="CH66" s="255"/>
      <c r="CI66" s="255"/>
      <c r="CJ66" s="255"/>
      <c r="CK66" s="255"/>
      <c r="CL66" s="255"/>
      <c r="CM66" s="255"/>
      <c r="CN66" s="257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</row>
    <row r="67" spans="1:158" s="71" customFormat="1">
      <c r="A67" s="256"/>
      <c r="B67" s="249"/>
      <c r="C67" s="249"/>
      <c r="D67" s="250"/>
      <c r="E67" s="259"/>
      <c r="F67" s="259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1"/>
      <c r="AJ67" s="251"/>
      <c r="AK67" s="251"/>
      <c r="AL67" s="251"/>
      <c r="AM67" s="251"/>
      <c r="AN67" s="253"/>
      <c r="AO67" s="253"/>
      <c r="AP67" s="207"/>
      <c r="AQ67" s="208"/>
      <c r="AR67" s="236"/>
      <c r="AS67" s="254"/>
      <c r="AT67" s="255"/>
      <c r="AU67" s="255"/>
      <c r="AV67" s="255"/>
      <c r="AW67" s="255"/>
      <c r="AX67" s="255"/>
      <c r="AY67" s="255"/>
      <c r="AZ67" s="255"/>
      <c r="BA67" s="255"/>
      <c r="BB67" s="255"/>
      <c r="BC67" s="255"/>
      <c r="BD67" s="256"/>
      <c r="BE67" s="254"/>
      <c r="BF67" s="255"/>
      <c r="BG67" s="255"/>
      <c r="BH67" s="255"/>
      <c r="BI67" s="255"/>
      <c r="BJ67" s="255"/>
      <c r="BK67" s="255"/>
      <c r="BL67" s="255"/>
      <c r="BM67" s="255"/>
      <c r="BN67" s="255"/>
      <c r="BO67" s="255"/>
      <c r="BP67" s="256"/>
      <c r="BQ67" s="254"/>
      <c r="BR67" s="255"/>
      <c r="BS67" s="255"/>
      <c r="BT67" s="255"/>
      <c r="BU67" s="255"/>
      <c r="BV67" s="255"/>
      <c r="BW67" s="255"/>
      <c r="BX67" s="255"/>
      <c r="BY67" s="255"/>
      <c r="BZ67" s="255"/>
      <c r="CA67" s="255"/>
      <c r="CB67" s="256"/>
      <c r="CC67" s="254"/>
      <c r="CD67" s="255"/>
      <c r="CE67" s="255"/>
      <c r="CF67" s="255"/>
      <c r="CG67" s="255"/>
      <c r="CH67" s="255"/>
      <c r="CI67" s="255"/>
      <c r="CJ67" s="255"/>
      <c r="CK67" s="255"/>
      <c r="CL67" s="255"/>
      <c r="CM67" s="255"/>
      <c r="CN67" s="257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</row>
    <row r="68" spans="1:158">
      <c r="A68" s="256"/>
      <c r="B68" s="249"/>
      <c r="C68" s="249"/>
      <c r="D68" s="250"/>
      <c r="E68" s="259"/>
      <c r="F68" s="259"/>
      <c r="G68" s="251"/>
      <c r="H68" s="251"/>
      <c r="I68" s="251"/>
      <c r="J68" s="251"/>
      <c r="K68" s="251"/>
      <c r="L68" s="251"/>
      <c r="M68" s="251"/>
      <c r="N68" s="251"/>
      <c r="O68" s="251"/>
      <c r="P68" s="251"/>
      <c r="Q68" s="251"/>
      <c r="R68" s="251"/>
      <c r="S68" s="251"/>
      <c r="T68" s="251"/>
      <c r="U68" s="251"/>
      <c r="V68" s="251"/>
      <c r="W68" s="251"/>
      <c r="X68" s="251"/>
      <c r="Y68" s="251"/>
      <c r="Z68" s="251"/>
      <c r="AA68" s="251"/>
      <c r="AB68" s="251"/>
      <c r="AC68" s="251"/>
      <c r="AD68" s="251"/>
      <c r="AE68" s="251"/>
      <c r="AF68" s="251"/>
      <c r="AG68" s="251"/>
      <c r="AH68" s="251"/>
      <c r="AI68" s="251"/>
      <c r="AJ68" s="251"/>
      <c r="AK68" s="251"/>
      <c r="AL68" s="251"/>
      <c r="AM68" s="251"/>
      <c r="AN68" s="253"/>
      <c r="AO68" s="253"/>
      <c r="AP68" s="207"/>
      <c r="AQ68" s="208"/>
      <c r="AR68" s="236"/>
      <c r="AS68" s="2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78"/>
      <c r="BE68" s="215"/>
      <c r="BF68" s="154"/>
      <c r="BG68" s="154"/>
      <c r="BH68" s="154"/>
      <c r="BI68" s="154"/>
      <c r="BJ68" s="154"/>
      <c r="BK68" s="154"/>
      <c r="BL68" s="154"/>
      <c r="BM68" s="154"/>
      <c r="BN68" s="154"/>
      <c r="BO68" s="154"/>
      <c r="BP68" s="78"/>
      <c r="BQ68" s="215"/>
      <c r="BR68" s="154"/>
      <c r="BS68" s="154"/>
      <c r="BT68" s="154"/>
      <c r="BU68" s="154"/>
      <c r="BV68" s="154"/>
      <c r="BW68" s="154"/>
      <c r="BX68" s="154"/>
      <c r="BY68" s="154"/>
      <c r="BZ68" s="154"/>
      <c r="CA68" s="154"/>
      <c r="CB68" s="78"/>
      <c r="CC68" s="215"/>
      <c r="CD68" s="154"/>
      <c r="CE68" s="154"/>
      <c r="CF68" s="154"/>
      <c r="CG68" s="154"/>
      <c r="CH68" s="154"/>
      <c r="CI68" s="154"/>
      <c r="CJ68" s="154"/>
      <c r="CK68" s="154"/>
      <c r="CL68" s="154"/>
      <c r="CM68" s="154"/>
      <c r="CN68" s="216"/>
    </row>
    <row r="69" spans="1:158">
      <c r="A69" s="78"/>
      <c r="B69" s="68"/>
      <c r="C69" s="68"/>
      <c r="D69" s="68"/>
      <c r="E69" s="72"/>
      <c r="F69" s="72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80"/>
      <c r="AO69" s="80"/>
      <c r="AP69" s="81">
        <f t="shared" ref="AP69" si="25">P69+AN69-AO69</f>
        <v>0</v>
      </c>
      <c r="AQ69" s="80"/>
      <c r="AR69" s="236"/>
      <c r="AS69" s="215"/>
      <c r="AT69" s="154"/>
      <c r="AU69" s="154"/>
      <c r="AV69" s="154"/>
      <c r="AW69" s="154"/>
      <c r="AX69" s="154"/>
      <c r="AY69" s="154"/>
      <c r="AZ69" s="154"/>
      <c r="BA69" s="154"/>
      <c r="BB69" s="154"/>
      <c r="BC69" s="154"/>
      <c r="BD69" s="78"/>
      <c r="BE69" s="215"/>
      <c r="BF69" s="154"/>
      <c r="BG69" s="154"/>
      <c r="BH69" s="154"/>
      <c r="BI69" s="154"/>
      <c r="BJ69" s="154"/>
      <c r="BK69" s="154"/>
      <c r="BL69" s="154"/>
      <c r="BM69" s="154"/>
      <c r="BN69" s="154"/>
      <c r="BO69" s="154"/>
      <c r="BP69" s="78"/>
      <c r="BQ69" s="215"/>
      <c r="BR69" s="154"/>
      <c r="BS69" s="154"/>
      <c r="BT69" s="154"/>
      <c r="BU69" s="154"/>
      <c r="BV69" s="154"/>
      <c r="BW69" s="154"/>
      <c r="BX69" s="154"/>
      <c r="BY69" s="154"/>
      <c r="BZ69" s="154"/>
      <c r="CA69" s="154"/>
      <c r="CB69" s="78"/>
      <c r="CC69" s="215"/>
      <c r="CD69" s="154"/>
      <c r="CE69" s="154"/>
      <c r="CF69" s="154"/>
      <c r="CG69" s="154"/>
      <c r="CH69" s="154"/>
      <c r="CI69" s="154"/>
      <c r="CJ69" s="154"/>
      <c r="CK69" s="154"/>
      <c r="CL69" s="154"/>
      <c r="CM69" s="154"/>
      <c r="CN69" s="216"/>
    </row>
    <row r="70" spans="1:158">
      <c r="A70" s="78"/>
      <c r="B70" s="68"/>
      <c r="C70" s="68"/>
      <c r="D70" s="68"/>
      <c r="E70" s="68"/>
      <c r="F70" s="68"/>
      <c r="G70" s="84"/>
      <c r="H70" s="84"/>
      <c r="I70" s="84"/>
      <c r="J70" s="84">
        <f>SUM(J6:J69)</f>
        <v>12661313.83</v>
      </c>
      <c r="K70" s="84">
        <f>SUM(K6:K69)</f>
        <v>1830475.33</v>
      </c>
      <c r="L70" s="84">
        <f>SUM(L6:L69)</f>
        <v>0</v>
      </c>
      <c r="M70" s="84">
        <f>SUM(M3:M69)</f>
        <v>14491789.160000002</v>
      </c>
      <c r="N70" s="84">
        <f>SUM(N6:N69)</f>
        <v>2857063.8279999993</v>
      </c>
      <c r="O70" s="84">
        <f>SUM(O6:O69)</f>
        <v>238088.67216666677</v>
      </c>
      <c r="P70" s="84">
        <f>SUM(P6:P69)</f>
        <v>2067191.1301912186</v>
      </c>
      <c r="Q70" s="84"/>
      <c r="R70" s="84"/>
      <c r="S70" s="84"/>
      <c r="T70" s="84">
        <f t="shared" ref="T70:AO70" si="26">SUM(T6:T69)</f>
        <v>207580.73000000007</v>
      </c>
      <c r="U70" s="84">
        <f t="shared" si="26"/>
        <v>207580.73000000007</v>
      </c>
      <c r="V70" s="84">
        <f t="shared" si="26"/>
        <v>231067.69000000009</v>
      </c>
      <c r="W70" s="84">
        <f t="shared" si="26"/>
        <v>233961.69000000009</v>
      </c>
      <c r="X70" s="84">
        <f t="shared" si="26"/>
        <v>269743.01273735112</v>
      </c>
      <c r="Y70" s="84">
        <f t="shared" si="26"/>
        <v>65779.940078807791</v>
      </c>
      <c r="Z70" s="84">
        <f t="shared" si="26"/>
        <v>274496.21205179353</v>
      </c>
      <c r="AA70" s="84">
        <f t="shared" si="26"/>
        <v>65779.940078807791</v>
      </c>
      <c r="AB70" s="84">
        <f t="shared" si="26"/>
        <v>274496.21205179353</v>
      </c>
      <c r="AC70" s="84">
        <f t="shared" si="26"/>
        <v>65779.940078807791</v>
      </c>
      <c r="AD70" s="84">
        <f t="shared" si="26"/>
        <v>274496.21205179353</v>
      </c>
      <c r="AE70" s="84">
        <f t="shared" si="26"/>
        <v>65779.940078807791</v>
      </c>
      <c r="AF70" s="84">
        <f t="shared" si="26"/>
        <v>274496.21273735113</v>
      </c>
      <c r="AG70" s="84">
        <f t="shared" si="26"/>
        <v>65779.900000000009</v>
      </c>
      <c r="AH70" s="84">
        <f t="shared" si="26"/>
        <v>274496.21273735113</v>
      </c>
      <c r="AI70" s="84">
        <f t="shared" si="26"/>
        <v>62222.43</v>
      </c>
      <c r="AJ70" s="84">
        <f t="shared" si="26"/>
        <v>253563.47999999998</v>
      </c>
      <c r="AK70" s="84">
        <f t="shared" si="26"/>
        <v>53877.49</v>
      </c>
      <c r="AL70" s="84">
        <f t="shared" si="26"/>
        <v>310217.51780555554</v>
      </c>
      <c r="AM70" s="84">
        <f t="shared" si="26"/>
        <v>38969.839999999989</v>
      </c>
      <c r="AN70" s="84">
        <f t="shared" si="26"/>
        <v>3493974.7846826655</v>
      </c>
      <c r="AO70" s="84">
        <f t="shared" si="26"/>
        <v>0</v>
      </c>
      <c r="AP70" s="84">
        <f>SUM(AP3:AP69)</f>
        <v>5561165.914873885</v>
      </c>
      <c r="AQ70" s="84">
        <f>SUM(AQ3:AQ69)</f>
        <v>11673482.966126118</v>
      </c>
      <c r="AS70" s="215"/>
      <c r="AT70" s="154"/>
      <c r="AU70" s="154"/>
      <c r="AV70" s="154"/>
      <c r="AW70" s="154"/>
      <c r="AX70" s="154"/>
      <c r="AY70" s="154"/>
      <c r="AZ70" s="154"/>
      <c r="BA70" s="154"/>
      <c r="BB70" s="154"/>
      <c r="BC70" s="154"/>
      <c r="BD70" s="78"/>
      <c r="BE70" s="215"/>
      <c r="BF70" s="154"/>
      <c r="BG70" s="154"/>
      <c r="BH70" s="154"/>
      <c r="BI70" s="154"/>
      <c r="BJ70" s="154"/>
      <c r="BK70" s="154"/>
      <c r="BL70" s="154"/>
      <c r="BM70" s="154"/>
      <c r="BN70" s="154"/>
      <c r="BO70" s="154"/>
      <c r="BP70" s="78"/>
      <c r="BQ70" s="215"/>
      <c r="BR70" s="154"/>
      <c r="BS70" s="154"/>
      <c r="BT70" s="154"/>
      <c r="BU70" s="154"/>
      <c r="BV70" s="154"/>
      <c r="BW70" s="154"/>
      <c r="BX70" s="154"/>
      <c r="BY70" s="154"/>
      <c r="BZ70" s="154"/>
      <c r="CA70" s="154"/>
      <c r="CB70" s="78"/>
      <c r="CC70" s="215"/>
      <c r="CD70" s="154"/>
      <c r="CE70" s="154"/>
      <c r="CF70" s="154"/>
      <c r="CG70" s="154"/>
      <c r="CH70" s="154"/>
      <c r="CI70" s="154"/>
      <c r="CJ70" s="154"/>
      <c r="CK70" s="154"/>
      <c r="CL70" s="154"/>
      <c r="CM70" s="154"/>
      <c r="CN70" s="216"/>
    </row>
    <row r="71" spans="1:158"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S71" s="221">
        <f t="shared" ref="AS71:CN71" si="27">SUM(AS6:AS70)</f>
        <v>272996.81</v>
      </c>
      <c r="AT71" s="260">
        <f t="shared" si="27"/>
        <v>309385.69866666663</v>
      </c>
      <c r="AU71" s="260">
        <f t="shared" si="27"/>
        <v>328165.89677777776</v>
      </c>
      <c r="AV71" s="260">
        <f t="shared" si="27"/>
        <v>339372.54308333329</v>
      </c>
      <c r="AW71" s="260">
        <f t="shared" si="27"/>
        <v>349187.35780555551</v>
      </c>
      <c r="AX71" s="260">
        <f t="shared" si="27"/>
        <v>349187.35780555551</v>
      </c>
      <c r="AY71" s="260">
        <f t="shared" si="27"/>
        <v>349187.35780555551</v>
      </c>
      <c r="AZ71" s="260">
        <f t="shared" si="27"/>
        <v>349187.35780555551</v>
      </c>
      <c r="BA71" s="260">
        <f t="shared" si="27"/>
        <v>349187.35780555551</v>
      </c>
      <c r="BB71" s="260">
        <f t="shared" si="27"/>
        <v>349187.35780555551</v>
      </c>
      <c r="BC71" s="260">
        <f t="shared" si="27"/>
        <v>349187.35780555551</v>
      </c>
      <c r="BD71" s="261">
        <f t="shared" si="27"/>
        <v>349187.35780555551</v>
      </c>
      <c r="BE71" s="221">
        <f t="shared" si="27"/>
        <v>349187.35780555551</v>
      </c>
      <c r="BF71" s="260">
        <f t="shared" si="27"/>
        <v>334086.55780555547</v>
      </c>
      <c r="BG71" s="260">
        <f t="shared" si="27"/>
        <v>305075.88780555554</v>
      </c>
      <c r="BH71" s="260">
        <f t="shared" si="27"/>
        <v>305075.88780555554</v>
      </c>
      <c r="BI71" s="260">
        <f t="shared" si="27"/>
        <v>290780.4678055555</v>
      </c>
      <c r="BJ71" s="260">
        <f t="shared" si="27"/>
        <v>290780.4678055555</v>
      </c>
      <c r="BK71" s="260">
        <f t="shared" si="27"/>
        <v>284613.99780555553</v>
      </c>
      <c r="BL71" s="260">
        <f t="shared" si="27"/>
        <v>284613.99780555553</v>
      </c>
      <c r="BM71" s="260">
        <f t="shared" si="27"/>
        <v>284613.99780555553</v>
      </c>
      <c r="BN71" s="260">
        <f t="shared" si="27"/>
        <v>284613.99780555553</v>
      </c>
      <c r="BO71" s="260">
        <f t="shared" si="27"/>
        <v>284613.99780555553</v>
      </c>
      <c r="BP71" s="261">
        <f t="shared" si="27"/>
        <v>279250.47780555557</v>
      </c>
      <c r="BQ71" s="221">
        <f t="shared" si="27"/>
        <v>279250.47780555557</v>
      </c>
      <c r="BR71" s="260">
        <f t="shared" si="27"/>
        <v>279250.47780555557</v>
      </c>
      <c r="BS71" s="260">
        <f t="shared" si="27"/>
        <v>266199.29780555563</v>
      </c>
      <c r="BT71" s="260">
        <f t="shared" si="27"/>
        <v>266199.29780555563</v>
      </c>
      <c r="BU71" s="260">
        <f t="shared" si="27"/>
        <v>240930.5778055556</v>
      </c>
      <c r="BV71" s="260">
        <f t="shared" si="27"/>
        <v>240930.5778055556</v>
      </c>
      <c r="BW71" s="260">
        <f t="shared" si="27"/>
        <v>240930.5778055556</v>
      </c>
      <c r="BX71" s="260">
        <f t="shared" si="27"/>
        <v>233190.71780555559</v>
      </c>
      <c r="BY71" s="260">
        <f t="shared" si="27"/>
        <v>233190.71780555559</v>
      </c>
      <c r="BZ71" s="260">
        <f t="shared" si="27"/>
        <v>223565.6078055556</v>
      </c>
      <c r="CA71" s="260">
        <f t="shared" si="27"/>
        <v>170491.38780555557</v>
      </c>
      <c r="CB71" s="261">
        <f t="shared" si="27"/>
        <v>148566.92780555558</v>
      </c>
      <c r="CC71" s="221">
        <f t="shared" si="27"/>
        <v>134837.04780555557</v>
      </c>
      <c r="CD71" s="260">
        <f t="shared" si="27"/>
        <v>98448.159138888892</v>
      </c>
      <c r="CE71" s="260">
        <f t="shared" si="27"/>
        <v>79667.961027777768</v>
      </c>
      <c r="CF71" s="260">
        <f t="shared" si="27"/>
        <v>68461.314722222218</v>
      </c>
      <c r="CG71" s="260">
        <f t="shared" si="27"/>
        <v>27082.639999999999</v>
      </c>
      <c r="CH71" s="260">
        <f t="shared" si="27"/>
        <v>27082.639999999999</v>
      </c>
      <c r="CI71" s="260">
        <f t="shared" si="27"/>
        <v>27082.639999999999</v>
      </c>
      <c r="CJ71" s="260">
        <f t="shared" si="27"/>
        <v>4753.2</v>
      </c>
      <c r="CK71" s="260">
        <f t="shared" si="27"/>
        <v>4753.2</v>
      </c>
      <c r="CL71" s="260">
        <f t="shared" si="27"/>
        <v>0</v>
      </c>
      <c r="CM71" s="260">
        <f t="shared" si="27"/>
        <v>0</v>
      </c>
      <c r="CN71" s="262">
        <f t="shared" si="27"/>
        <v>0</v>
      </c>
    </row>
    <row r="72" spans="1:158">
      <c r="J72" s="1"/>
      <c r="M72" s="10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 t="s">
        <v>259</v>
      </c>
      <c r="AI72" s="11"/>
      <c r="AJ72" s="11" t="s">
        <v>259</v>
      </c>
      <c r="AK72" s="11"/>
      <c r="AL72" s="11" t="s">
        <v>259</v>
      </c>
      <c r="AM72" s="11"/>
      <c r="AN72" s="11"/>
      <c r="AQ72" s="10"/>
      <c r="AS72" s="263">
        <f>AS71/-4/1000</f>
        <v>-68.249202499999996</v>
      </c>
      <c r="AT72" s="264">
        <f t="shared" ref="AT72:CN72" si="28">AT71/-4/1000</f>
        <v>-77.346424666666664</v>
      </c>
      <c r="AU72" s="264">
        <f t="shared" si="28"/>
        <v>-82.041474194444433</v>
      </c>
      <c r="AV72" s="264">
        <f t="shared" si="28"/>
        <v>-84.843135770833328</v>
      </c>
      <c r="AW72" s="264">
        <f t="shared" si="28"/>
        <v>-87.296839451388877</v>
      </c>
      <c r="AX72" s="264">
        <f t="shared" si="28"/>
        <v>-87.296839451388877</v>
      </c>
      <c r="AY72" s="264">
        <f t="shared" si="28"/>
        <v>-87.296839451388877</v>
      </c>
      <c r="AZ72" s="264">
        <f t="shared" si="28"/>
        <v>-87.296839451388877</v>
      </c>
      <c r="BA72" s="264">
        <f t="shared" si="28"/>
        <v>-87.296839451388877</v>
      </c>
      <c r="BB72" s="264">
        <f t="shared" si="28"/>
        <v>-87.296839451388877</v>
      </c>
      <c r="BC72" s="264">
        <f t="shared" si="28"/>
        <v>-87.296839451388877</v>
      </c>
      <c r="BD72" s="265">
        <f t="shared" si="28"/>
        <v>-87.296839451388877</v>
      </c>
      <c r="BE72" s="263">
        <f t="shared" si="28"/>
        <v>-87.296839451388877</v>
      </c>
      <c r="BF72" s="264">
        <f t="shared" si="28"/>
        <v>-83.521639451388864</v>
      </c>
      <c r="BG72" s="264">
        <f t="shared" si="28"/>
        <v>-76.268971951388892</v>
      </c>
      <c r="BH72" s="264">
        <f t="shared" si="28"/>
        <v>-76.268971951388892</v>
      </c>
      <c r="BI72" s="264">
        <f t="shared" si="28"/>
        <v>-72.695116951388869</v>
      </c>
      <c r="BJ72" s="264">
        <f t="shared" si="28"/>
        <v>-72.695116951388869</v>
      </c>
      <c r="BK72" s="264">
        <f t="shared" si="28"/>
        <v>-71.153499451388882</v>
      </c>
      <c r="BL72" s="264">
        <f t="shared" si="28"/>
        <v>-71.153499451388882</v>
      </c>
      <c r="BM72" s="264">
        <f t="shared" si="28"/>
        <v>-71.153499451388882</v>
      </c>
      <c r="BN72" s="264">
        <f t="shared" si="28"/>
        <v>-71.153499451388882</v>
      </c>
      <c r="BO72" s="264">
        <f t="shared" si="28"/>
        <v>-71.153499451388882</v>
      </c>
      <c r="BP72" s="265">
        <f t="shared" si="28"/>
        <v>-69.812619451388898</v>
      </c>
      <c r="BQ72" s="263">
        <f t="shared" si="28"/>
        <v>-69.812619451388898</v>
      </c>
      <c r="BR72" s="264">
        <f t="shared" si="28"/>
        <v>-69.812619451388898</v>
      </c>
      <c r="BS72" s="264">
        <f t="shared" si="28"/>
        <v>-66.549824451388901</v>
      </c>
      <c r="BT72" s="264">
        <f t="shared" si="28"/>
        <v>-66.549824451388901</v>
      </c>
      <c r="BU72" s="264">
        <f t="shared" si="28"/>
        <v>-60.2326444513889</v>
      </c>
      <c r="BV72" s="264">
        <f t="shared" si="28"/>
        <v>-60.2326444513889</v>
      </c>
      <c r="BW72" s="264">
        <f t="shared" si="28"/>
        <v>-60.2326444513889</v>
      </c>
      <c r="BX72" s="264">
        <f t="shared" si="28"/>
        <v>-58.297679451388895</v>
      </c>
      <c r="BY72" s="264">
        <f t="shared" si="28"/>
        <v>-58.297679451388895</v>
      </c>
      <c r="BZ72" s="264">
        <f t="shared" si="28"/>
        <v>-55.8914019513889</v>
      </c>
      <c r="CA72" s="264">
        <f t="shared" si="28"/>
        <v>-42.622846951388894</v>
      </c>
      <c r="CB72" s="265">
        <f t="shared" si="28"/>
        <v>-37.141731951388891</v>
      </c>
      <c r="CC72" s="263">
        <f t="shared" si="28"/>
        <v>-33.709261951388896</v>
      </c>
      <c r="CD72" s="264">
        <f t="shared" si="28"/>
        <v>-24.612039784722224</v>
      </c>
      <c r="CE72" s="264">
        <f t="shared" si="28"/>
        <v>-19.916990256944441</v>
      </c>
      <c r="CF72" s="264">
        <f t="shared" si="28"/>
        <v>-17.115328680555553</v>
      </c>
      <c r="CG72" s="264">
        <f t="shared" si="28"/>
        <v>-6.7706599999999995</v>
      </c>
      <c r="CH72" s="264">
        <f t="shared" si="28"/>
        <v>-6.7706599999999995</v>
      </c>
      <c r="CI72" s="264">
        <f t="shared" si="28"/>
        <v>-6.7706599999999995</v>
      </c>
      <c r="CJ72" s="264">
        <f t="shared" si="28"/>
        <v>-1.1882999999999999</v>
      </c>
      <c r="CK72" s="264">
        <f t="shared" si="28"/>
        <v>-1.1882999999999999</v>
      </c>
      <c r="CL72" s="264">
        <f t="shared" si="28"/>
        <v>0</v>
      </c>
      <c r="CM72" s="264">
        <f t="shared" si="28"/>
        <v>0</v>
      </c>
      <c r="CN72" s="266">
        <f t="shared" si="28"/>
        <v>0</v>
      </c>
    </row>
    <row r="73" spans="1:158">
      <c r="J73" s="10"/>
      <c r="P73" s="10"/>
      <c r="Q73" s="10"/>
      <c r="R73" s="10"/>
      <c r="S73" s="10"/>
      <c r="AN73" s="11"/>
      <c r="AP73" s="2"/>
    </row>
    <row r="74" spans="1:158">
      <c r="G74" s="10"/>
      <c r="H74" s="10"/>
      <c r="I74" s="10"/>
      <c r="J74" s="10"/>
      <c r="M74" s="10"/>
      <c r="Y74" s="267"/>
      <c r="AA74" s="267"/>
      <c r="AC74" s="267"/>
      <c r="AE74" s="267"/>
      <c r="AH74" s="1" t="s">
        <v>260</v>
      </c>
      <c r="AI74" s="11">
        <f>+AI70-AI72-AI73</f>
        <v>62222.43</v>
      </c>
      <c r="AJ74" s="1" t="s">
        <v>260</v>
      </c>
      <c r="AL74" s="1" t="s">
        <v>260</v>
      </c>
      <c r="AN74" s="11"/>
      <c r="AQ74" s="2"/>
    </row>
    <row r="75" spans="1:158">
      <c r="M75" s="2">
        <v>14491790.4</v>
      </c>
      <c r="T75" s="10"/>
      <c r="U75" s="10"/>
      <c r="V75" s="10"/>
      <c r="W75" s="10"/>
      <c r="X75" s="10"/>
      <c r="Y75" s="10"/>
      <c r="AQ75" s="11"/>
    </row>
    <row r="76" spans="1:158">
      <c r="M76" s="2">
        <f>+M70-M75</f>
        <v>-1.2399999983608723</v>
      </c>
    </row>
    <row r="77" spans="1:158">
      <c r="AN77" s="69" t="s">
        <v>261</v>
      </c>
      <c r="AP77" s="1">
        <v>5561164.9100000001</v>
      </c>
      <c r="AQ77" s="1">
        <f>14491790.4-5561164.91</f>
        <v>8930625.4900000002</v>
      </c>
    </row>
    <row r="78" spans="1:158">
      <c r="AN78" s="10"/>
      <c r="AP78" s="10">
        <f>+AP70-AP77</f>
        <v>1.0048738848417997</v>
      </c>
      <c r="AQ78" s="10">
        <f>+AQ70-AQ77</f>
        <v>2742857.4761261176</v>
      </c>
    </row>
  </sheetData>
  <mergeCells count="2">
    <mergeCell ref="J1:M1"/>
    <mergeCell ref="T1:AN1"/>
  </mergeCells>
  <conditionalFormatting sqref="C23:C29">
    <cfRule type="duplicateValues" dxfId="10" priority="5"/>
  </conditionalFormatting>
  <conditionalFormatting sqref="C31">
    <cfRule type="duplicateValues" dxfId="9" priority="3"/>
  </conditionalFormatting>
  <conditionalFormatting sqref="C32:C33">
    <cfRule type="duplicateValues" dxfId="8" priority="2"/>
  </conditionalFormatting>
  <conditionalFormatting sqref="C34:C43">
    <cfRule type="duplicateValues" dxfId="7" priority="10"/>
  </conditionalFormatting>
  <conditionalFormatting sqref="C12:D17">
    <cfRule type="duplicateValues" dxfId="6" priority="1"/>
  </conditionalFormatting>
  <conditionalFormatting sqref="C22:D22">
    <cfRule type="duplicateValues" dxfId="5" priority="4"/>
  </conditionalFormatting>
  <conditionalFormatting sqref="C69:D69 C18:D21 C30:D30 D23:D29 D31">
    <cfRule type="duplicateValues" dxfId="4" priority="8"/>
  </conditionalFormatting>
  <conditionalFormatting sqref="C69:D69 C50:D50 C65:C68 C3:D11">
    <cfRule type="duplicateValues" dxfId="3" priority="9"/>
  </conditionalFormatting>
  <conditionalFormatting sqref="C71:D71">
    <cfRule type="duplicateValues" dxfId="2" priority="7"/>
  </conditionalFormatting>
  <conditionalFormatting sqref="C72:D72">
    <cfRule type="duplicateValues" dxfId="1" priority="6"/>
  </conditionalFormatting>
  <conditionalFormatting sqref="D32:D43">
    <cfRule type="duplicateValues" dxfId="0" priority="1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F025B3AC03942B6BD9A819FBE5546" ma:contentTypeVersion="13" ma:contentTypeDescription="Crée un document." ma:contentTypeScope="" ma:versionID="da89c0cb7a1cee688584c073ba1651dc">
  <xsd:schema xmlns:xsd="http://www.w3.org/2001/XMLSchema" xmlns:xs="http://www.w3.org/2001/XMLSchema" xmlns:p="http://schemas.microsoft.com/office/2006/metadata/properties" xmlns:ns2="42f05a0f-c563-4a5b-a62a-7553abd7ec7a" xmlns:ns3="03331e12-c1a2-4c9a-9f54-d17065250a4e" targetNamespace="http://schemas.microsoft.com/office/2006/metadata/properties" ma:root="true" ma:fieldsID="790f723be173e04e006d098aa2bf80e3" ns2:_="" ns3:_="">
    <xsd:import namespace="42f05a0f-c563-4a5b-a62a-7553abd7ec7a"/>
    <xsd:import namespace="03331e12-c1a2-4c9a-9f54-d17065250a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05a0f-c563-4a5b-a62a-7553abd7e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6e375fb1-6e51-48e2-8e67-9b3fce3582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331e12-c1a2-4c9a-9f54-d17065250a4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f05a0f-c563-4a5b-a62a-7553abd7ec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921EAB-4A03-4BF4-9EF9-CBD7ACF21088}"/>
</file>

<file path=customXml/itemProps2.xml><?xml version="1.0" encoding="utf-8"?>
<ds:datastoreItem xmlns:ds="http://schemas.openxmlformats.org/officeDocument/2006/customXml" ds:itemID="{E0371915-FC00-4831-B323-7CA426AF6591}"/>
</file>

<file path=customXml/itemProps3.xml><?xml version="1.0" encoding="utf-8"?>
<ds:datastoreItem xmlns:ds="http://schemas.openxmlformats.org/officeDocument/2006/customXml" ds:itemID="{BC619540-6777-4847-B41F-698B1F1D66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Surjith</dc:creator>
  <cp:keywords/>
  <dc:description/>
  <cp:lastModifiedBy>Melanie EUZET</cp:lastModifiedBy>
  <cp:revision/>
  <dcterms:created xsi:type="dcterms:W3CDTF">2021-10-03T13:32:34Z</dcterms:created>
  <dcterms:modified xsi:type="dcterms:W3CDTF">2026-03-12T11:42:54Z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0x0101003DFF025B3AC03942B6BD9A819FBE5546</vt:lpwstr>
  </property>
  <property fmtid="{D5CDD505-2E9C-101B-9397-08002B2CF9AE}" pid="3" name="MediaServiceImageTags">
    <vt:lpwstr/>
  </property>
</Properties>
</file>