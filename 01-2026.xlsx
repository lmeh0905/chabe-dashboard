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eraline\Desktop\DUBAI\Paie\TLT\ADM\Juin\"/>
    </mc:Choice>
  </mc:AlternateContent>
  <xr:revisionPtr revIDLastSave="6608" documentId="8_{35B02FC6-75CB-4785-80C2-EB3931DEB2E1}" xr6:coauthVersionLast="47" xr6:coauthVersionMax="47" xr10:uidLastSave="{5B5BEED0-9752-4DB7-8CA6-F2050B4F54AC}"/>
  <bookViews>
    <workbookView xWindow="-80" yWindow="-80" windowWidth="19360" windowHeight="10360" xr2:uid="{09A3B37E-90C9-4F03-96E4-FB4B7C186EE9}"/>
  </bookViews>
  <sheets>
    <sheet name="Infos Mensuelles" sheetId="8" r:id="rId1"/>
    <sheet name="Laurent" sheetId="16" r:id="rId2"/>
    <sheet name="Mohamed" sheetId="18" r:id="rId3"/>
    <sheet name="Fancy" sheetId="6" r:id="rId4"/>
    <sheet name="Binu" sheetId="1" r:id="rId5"/>
    <sheet name="Anoop" sheetId="9" r:id="rId6"/>
    <sheet name="Azeem" sheetId="3" r:id="rId7"/>
    <sheet name="Maideen" sheetId="17" r:id="rId8"/>
    <sheet name="Prince" sheetId="4" r:id="rId9"/>
    <sheet name="Sajub" sheetId="2" r:id="rId10"/>
    <sheet name="Shanavas" sheetId="14" r:id="rId11"/>
    <sheet name="Raiza" sheetId="25" r:id="rId12"/>
    <sheet name="Loshin" sheetId="10" r:id="rId13"/>
    <sheet name="Patma" sheetId="19" r:id="rId14"/>
    <sheet name="Rather" sheetId="26" r:id="rId15"/>
    <sheet name="Mariam" sheetId="23" r:id="rId16"/>
    <sheet name="Fetoun" sheetId="24" r:id="rId17"/>
    <sheet name="Shaikha" sheetId="22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26" l="1"/>
  <c r="J43" i="26"/>
  <c r="J42" i="26"/>
  <c r="J41" i="26"/>
  <c r="J40" i="26"/>
  <c r="J39" i="26"/>
  <c r="G35" i="26"/>
  <c r="G34" i="26"/>
  <c r="G33" i="26"/>
  <c r="G32" i="26"/>
  <c r="G31" i="26"/>
  <c r="G30" i="26"/>
  <c r="G29" i="26"/>
  <c r="G28" i="26"/>
  <c r="G27" i="26"/>
  <c r="L18" i="26"/>
  <c r="L17" i="26"/>
  <c r="L16" i="26"/>
  <c r="H19" i="26"/>
  <c r="H18" i="26"/>
  <c r="H17" i="26"/>
  <c r="H16" i="26"/>
  <c r="D20" i="26"/>
  <c r="D19" i="26"/>
  <c r="D18" i="26"/>
  <c r="D17" i="26"/>
  <c r="D16" i="26"/>
  <c r="J11" i="26"/>
  <c r="J9" i="26"/>
  <c r="J8" i="26"/>
  <c r="D11" i="26"/>
  <c r="D8" i="26"/>
  <c r="J46" i="26"/>
  <c r="D54" i="26"/>
  <c r="G46" i="26"/>
  <c r="G49" i="26" s="1"/>
  <c r="A5" i="26"/>
  <c r="AX27" i="8"/>
  <c r="AY30" i="8"/>
  <c r="AT34" i="8"/>
  <c r="S17" i="8"/>
  <c r="J40" i="24"/>
  <c r="J39" i="24"/>
  <c r="J38" i="24"/>
  <c r="G35" i="24"/>
  <c r="G31" i="24"/>
  <c r="G30" i="24"/>
  <c r="G29" i="24"/>
  <c r="G28" i="24"/>
  <c r="G27" i="24"/>
  <c r="L18" i="24"/>
  <c r="L17" i="24"/>
  <c r="L16" i="24"/>
  <c r="H19" i="24"/>
  <c r="H18" i="24"/>
  <c r="H17" i="24"/>
  <c r="H16" i="24"/>
  <c r="D19" i="24"/>
  <c r="D18" i="24"/>
  <c r="D17" i="24"/>
  <c r="D16" i="24"/>
  <c r="J11" i="24"/>
  <c r="J9" i="24"/>
  <c r="J8" i="24"/>
  <c r="D11" i="24"/>
  <c r="D8" i="24"/>
  <c r="D54" i="22"/>
  <c r="J45" i="22"/>
  <c r="J40" i="22"/>
  <c r="J39" i="22"/>
  <c r="J38" i="22"/>
  <c r="G35" i="22"/>
  <c r="G31" i="22"/>
  <c r="G30" i="22"/>
  <c r="G29" i="22"/>
  <c r="G28" i="22"/>
  <c r="G27" i="22"/>
  <c r="H19" i="22"/>
  <c r="D19" i="22"/>
  <c r="L18" i="22"/>
  <c r="H18" i="22"/>
  <c r="D18" i="22"/>
  <c r="L17" i="22"/>
  <c r="H17" i="22"/>
  <c r="D17" i="22"/>
  <c r="L16" i="22"/>
  <c r="H16" i="22"/>
  <c r="D16" i="22"/>
  <c r="J11" i="22"/>
  <c r="D11" i="22"/>
  <c r="J9" i="22"/>
  <c r="J8" i="22"/>
  <c r="D8" i="22"/>
  <c r="A5" i="22"/>
  <c r="D53" i="24"/>
  <c r="D54" i="23"/>
  <c r="D54" i="19"/>
  <c r="D54" i="10"/>
  <c r="D54" i="25"/>
  <c r="D54" i="14"/>
  <c r="D54" i="2"/>
  <c r="D54" i="4"/>
  <c r="D54" i="17"/>
  <c r="D54" i="3"/>
  <c r="D54" i="9"/>
  <c r="D54" i="1"/>
  <c r="D54" i="6"/>
  <c r="D54" i="18"/>
  <c r="D54" i="16"/>
  <c r="J40" i="25"/>
  <c r="J39" i="25"/>
  <c r="G35" i="25"/>
  <c r="G31" i="25"/>
  <c r="G30" i="25"/>
  <c r="G29" i="25"/>
  <c r="G28" i="25"/>
  <c r="G27" i="25"/>
  <c r="D16" i="25"/>
  <c r="L18" i="25"/>
  <c r="L17" i="25"/>
  <c r="L16" i="25"/>
  <c r="H19" i="25"/>
  <c r="H18" i="25"/>
  <c r="H17" i="25"/>
  <c r="H16" i="25"/>
  <c r="D19" i="25"/>
  <c r="D18" i="25"/>
  <c r="D17" i="25"/>
  <c r="J11" i="25"/>
  <c r="J9" i="25"/>
  <c r="J8" i="25"/>
  <c r="D11" i="25"/>
  <c r="D8" i="25"/>
  <c r="A5" i="25"/>
  <c r="J40" i="10"/>
  <c r="J39" i="10"/>
  <c r="G35" i="10"/>
  <c r="G31" i="10"/>
  <c r="G30" i="10"/>
  <c r="G29" i="10"/>
  <c r="G28" i="10"/>
  <c r="G27" i="10"/>
  <c r="L18" i="10"/>
  <c r="L17" i="10"/>
  <c r="L16" i="10"/>
  <c r="H19" i="10"/>
  <c r="H18" i="10"/>
  <c r="H17" i="10"/>
  <c r="H16" i="10"/>
  <c r="D19" i="10"/>
  <c r="D18" i="10"/>
  <c r="D17" i="10"/>
  <c r="D16" i="10"/>
  <c r="J11" i="10"/>
  <c r="J9" i="10"/>
  <c r="J8" i="10"/>
  <c r="D11" i="10"/>
  <c r="D8" i="10"/>
  <c r="AY18" i="8"/>
  <c r="AP18" i="8"/>
  <c r="G34" i="10" s="1"/>
  <c r="AL18" i="8"/>
  <c r="G33" i="10" s="1"/>
  <c r="AI18" i="8"/>
  <c r="G32" i="10" s="1"/>
  <c r="AD18" i="8"/>
  <c r="AE18" i="8"/>
  <c r="AD19" i="8"/>
  <c r="AE19" i="8"/>
  <c r="AD20" i="8"/>
  <c r="AE20" i="8"/>
  <c r="AD21" i="8"/>
  <c r="AE21" i="8"/>
  <c r="AB18" i="8"/>
  <c r="AB19" i="8"/>
  <c r="AB20" i="8"/>
  <c r="AB21" i="8"/>
  <c r="X18" i="8"/>
  <c r="J42" i="10" s="1"/>
  <c r="Y18" i="8"/>
  <c r="J43" i="10" s="1"/>
  <c r="Z18" i="8"/>
  <c r="J44" i="10" s="1"/>
  <c r="AA18" i="8"/>
  <c r="J41" i="10" s="1"/>
  <c r="X19" i="8"/>
  <c r="Y19" i="8"/>
  <c r="Z19" i="8"/>
  <c r="AA19" i="8"/>
  <c r="X20" i="8"/>
  <c r="Y20" i="8"/>
  <c r="Z20" i="8"/>
  <c r="AA20" i="8"/>
  <c r="S18" i="8"/>
  <c r="S19" i="8"/>
  <c r="X9" i="8"/>
  <c r="Y9" i="8"/>
  <c r="Z9" i="8"/>
  <c r="AA9" i="8"/>
  <c r="X10" i="8"/>
  <c r="Y10" i="8"/>
  <c r="Z10" i="8"/>
  <c r="AA10" i="8"/>
  <c r="X11" i="8"/>
  <c r="Y11" i="8"/>
  <c r="Z11" i="8"/>
  <c r="AA11" i="8"/>
  <c r="X12" i="8"/>
  <c r="Y12" i="8"/>
  <c r="Z12" i="8"/>
  <c r="AA12" i="8"/>
  <c r="X13" i="8"/>
  <c r="Y13" i="8"/>
  <c r="Z13" i="8"/>
  <c r="AA13" i="8"/>
  <c r="X14" i="8"/>
  <c r="Y14" i="8"/>
  <c r="Z14" i="8"/>
  <c r="AA14" i="8"/>
  <c r="X15" i="8"/>
  <c r="Y15" i="8"/>
  <c r="Z15" i="8"/>
  <c r="AA15" i="8"/>
  <c r="X16" i="8"/>
  <c r="Y16" i="8"/>
  <c r="Z16" i="8"/>
  <c r="AA16" i="8"/>
  <c r="X17" i="8"/>
  <c r="J42" i="25" s="1"/>
  <c r="Y17" i="8"/>
  <c r="J43" i="25" s="1"/>
  <c r="Z17" i="8"/>
  <c r="J44" i="25" s="1"/>
  <c r="AA17" i="8"/>
  <c r="J41" i="25" s="1"/>
  <c r="X21" i="8"/>
  <c r="Y21" i="8"/>
  <c r="Z21" i="8"/>
  <c r="AA21" i="8"/>
  <c r="X22" i="8"/>
  <c r="J42" i="24" s="1"/>
  <c r="Y22" i="8"/>
  <c r="J43" i="24" s="1"/>
  <c r="Z22" i="8"/>
  <c r="J44" i="24" s="1"/>
  <c r="AA22" i="8"/>
  <c r="J41" i="24" s="1"/>
  <c r="X23" i="8"/>
  <c r="J42" i="22" s="1"/>
  <c r="Y23" i="8"/>
  <c r="J43" i="22" s="1"/>
  <c r="Z23" i="8"/>
  <c r="J44" i="22" s="1"/>
  <c r="AA23" i="8"/>
  <c r="J41" i="22" s="1"/>
  <c r="AD9" i="8"/>
  <c r="AE9" i="8"/>
  <c r="AD10" i="8"/>
  <c r="AE10" i="8"/>
  <c r="AD11" i="8"/>
  <c r="AE11" i="8"/>
  <c r="AD12" i="8"/>
  <c r="AE12" i="8"/>
  <c r="AD13" i="8"/>
  <c r="AE13" i="8"/>
  <c r="AD14" i="8"/>
  <c r="AE14" i="8"/>
  <c r="AD15" i="8"/>
  <c r="AE15" i="8"/>
  <c r="AD16" i="8"/>
  <c r="AE16" i="8"/>
  <c r="AD17" i="8"/>
  <c r="AE17" i="8"/>
  <c r="AD22" i="8"/>
  <c r="AE22" i="8"/>
  <c r="AD23" i="8"/>
  <c r="AE23" i="8"/>
  <c r="AY17" i="8"/>
  <c r="AI17" i="8"/>
  <c r="G32" i="25" s="1"/>
  <c r="AL17" i="8"/>
  <c r="G33" i="25" s="1"/>
  <c r="AM17" i="8"/>
  <c r="AP17" i="8"/>
  <c r="G34" i="25" s="1"/>
  <c r="G46" i="25" s="1"/>
  <c r="AB17" i="8"/>
  <c r="J17" i="8"/>
  <c r="I17" i="8"/>
  <c r="H17" i="8"/>
  <c r="AY22" i="8"/>
  <c r="AP22" i="8"/>
  <c r="G34" i="24" s="1"/>
  <c r="AL22" i="8"/>
  <c r="G33" i="24" s="1"/>
  <c r="AI22" i="8"/>
  <c r="G32" i="24" s="1"/>
  <c r="AB22" i="8"/>
  <c r="S22" i="8"/>
  <c r="AY20" i="8"/>
  <c r="AL20" i="8"/>
  <c r="AI19" i="8"/>
  <c r="AI20" i="8"/>
  <c r="AM20" i="8"/>
  <c r="AP20" i="8"/>
  <c r="S20" i="8"/>
  <c r="H20" i="8"/>
  <c r="I20" i="8"/>
  <c r="J20" i="8"/>
  <c r="S10" i="8"/>
  <c r="AF10" i="8" s="1"/>
  <c r="AB8" i="8"/>
  <c r="AB9" i="8"/>
  <c r="AB10" i="8"/>
  <c r="AB11" i="8"/>
  <c r="AB12" i="8"/>
  <c r="AB13" i="8"/>
  <c r="AB14" i="8"/>
  <c r="AB15" i="8"/>
  <c r="AB16" i="8"/>
  <c r="AB23" i="8"/>
  <c r="M8" i="8"/>
  <c r="M7" i="8"/>
  <c r="AI12" i="8"/>
  <c r="S23" i="8"/>
  <c r="S9" i="8"/>
  <c r="AF9" i="8" s="1"/>
  <c r="S11" i="8"/>
  <c r="AF11" i="8" s="1"/>
  <c r="S12" i="8"/>
  <c r="AF12" i="8" s="1"/>
  <c r="S13" i="8"/>
  <c r="AF13" i="8" s="1"/>
  <c r="S14" i="8"/>
  <c r="AF14" i="8" s="1"/>
  <c r="S15" i="8"/>
  <c r="AF15" i="8" s="1"/>
  <c r="S16" i="8"/>
  <c r="AF16" i="8" s="1"/>
  <c r="S21" i="8"/>
  <c r="S8" i="8"/>
  <c r="S7" i="8"/>
  <c r="J24" i="8"/>
  <c r="I24" i="8"/>
  <c r="H24" i="8"/>
  <c r="J45" i="23"/>
  <c r="J40" i="23"/>
  <c r="J39" i="23"/>
  <c r="J38" i="23"/>
  <c r="G35" i="23"/>
  <c r="G31" i="23"/>
  <c r="G30" i="23"/>
  <c r="G29" i="23"/>
  <c r="G28" i="23"/>
  <c r="G27" i="23"/>
  <c r="L18" i="23"/>
  <c r="L17" i="23"/>
  <c r="L16" i="23"/>
  <c r="H19" i="23"/>
  <c r="H18" i="23"/>
  <c r="H17" i="23"/>
  <c r="H16" i="23"/>
  <c r="D19" i="23"/>
  <c r="D18" i="23"/>
  <c r="D17" i="23"/>
  <c r="D16" i="23"/>
  <c r="J11" i="23"/>
  <c r="J9" i="23"/>
  <c r="J8" i="23"/>
  <c r="D11" i="23"/>
  <c r="D8" i="23"/>
  <c r="A5" i="24"/>
  <c r="A5" i="23"/>
  <c r="AY21" i="8"/>
  <c r="AP21" i="8"/>
  <c r="G34" i="23" s="1"/>
  <c r="AL21" i="8"/>
  <c r="G33" i="23" s="1"/>
  <c r="AI21" i="8"/>
  <c r="G32" i="23" s="1"/>
  <c r="G46" i="23" s="1"/>
  <c r="J41" i="23"/>
  <c r="J44" i="23"/>
  <c r="J43" i="23"/>
  <c r="J42" i="23"/>
  <c r="J46" i="23" s="1"/>
  <c r="D20" i="23"/>
  <c r="J40" i="19"/>
  <c r="J39" i="19"/>
  <c r="J38" i="19"/>
  <c r="G35" i="19"/>
  <c r="G31" i="19"/>
  <c r="G30" i="19"/>
  <c r="L18" i="19"/>
  <c r="L17" i="19"/>
  <c r="L16" i="19"/>
  <c r="H19" i="19"/>
  <c r="H18" i="19"/>
  <c r="H17" i="19"/>
  <c r="H16" i="19"/>
  <c r="D19" i="19"/>
  <c r="D18" i="19"/>
  <c r="D17" i="19"/>
  <c r="D16" i="19"/>
  <c r="J40" i="14"/>
  <c r="J39" i="14"/>
  <c r="J38" i="14"/>
  <c r="G35" i="14"/>
  <c r="G31" i="14"/>
  <c r="G30" i="14"/>
  <c r="L18" i="14"/>
  <c r="L17" i="14"/>
  <c r="L16" i="14"/>
  <c r="H19" i="14"/>
  <c r="H18" i="14"/>
  <c r="H17" i="14"/>
  <c r="H16" i="14"/>
  <c r="D19" i="14"/>
  <c r="D18" i="14"/>
  <c r="D17" i="14"/>
  <c r="D16" i="14"/>
  <c r="J40" i="2"/>
  <c r="J39" i="2"/>
  <c r="J38" i="2"/>
  <c r="G35" i="2"/>
  <c r="G31" i="2"/>
  <c r="G30" i="2"/>
  <c r="G29" i="2"/>
  <c r="G28" i="2"/>
  <c r="G27" i="2"/>
  <c r="L18" i="2"/>
  <c r="L17" i="2"/>
  <c r="L16" i="2"/>
  <c r="H19" i="2"/>
  <c r="H18" i="2"/>
  <c r="H17" i="2"/>
  <c r="H16" i="2"/>
  <c r="D19" i="2"/>
  <c r="D18" i="2"/>
  <c r="D17" i="2"/>
  <c r="D16" i="2"/>
  <c r="J40" i="4"/>
  <c r="J39" i="4"/>
  <c r="J38" i="4"/>
  <c r="G35" i="4"/>
  <c r="G31" i="4"/>
  <c r="G30" i="4"/>
  <c r="L18" i="4"/>
  <c r="L17" i="4"/>
  <c r="L16" i="4"/>
  <c r="H19" i="4"/>
  <c r="H18" i="4"/>
  <c r="H17" i="4"/>
  <c r="H16" i="4"/>
  <c r="D19" i="4"/>
  <c r="D18" i="4"/>
  <c r="D17" i="4"/>
  <c r="D16" i="4"/>
  <c r="J40" i="17"/>
  <c r="J39" i="17"/>
  <c r="J38" i="17"/>
  <c r="G35" i="17"/>
  <c r="G31" i="17"/>
  <c r="G30" i="17"/>
  <c r="G29" i="17"/>
  <c r="G28" i="17"/>
  <c r="G27" i="17"/>
  <c r="L18" i="17"/>
  <c r="L17" i="17"/>
  <c r="L16" i="17"/>
  <c r="H19" i="17"/>
  <c r="H18" i="17"/>
  <c r="H17" i="17"/>
  <c r="H16" i="17"/>
  <c r="D19" i="17"/>
  <c r="D18" i="17"/>
  <c r="D17" i="17"/>
  <c r="D16" i="17"/>
  <c r="J40" i="3"/>
  <c r="J39" i="3"/>
  <c r="J38" i="3"/>
  <c r="G35" i="3"/>
  <c r="G31" i="3"/>
  <c r="G30" i="3"/>
  <c r="L18" i="3"/>
  <c r="L17" i="3"/>
  <c r="L16" i="3"/>
  <c r="H19" i="3"/>
  <c r="H18" i="3"/>
  <c r="H17" i="3"/>
  <c r="H16" i="3"/>
  <c r="D19" i="3"/>
  <c r="D18" i="3"/>
  <c r="D17" i="3"/>
  <c r="D16" i="3"/>
  <c r="J40" i="9"/>
  <c r="J39" i="9"/>
  <c r="J38" i="9"/>
  <c r="G35" i="9"/>
  <c r="G31" i="9"/>
  <c r="G30" i="9"/>
  <c r="L18" i="9"/>
  <c r="L17" i="9"/>
  <c r="L16" i="9"/>
  <c r="H19" i="9"/>
  <c r="H18" i="9"/>
  <c r="H17" i="9"/>
  <c r="H16" i="9"/>
  <c r="D19" i="9"/>
  <c r="D18" i="9"/>
  <c r="D17" i="9"/>
  <c r="D16" i="9"/>
  <c r="J40" i="1"/>
  <c r="J39" i="1"/>
  <c r="J38" i="1"/>
  <c r="G35" i="1"/>
  <c r="G31" i="1"/>
  <c r="G30" i="1"/>
  <c r="L18" i="1"/>
  <c r="L17" i="1"/>
  <c r="L16" i="1"/>
  <c r="H19" i="1"/>
  <c r="H18" i="1"/>
  <c r="H17" i="1"/>
  <c r="H16" i="1"/>
  <c r="D19" i="1"/>
  <c r="D18" i="1"/>
  <c r="D17" i="1"/>
  <c r="D16" i="1"/>
  <c r="J40" i="18"/>
  <c r="J39" i="18"/>
  <c r="J38" i="18"/>
  <c r="G35" i="18"/>
  <c r="G31" i="18"/>
  <c r="G30" i="18"/>
  <c r="L18" i="18"/>
  <c r="L17" i="18"/>
  <c r="L16" i="18"/>
  <c r="H19" i="18"/>
  <c r="H18" i="18"/>
  <c r="H17" i="18"/>
  <c r="H16" i="18"/>
  <c r="D19" i="18"/>
  <c r="D18" i="18"/>
  <c r="D17" i="18"/>
  <c r="D16" i="18"/>
  <c r="G29" i="16"/>
  <c r="G28" i="16"/>
  <c r="J38" i="16"/>
  <c r="G35" i="16"/>
  <c r="G31" i="16"/>
  <c r="G30" i="16"/>
  <c r="G27" i="16"/>
  <c r="L18" i="6"/>
  <c r="L17" i="6"/>
  <c r="L16" i="6"/>
  <c r="L18" i="16"/>
  <c r="L17" i="16"/>
  <c r="L16" i="16"/>
  <c r="H19" i="6"/>
  <c r="H18" i="6"/>
  <c r="H17" i="6"/>
  <c r="H16" i="6"/>
  <c r="D19" i="6"/>
  <c r="D18" i="6"/>
  <c r="D17" i="6"/>
  <c r="D16" i="6"/>
  <c r="G31" i="6"/>
  <c r="J40" i="6"/>
  <c r="J39" i="6"/>
  <c r="J38" i="6"/>
  <c r="J40" i="16"/>
  <c r="J39" i="16"/>
  <c r="D19" i="16"/>
  <c r="H19" i="16"/>
  <c r="H18" i="16"/>
  <c r="H17" i="16"/>
  <c r="H16" i="16"/>
  <c r="AR24" i="8"/>
  <c r="AS24" i="8"/>
  <c r="AS27" i="8" s="1"/>
  <c r="J41" i="6"/>
  <c r="J41" i="1"/>
  <c r="J41" i="9"/>
  <c r="J41" i="3"/>
  <c r="J41" i="17"/>
  <c r="J41" i="4"/>
  <c r="J41" i="2"/>
  <c r="J41" i="14"/>
  <c r="J41" i="19"/>
  <c r="AB7" i="8"/>
  <c r="J43" i="6"/>
  <c r="J43" i="1"/>
  <c r="J43" i="9"/>
  <c r="J43" i="3"/>
  <c r="J43" i="17"/>
  <c r="J43" i="4"/>
  <c r="J43" i="2"/>
  <c r="J43" i="14"/>
  <c r="J43" i="19"/>
  <c r="J42" i="6"/>
  <c r="J42" i="1"/>
  <c r="J42" i="9"/>
  <c r="J42" i="3"/>
  <c r="J42" i="17"/>
  <c r="J42" i="4"/>
  <c r="J42" i="2"/>
  <c r="J42" i="14"/>
  <c r="J42" i="19"/>
  <c r="J45" i="24"/>
  <c r="G30" i="6"/>
  <c r="G35" i="6"/>
  <c r="AU24" i="8"/>
  <c r="AY8" i="8"/>
  <c r="AY9" i="8"/>
  <c r="AY10" i="8"/>
  <c r="AY11" i="8"/>
  <c r="AY12" i="8"/>
  <c r="AY13" i="8"/>
  <c r="AY14" i="8"/>
  <c r="AY15" i="8"/>
  <c r="AY16" i="8"/>
  <c r="AY19" i="8"/>
  <c r="AY23" i="8"/>
  <c r="AY7" i="8"/>
  <c r="AV24" i="8"/>
  <c r="AW24" i="8"/>
  <c r="AQ24" i="8"/>
  <c r="AP23" i="8"/>
  <c r="G34" i="22" s="1"/>
  <c r="AL23" i="8"/>
  <c r="G33" i="22" s="1"/>
  <c r="AI23" i="8"/>
  <c r="G32" i="22" s="1"/>
  <c r="D17" i="16"/>
  <c r="AI9" i="8"/>
  <c r="G32" i="6" s="1"/>
  <c r="J11" i="19"/>
  <c r="J9" i="19"/>
  <c r="J8" i="19"/>
  <c r="D11" i="19"/>
  <c r="D8" i="19"/>
  <c r="A5" i="19"/>
  <c r="A5" i="10"/>
  <c r="J11" i="14"/>
  <c r="J9" i="14"/>
  <c r="J8" i="14"/>
  <c r="D11" i="14"/>
  <c r="D8" i="14"/>
  <c r="A5" i="14"/>
  <c r="J11" i="2"/>
  <c r="J9" i="2"/>
  <c r="J8" i="2"/>
  <c r="D11" i="2"/>
  <c r="D8" i="2"/>
  <c r="A5" i="2"/>
  <c r="J11" i="4"/>
  <c r="J9" i="4"/>
  <c r="J8" i="4"/>
  <c r="D11" i="4"/>
  <c r="D8" i="4"/>
  <c r="A5" i="4"/>
  <c r="J11" i="17"/>
  <c r="J9" i="17"/>
  <c r="J8" i="17"/>
  <c r="D11" i="17"/>
  <c r="D8" i="17"/>
  <c r="A5" i="17"/>
  <c r="J11" i="3"/>
  <c r="J9" i="3"/>
  <c r="J8" i="3"/>
  <c r="D11" i="3"/>
  <c r="D8" i="3"/>
  <c r="A5" i="3"/>
  <c r="J11" i="9"/>
  <c r="J9" i="9"/>
  <c r="J8" i="9"/>
  <c r="D11" i="9"/>
  <c r="D8" i="9"/>
  <c r="A5" i="9"/>
  <c r="J11" i="1"/>
  <c r="J8" i="1"/>
  <c r="J9" i="1"/>
  <c r="D11" i="1"/>
  <c r="D8" i="1"/>
  <c r="A5" i="1"/>
  <c r="J11" i="6"/>
  <c r="J9" i="6"/>
  <c r="J8" i="6"/>
  <c r="D11" i="6"/>
  <c r="D8" i="6"/>
  <c r="A5" i="6"/>
  <c r="J8" i="18"/>
  <c r="J11" i="18"/>
  <c r="J9" i="18"/>
  <c r="D11" i="18"/>
  <c r="D8" i="18"/>
  <c r="A5" i="18"/>
  <c r="D18" i="16"/>
  <c r="D16" i="16"/>
  <c r="J11" i="16"/>
  <c r="J9" i="16"/>
  <c r="J8" i="16"/>
  <c r="D11" i="16"/>
  <c r="D8" i="16"/>
  <c r="A5" i="16"/>
  <c r="AP7" i="8"/>
  <c r="G34" i="16" s="1"/>
  <c r="AL7" i="8"/>
  <c r="G33" i="16" s="1"/>
  <c r="AI7" i="8"/>
  <c r="AM7" i="8" s="1"/>
  <c r="AI10" i="8"/>
  <c r="G32" i="1" s="1"/>
  <c r="AI11" i="8"/>
  <c r="G32" i="9" s="1"/>
  <c r="G32" i="3"/>
  <c r="AI13" i="8"/>
  <c r="G32" i="17" s="1"/>
  <c r="AI14" i="8"/>
  <c r="G32" i="4" s="1"/>
  <c r="AI15" i="8"/>
  <c r="G32" i="2" s="1"/>
  <c r="AI16" i="8"/>
  <c r="G32" i="14" s="1"/>
  <c r="G32" i="19"/>
  <c r="AL9" i="8"/>
  <c r="G33" i="6" s="1"/>
  <c r="AL10" i="8"/>
  <c r="G33" i="1" s="1"/>
  <c r="AL11" i="8"/>
  <c r="G33" i="9" s="1"/>
  <c r="AL12" i="8"/>
  <c r="G33" i="3" s="1"/>
  <c r="AL13" i="8"/>
  <c r="G33" i="17" s="1"/>
  <c r="AL14" i="8"/>
  <c r="G33" i="4" s="1"/>
  <c r="AL15" i="8"/>
  <c r="G33" i="2" s="1"/>
  <c r="AL16" i="8"/>
  <c r="G33" i="14" s="1"/>
  <c r="AL19" i="8"/>
  <c r="G33" i="19" s="1"/>
  <c r="AL8" i="8"/>
  <c r="G33" i="18" s="1"/>
  <c r="AI8" i="8"/>
  <c r="G32" i="18" s="1"/>
  <c r="AP14" i="8"/>
  <c r="G34" i="4" s="1"/>
  <c r="AP13" i="8"/>
  <c r="G34" i="17" s="1"/>
  <c r="AP15" i="8"/>
  <c r="G34" i="2" s="1"/>
  <c r="AP16" i="8"/>
  <c r="G34" i="14" s="1"/>
  <c r="AP19" i="8"/>
  <c r="G34" i="19" s="1"/>
  <c r="AP12" i="8"/>
  <c r="G34" i="3" s="1"/>
  <c r="AP11" i="8"/>
  <c r="G34" i="9" s="1"/>
  <c r="AP10" i="8"/>
  <c r="G34" i="1" s="1"/>
  <c r="AP9" i="8"/>
  <c r="G34" i="6" s="1"/>
  <c r="AP8" i="8"/>
  <c r="G34" i="18" s="1"/>
  <c r="G29" i="18"/>
  <c r="J10" i="8"/>
  <c r="G29" i="1" s="1"/>
  <c r="J11" i="8"/>
  <c r="G29" i="9" s="1"/>
  <c r="J12" i="8"/>
  <c r="G29" i="3" s="1"/>
  <c r="J16" i="8"/>
  <c r="G29" i="14" s="1"/>
  <c r="J19" i="8"/>
  <c r="G29" i="19" s="1"/>
  <c r="G28" i="18"/>
  <c r="I10" i="8"/>
  <c r="G28" i="1" s="1"/>
  <c r="I11" i="8"/>
  <c r="G28" i="9" s="1"/>
  <c r="I12" i="8"/>
  <c r="G28" i="3" s="1"/>
  <c r="I16" i="8"/>
  <c r="G28" i="14" s="1"/>
  <c r="I19" i="8"/>
  <c r="G28" i="19" s="1"/>
  <c r="G27" i="18"/>
  <c r="H10" i="8"/>
  <c r="G27" i="1" s="1"/>
  <c r="H11" i="8"/>
  <c r="G27" i="9" s="1"/>
  <c r="H12" i="8"/>
  <c r="G27" i="3" s="1"/>
  <c r="H16" i="8"/>
  <c r="G27" i="14" s="1"/>
  <c r="H19" i="8"/>
  <c r="G27" i="19" s="1"/>
  <c r="AF18" i="8" l="1"/>
  <c r="D20" i="10"/>
  <c r="G46" i="22"/>
  <c r="J46" i="22"/>
  <c r="G49" i="22" s="1"/>
  <c r="J46" i="25"/>
  <c r="G49" i="25"/>
  <c r="AF17" i="8"/>
  <c r="D20" i="25"/>
  <c r="AF23" i="8"/>
  <c r="D20" i="22"/>
  <c r="AF22" i="8"/>
  <c r="D20" i="24"/>
  <c r="AF21" i="8"/>
  <c r="AC21" i="8"/>
  <c r="AF20" i="8"/>
  <c r="AC20" i="8"/>
  <c r="AF19" i="8"/>
  <c r="AC19" i="8"/>
  <c r="AC18" i="8"/>
  <c r="AM18" i="8"/>
  <c r="AT18" i="8" s="1"/>
  <c r="AX18" i="8" s="1"/>
  <c r="AA7" i="8"/>
  <c r="Z7" i="8"/>
  <c r="Y7" i="8"/>
  <c r="X7" i="8"/>
  <c r="AE7" i="8"/>
  <c r="AD7" i="8"/>
  <c r="X8" i="8"/>
  <c r="Y8" i="8"/>
  <c r="Z8" i="8"/>
  <c r="AA8" i="8"/>
  <c r="AE8" i="8"/>
  <c r="AD8" i="8"/>
  <c r="AF7" i="8"/>
  <c r="AF8" i="8"/>
  <c r="AT17" i="8"/>
  <c r="AX17" i="8" s="1"/>
  <c r="AC17" i="8"/>
  <c r="AT20" i="8"/>
  <c r="AC22" i="8"/>
  <c r="AM22" i="8"/>
  <c r="J41" i="16"/>
  <c r="J44" i="16"/>
  <c r="J43" i="16"/>
  <c r="J42" i="16"/>
  <c r="J42" i="18"/>
  <c r="J43" i="18"/>
  <c r="J44" i="18"/>
  <c r="J41" i="18"/>
  <c r="AC16" i="8"/>
  <c r="AC15" i="8"/>
  <c r="AC14" i="8"/>
  <c r="AC13" i="8"/>
  <c r="AC12" i="8"/>
  <c r="AC11" i="8"/>
  <c r="AC10" i="8"/>
  <c r="AC9" i="8"/>
  <c r="AC23" i="8"/>
  <c r="AC8" i="8"/>
  <c r="AW26" i="8"/>
  <c r="AT7" i="8"/>
  <c r="G45" i="24"/>
  <c r="G48" i="24" s="1"/>
  <c r="G49" i="23"/>
  <c r="AM21" i="8"/>
  <c r="G46" i="18"/>
  <c r="G46" i="19"/>
  <c r="G46" i="10"/>
  <c r="G46" i="14"/>
  <c r="G46" i="2"/>
  <c r="G46" i="17"/>
  <c r="G46" i="3"/>
  <c r="G46" i="9"/>
  <c r="G46" i="1"/>
  <c r="G32" i="16"/>
  <c r="G46" i="16" s="1"/>
  <c r="AM23" i="8"/>
  <c r="J46" i="19"/>
  <c r="J46" i="10"/>
  <c r="J46" i="14"/>
  <c r="J46" i="2"/>
  <c r="G49" i="2" s="1"/>
  <c r="J46" i="4"/>
  <c r="J46" i="17"/>
  <c r="J46" i="3"/>
  <c r="J46" i="9"/>
  <c r="J46" i="1"/>
  <c r="J46" i="18"/>
  <c r="G49" i="18"/>
  <c r="G49" i="1"/>
  <c r="G49" i="9"/>
  <c r="G49" i="3"/>
  <c r="G49" i="17"/>
  <c r="G49" i="14"/>
  <c r="G49" i="10"/>
  <c r="G49" i="19"/>
  <c r="D20" i="16"/>
  <c r="AT23" i="8"/>
  <c r="AX23" i="8" s="1"/>
  <c r="D20" i="19"/>
  <c r="D20" i="14"/>
  <c r="D20" i="2"/>
  <c r="D20" i="4"/>
  <c r="D20" i="17"/>
  <c r="D20" i="3"/>
  <c r="D20" i="9"/>
  <c r="D20" i="1"/>
  <c r="D20" i="6"/>
  <c r="D20" i="18"/>
  <c r="AC7" i="8"/>
  <c r="AZ23" i="8"/>
  <c r="AM19" i="8"/>
  <c r="AM16" i="8"/>
  <c r="AM15" i="8"/>
  <c r="AT15" i="8" s="1"/>
  <c r="AX15" i="8" s="1"/>
  <c r="AM14" i="8"/>
  <c r="AM13" i="8"/>
  <c r="AM12" i="8"/>
  <c r="AM11" i="8"/>
  <c r="AM10" i="8"/>
  <c r="J46" i="6"/>
  <c r="J46" i="16"/>
  <c r="G49" i="16" s="1"/>
  <c r="AM8" i="8"/>
  <c r="AM9" i="8"/>
  <c r="AT9" i="8" s="1"/>
  <c r="AX9" i="8" s="1"/>
  <c r="AZ15" i="8"/>
  <c r="AX20" i="8" l="1"/>
  <c r="AZ20" i="8" s="1"/>
  <c r="AZ18" i="8"/>
  <c r="AT22" i="8"/>
  <c r="AT16" i="8"/>
  <c r="AX16" i="8" s="1"/>
  <c r="AT21" i="8"/>
  <c r="AX21" i="8" s="1"/>
  <c r="AT8" i="8"/>
  <c r="AT10" i="8"/>
  <c r="AT11" i="8"/>
  <c r="AX11" i="8" s="1"/>
  <c r="AT12" i="8"/>
  <c r="AT13" i="8"/>
  <c r="AT14" i="8"/>
  <c r="AX14" i="8" s="1"/>
  <c r="AZ16" i="8"/>
  <c r="AT19" i="8"/>
  <c r="AX19" i="8" s="1"/>
  <c r="AZ19" i="8"/>
  <c r="AZ11" i="8"/>
  <c r="AZ14" i="8"/>
  <c r="J14" i="8"/>
  <c r="G29" i="4" s="1"/>
  <c r="I14" i="8"/>
  <c r="G28" i="4" s="1"/>
  <c r="H14" i="8"/>
  <c r="G27" i="4" s="1"/>
  <c r="G46" i="4" s="1"/>
  <c r="G49" i="4" s="1"/>
  <c r="AX8" i="8" l="1"/>
  <c r="AT24" i="8"/>
  <c r="AX22" i="8"/>
  <c r="AZ22" i="8" s="1"/>
  <c r="AZ17" i="8"/>
  <c r="AS28" i="8"/>
  <c r="AS26" i="8" s="1"/>
  <c r="AX13" i="8"/>
  <c r="AZ13" i="8" s="1"/>
  <c r="AX12" i="8"/>
  <c r="AZ12" i="8" s="1"/>
  <c r="AX10" i="8"/>
  <c r="AZ21" i="8"/>
  <c r="AZ8" i="8"/>
  <c r="AX7" i="8"/>
  <c r="J9" i="8"/>
  <c r="G29" i="6" s="1"/>
  <c r="I9" i="8"/>
  <c r="G28" i="6" s="1"/>
  <c r="H9" i="8"/>
  <c r="AT33" i="8" l="1"/>
  <c r="AZ10" i="8"/>
  <c r="AX24" i="8"/>
  <c r="G27" i="6"/>
  <c r="G46" i="6" s="1"/>
  <c r="G49" i="6" s="1"/>
  <c r="AZ7" i="8"/>
  <c r="AZ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EUZET</author>
  </authors>
  <commentList>
    <comment ref="L7" authorId="0" shapeId="0" xr:uid="{56D6D410-7902-4B14-8E98-3DE6E9BC3791}">
      <text>
        <r>
          <rPr>
            <sz val="11"/>
            <color theme="1"/>
            <rFont val="Calibri"/>
            <family val="2"/>
            <scheme val="minor"/>
          </rPr>
          <t xml:space="preserve">Melanie EUZET:
Yearly bonus :
11 months at 4150
1 month at 4350 </t>
        </r>
      </text>
    </comment>
  </commentList>
</comments>
</file>

<file path=xl/sharedStrings.xml><?xml version="1.0" encoding="utf-8"?>
<sst xmlns="http://schemas.openxmlformats.org/spreadsheetml/2006/main" count="1022" uniqueCount="188">
  <si>
    <t>Salary Slip January 2026</t>
  </si>
  <si>
    <t>Administration</t>
  </si>
  <si>
    <t>Informations Employee</t>
  </si>
  <si>
    <t>Earnings</t>
  </si>
  <si>
    <t>Deductions</t>
  </si>
  <si>
    <t>Total Earning</t>
  </si>
  <si>
    <t xml:space="preserve">WPS Law </t>
  </si>
  <si>
    <t>Comments</t>
  </si>
  <si>
    <t>N°</t>
  </si>
  <si>
    <t>Last Name</t>
  </si>
  <si>
    <t>First Name</t>
  </si>
  <si>
    <t>Date of arrival</t>
  </si>
  <si>
    <t>Release date</t>
  </si>
  <si>
    <t>Employee ID</t>
  </si>
  <si>
    <t>Job name</t>
  </si>
  <si>
    <t>Basic salary</t>
  </si>
  <si>
    <t>Housing Allowances</t>
  </si>
  <si>
    <t>Transportation Allowance</t>
  </si>
  <si>
    <t>School Allowances</t>
  </si>
  <si>
    <t>Monthly bonus</t>
  </si>
  <si>
    <t>Total on Contract</t>
  </si>
  <si>
    <t>Working days</t>
  </si>
  <si>
    <t>Absence Days Unpaid</t>
  </si>
  <si>
    <t>TOTAL of Days during the month</t>
  </si>
  <si>
    <t>Paid</t>
  </si>
  <si>
    <t>OT Hours</t>
  </si>
  <si>
    <t>OT Days</t>
  </si>
  <si>
    <t>Other Allowance</t>
  </si>
  <si>
    <t>Adjustment for previous month</t>
  </si>
  <si>
    <t>Air plane Ticket</t>
  </si>
  <si>
    <t>GPSSA (Pension)</t>
  </si>
  <si>
    <t>Adjustement for Previous month</t>
  </si>
  <si>
    <t>Advance payment/ Deduction Advance</t>
  </si>
  <si>
    <t>Total Salary</t>
  </si>
  <si>
    <t>Need to be send by the law for WPS</t>
  </si>
  <si>
    <t>Missing on salary</t>
  </si>
  <si>
    <t xml:space="preserve">Adjustment to send </t>
  </si>
  <si>
    <t>No. working days</t>
  </si>
  <si>
    <t>Off days</t>
  </si>
  <si>
    <t>Public Holydays</t>
  </si>
  <si>
    <t>No. leave days PAID</t>
  </si>
  <si>
    <t>Sick Leave PAID</t>
  </si>
  <si>
    <t>Total Working days payable</t>
  </si>
  <si>
    <t>No. leave days UNPAID</t>
  </si>
  <si>
    <t>Emergancy Leave UNPAID</t>
  </si>
  <si>
    <t>Sick leave UNPAID</t>
  </si>
  <si>
    <t>Absent days (not allowed)</t>
  </si>
  <si>
    <r>
      <t xml:space="preserve">UNPAID Leave </t>
    </r>
    <r>
      <rPr>
        <b/>
        <sz val="9"/>
        <color rgb="FF000000"/>
        <rFont val="Calibri"/>
      </rPr>
      <t>Amount</t>
    </r>
  </si>
  <si>
    <r>
      <t xml:space="preserve">Emergancy Leave </t>
    </r>
    <r>
      <rPr>
        <b/>
        <sz val="9"/>
        <color rgb="FF000000"/>
        <rFont val="Calibri"/>
      </rPr>
      <t>Amount</t>
    </r>
  </si>
  <si>
    <t>Total Working days unpayable</t>
  </si>
  <si>
    <r>
      <t xml:space="preserve">Leave PAID </t>
    </r>
    <r>
      <rPr>
        <b/>
        <sz val="9"/>
        <color rgb="FF000000"/>
        <rFont val="Calibri"/>
      </rPr>
      <t>Amount</t>
    </r>
  </si>
  <si>
    <r>
      <t xml:space="preserve">Sick Leave </t>
    </r>
    <r>
      <rPr>
        <b/>
        <sz val="9"/>
        <color rgb="FF000000"/>
        <rFont val="Calibri"/>
      </rPr>
      <t>Amount</t>
    </r>
  </si>
  <si>
    <t>Salary</t>
  </si>
  <si>
    <t>Hours</t>
  </si>
  <si>
    <t>Amount Normal OT</t>
  </si>
  <si>
    <t xml:space="preserve">Total </t>
  </si>
  <si>
    <t>Amont Public Holydays</t>
  </si>
  <si>
    <t>Total</t>
  </si>
  <si>
    <t xml:space="preserve">Days </t>
  </si>
  <si>
    <t>Amount</t>
  </si>
  <si>
    <t>S001</t>
  </si>
  <si>
    <t>EUZET</t>
  </si>
  <si>
    <t>Laurent</t>
  </si>
  <si>
    <t>General Manager</t>
  </si>
  <si>
    <t>S002</t>
  </si>
  <si>
    <t>ELKASIER</t>
  </si>
  <si>
    <t>Mohamed</t>
  </si>
  <si>
    <t>_00102049605328</t>
  </si>
  <si>
    <t>Public relations Officer "Corporate Service Manager"</t>
  </si>
  <si>
    <t>S003</t>
  </si>
  <si>
    <t>LAIJO FRANCIS</t>
  </si>
  <si>
    <t>Fancy</t>
  </si>
  <si>
    <t>Accountant</t>
  </si>
  <si>
    <t>S004</t>
  </si>
  <si>
    <t>VATTAMKANDATHIL JOSEPH AUGUSTIN</t>
  </si>
  <si>
    <t>Binumon</t>
  </si>
  <si>
    <t>Operation Manager</t>
  </si>
  <si>
    <t>S005</t>
  </si>
  <si>
    <t>SASIDHARAN PUTHENAYATHIL RAGHAVAN</t>
  </si>
  <si>
    <t>Anoop</t>
  </si>
  <si>
    <t>Archiev clerk</t>
  </si>
  <si>
    <t>S006</t>
  </si>
  <si>
    <t>SHAREEQ MOHAMMED YUSUF ISMAIL</t>
  </si>
  <si>
    <t>Azeem</t>
  </si>
  <si>
    <t>Filing clerk</t>
  </si>
  <si>
    <t>S007</t>
  </si>
  <si>
    <t>MOHAMED KASSIM</t>
  </si>
  <si>
    <t xml:space="preserve">Maideen </t>
  </si>
  <si>
    <t>Messenger</t>
  </si>
  <si>
    <t>S008</t>
  </si>
  <si>
    <t>SIVARAMAN GOPINATH</t>
  </si>
  <si>
    <t>Prince</t>
  </si>
  <si>
    <t>S009</t>
  </si>
  <si>
    <t>RAHMAN PATTUVAM</t>
  </si>
  <si>
    <t>Sajub</t>
  </si>
  <si>
    <t>S010</t>
  </si>
  <si>
    <t>VAYAMBATHODY KUNHIMOIDU</t>
  </si>
  <si>
    <t>Shanavas</t>
  </si>
  <si>
    <t>Follow up clerk</t>
  </si>
  <si>
    <t>S020</t>
  </si>
  <si>
    <t>NIEVA</t>
  </si>
  <si>
    <t>Raiza</t>
  </si>
  <si>
    <t>Back office officer</t>
  </si>
  <si>
    <t>S021</t>
  </si>
  <si>
    <t>THAZHUTHARINTAVIDA</t>
  </si>
  <si>
    <t>Loshin</t>
  </si>
  <si>
    <t>S012</t>
  </si>
  <si>
    <t xml:space="preserve">PADAMANATHAN </t>
  </si>
  <si>
    <t>Ramu</t>
  </si>
  <si>
    <t>Cleaner</t>
  </si>
  <si>
    <t>S018</t>
  </si>
  <si>
    <t>YAKKOOB</t>
  </si>
  <si>
    <t>Rather</t>
  </si>
  <si>
    <t>S016</t>
  </si>
  <si>
    <t>ALZAABI</t>
  </si>
  <si>
    <t xml:space="preserve">Mariam </t>
  </si>
  <si>
    <t>_02120129566913</t>
  </si>
  <si>
    <t>Operations Coordinator (Remote)</t>
  </si>
  <si>
    <t>Employee contribution (11%)</t>
  </si>
  <si>
    <t>S017</t>
  </si>
  <si>
    <t xml:space="preserve">Fetoun </t>
  </si>
  <si>
    <t>_02124060158242</t>
  </si>
  <si>
    <t>Inside Sales Assistant (Remote)</t>
  </si>
  <si>
    <t>S019</t>
  </si>
  <si>
    <t>ALSHAMSI</t>
  </si>
  <si>
    <t>Shaikha</t>
  </si>
  <si>
    <t>_02129100723577</t>
  </si>
  <si>
    <t>Office Clerk (Remote)</t>
  </si>
  <si>
    <t>Taqi</t>
  </si>
  <si>
    <t>Guillaume</t>
  </si>
  <si>
    <t>Salaries Wages</t>
  </si>
  <si>
    <t>Total Advance &amp; deductions</t>
  </si>
  <si>
    <t xml:space="preserve">Air ticket </t>
  </si>
  <si>
    <t>Pension to be paid GPSSA</t>
  </si>
  <si>
    <t>Total Payable</t>
  </si>
  <si>
    <t>Bank transfert</t>
  </si>
  <si>
    <t>Manager allowances</t>
  </si>
  <si>
    <t>Staff allowance</t>
  </si>
  <si>
    <t>CHABE LUXURY TRANSPORT LLC</t>
  </si>
  <si>
    <t>11B Street Warehouse 3b/27</t>
  </si>
  <si>
    <t>AL KHABAISI</t>
  </si>
  <si>
    <t>Dubai, UAE</t>
  </si>
  <si>
    <t>Employee last name:</t>
  </si>
  <si>
    <t>Employee ID:</t>
  </si>
  <si>
    <t>Arrival date:</t>
  </si>
  <si>
    <t>Employee first name</t>
  </si>
  <si>
    <t>Employee Position:</t>
  </si>
  <si>
    <t>Employee Attendance</t>
  </si>
  <si>
    <t>Working days:</t>
  </si>
  <si>
    <t>OT Hours Basic</t>
  </si>
  <si>
    <t>Absence day</t>
  </si>
  <si>
    <t>Working Public Holidays:</t>
  </si>
  <si>
    <t>OT Hours Public holidays</t>
  </si>
  <si>
    <t>Emergency Leave Unpaid :</t>
  </si>
  <si>
    <t>Off days:</t>
  </si>
  <si>
    <t xml:space="preserve">OT Days </t>
  </si>
  <si>
    <t>Leaves without pay:</t>
  </si>
  <si>
    <t>Sick Leave</t>
  </si>
  <si>
    <t>Leave Payable:</t>
  </si>
  <si>
    <t>Payable days:</t>
  </si>
  <si>
    <t>Earnings &amp; Deductions</t>
  </si>
  <si>
    <t>Salary Head</t>
  </si>
  <si>
    <t>Amount Earnings     (AED)</t>
  </si>
  <si>
    <t>Amount Deductions (AED)</t>
  </si>
  <si>
    <t xml:space="preserve">Earnings </t>
  </si>
  <si>
    <t>Basic Salary</t>
  </si>
  <si>
    <t>Transport Allowances</t>
  </si>
  <si>
    <t>Monthly Bonus</t>
  </si>
  <si>
    <t xml:space="preserve">Air Plane Ticket Refundable </t>
  </si>
  <si>
    <t>Pension Locals Employees (Non eligible)</t>
  </si>
  <si>
    <t>Adjustment form previous month(s)</t>
  </si>
  <si>
    <t xml:space="preserve">Advance salary </t>
  </si>
  <si>
    <t>Absences</t>
  </si>
  <si>
    <t>Unpaid leaves</t>
  </si>
  <si>
    <t>Emergency leave</t>
  </si>
  <si>
    <t>Sick Leave Unpaid</t>
  </si>
  <si>
    <t>TOTAL EARNINGS &amp; DEDUCTIONS</t>
  </si>
  <si>
    <t>TOTAL AMOUNT :</t>
  </si>
  <si>
    <t>Payment informations:</t>
  </si>
  <si>
    <t>Date of payment:</t>
  </si>
  <si>
    <t>Methode of payment:</t>
  </si>
  <si>
    <t>WPS</t>
  </si>
  <si>
    <r>
      <t xml:space="preserve">If you need any informations please contact us at  </t>
    </r>
    <r>
      <rPr>
        <i/>
        <u/>
        <sz val="8"/>
        <color rgb="FF0070C0"/>
        <rFont val="Times New Roman"/>
      </rPr>
      <t>hr-dubai@chabe.com</t>
    </r>
  </si>
  <si>
    <t>Emergency Leaves Unpaid :</t>
  </si>
  <si>
    <t>Unpaid Leaves :</t>
  </si>
  <si>
    <t>Air Plane Ticket Refundable (Non eligible)</t>
  </si>
  <si>
    <t>Pension Locals Employees</t>
  </si>
  <si>
    <t>Deductions related to a contract with a late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</si>
</sst>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-* #,##0.00\ [$AED]_-;\-* #,##0.00\ [$AED]_-;_-* &quot;-&quot;??\ [$AED]_-;_-@_-"/>
    <numFmt numFmtId="166" formatCode="_([$AED]\ * #,##0.00_);_([$AED]\ * \(#,##0.00\);_([$AED]\ * &quot;-&quot;??_);_(@_)"/>
    <numFmt numFmtId="167" formatCode="_-* #,##0.000\ [$AED]_-;\-* #,##0.000\ [$AED]_-;_-* &quot;-&quot;??\ [$AED]_-;_-@_-"/>
  </numFmts>
  <fonts count="4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name val="Calibri"/>
      <scheme val="minor"/>
    </font>
    <font>
      <sz val="9"/>
      <name val="Calibri"/>
      <scheme val="minor"/>
    </font>
    <font>
      <sz val="9"/>
      <color theme="1"/>
      <name val="Calibri"/>
      <scheme val="minor"/>
    </font>
    <font>
      <sz val="9"/>
      <color rgb="FF000000"/>
      <name val="Calibri"/>
      <scheme val="minor"/>
    </font>
    <font>
      <b/>
      <sz val="9"/>
      <color rgb="FFFF0000"/>
      <name val="Calibri"/>
      <scheme val="minor"/>
    </font>
    <font>
      <sz val="9"/>
      <color rgb="FFFF0000"/>
      <name val="Calibri"/>
      <scheme val="minor"/>
    </font>
    <font>
      <b/>
      <sz val="15"/>
      <color theme="0"/>
      <name val="Times New Roman"/>
    </font>
    <font>
      <sz val="11"/>
      <color theme="1"/>
      <name val="Times New Roman"/>
    </font>
    <font>
      <b/>
      <sz val="13"/>
      <color theme="0"/>
      <name val="Times New Roman"/>
    </font>
    <font>
      <i/>
      <sz val="13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444444"/>
      <name val="Times New Roman"/>
    </font>
    <font>
      <b/>
      <sz val="11"/>
      <color rgb="FFFF0000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b/>
      <sz val="25"/>
      <color rgb="FF000000"/>
      <name val="Times New Roman"/>
    </font>
    <font>
      <b/>
      <sz val="25"/>
      <color rgb="FFFF0000"/>
      <name val="Times New Roman"/>
    </font>
    <font>
      <b/>
      <u/>
      <sz val="15"/>
      <color theme="0"/>
      <name val="Times New Roman"/>
    </font>
    <font>
      <sz val="15"/>
      <color theme="1"/>
      <name val="Times New Roman"/>
    </font>
    <font>
      <sz val="10"/>
      <color rgb="FF000000"/>
      <name val="Times New Roman"/>
    </font>
    <font>
      <i/>
      <sz val="8"/>
      <color rgb="FF000000"/>
      <name val="Times New Roman"/>
    </font>
    <font>
      <i/>
      <u/>
      <sz val="8"/>
      <color rgb="FF0070C0"/>
      <name val="Times New Roman"/>
    </font>
    <font>
      <b/>
      <sz val="25"/>
      <color rgb="FF000000"/>
      <name val="Calibri"/>
      <family val="2"/>
      <charset val="1"/>
    </font>
    <font>
      <b/>
      <sz val="2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rgb="FF000000"/>
      <name val="Calibri"/>
      <family val="2"/>
    </font>
    <font>
      <b/>
      <sz val="9"/>
      <color theme="1"/>
      <name val="Calibri"/>
      <scheme val="minor"/>
    </font>
    <font>
      <b/>
      <sz val="9"/>
      <color rgb="FF000000"/>
      <name val="Calibri"/>
      <scheme val="minor"/>
    </font>
    <font>
      <b/>
      <sz val="9"/>
      <name val="Calibri"/>
    </font>
    <font>
      <b/>
      <sz val="9"/>
      <name val="Calibri"/>
      <family val="2"/>
    </font>
    <font>
      <sz val="9"/>
      <name val="Calibri"/>
    </font>
    <font>
      <sz val="9"/>
      <name val="Calibri"/>
      <family val="2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rgb="FFFF0000"/>
      <name val="Calibri"/>
      <family val="2"/>
    </font>
    <font>
      <sz val="11"/>
      <color rgb="FF000000"/>
      <name val="Times New Roman"/>
      <charset val="1"/>
    </font>
    <font>
      <b/>
      <i/>
      <u/>
      <sz val="11"/>
      <color rgb="FF000000"/>
      <name val="Times New Roman"/>
    </font>
    <font>
      <b/>
      <i/>
      <u val="double"/>
      <sz val="11"/>
      <color rgb="FF000000"/>
      <name val="Times New Roman"/>
    </font>
  </fonts>
  <fills count="2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BF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646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E22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D00FF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rgb="FF000000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/>
  </cellStyleXfs>
  <cellXfs count="451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/>
    <xf numFmtId="165" fontId="6" fillId="0" borderId="1" xfId="1" applyNumberFormat="1" applyFont="1" applyFill="1" applyBorder="1" applyAlignment="1">
      <alignment horizontal="center"/>
    </xf>
    <xf numFmtId="2" fontId="8" fillId="0" borderId="1" xfId="1" applyNumberFormat="1" applyFont="1" applyFill="1" applyBorder="1" applyAlignment="1">
      <alignment horizontal="center"/>
    </xf>
    <xf numFmtId="0" fontId="5" fillId="0" borderId="0" xfId="0" applyFont="1"/>
    <xf numFmtId="165" fontId="5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0" borderId="3" xfId="1" applyNumberFormat="1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166" fontId="5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7" fillId="13" borderId="1" xfId="0" applyFont="1" applyFill="1" applyBorder="1" applyAlignment="1">
      <alignment horizontal="left"/>
    </xf>
    <xf numFmtId="0" fontId="20" fillId="0" borderId="0" xfId="0" applyFont="1"/>
    <xf numFmtId="0" fontId="24" fillId="0" borderId="0" xfId="0" applyFont="1"/>
    <xf numFmtId="0" fontId="29" fillId="0" borderId="0" xfId="0" applyFont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31" fillId="0" borderId="0" xfId="0" applyFont="1"/>
    <xf numFmtId="2" fontId="16" fillId="0" borderId="55" xfId="0" applyNumberFormat="1" applyFont="1" applyBorder="1" applyAlignment="1">
      <alignment horizontal="center"/>
    </xf>
    <xf numFmtId="2" fontId="16" fillId="0" borderId="17" xfId="0" applyNumberFormat="1" applyFont="1" applyBorder="1" applyAlignment="1">
      <alignment horizontal="center"/>
    </xf>
    <xf numFmtId="2" fontId="16" fillId="0" borderId="18" xfId="0" applyNumberFormat="1" applyFont="1" applyBorder="1" applyAlignment="1">
      <alignment horizontal="center"/>
    </xf>
    <xf numFmtId="2" fontId="18" fillId="0" borderId="4" xfId="0" applyNumberFormat="1" applyFont="1" applyBorder="1" applyAlignment="1">
      <alignment horizontal="center"/>
    </xf>
    <xf numFmtId="2" fontId="18" fillId="0" borderId="41" xfId="0" applyNumberFormat="1" applyFont="1" applyBorder="1" applyAlignment="1">
      <alignment horizontal="center"/>
    </xf>
    <xf numFmtId="166" fontId="9" fillId="0" borderId="0" xfId="0" applyNumberFormat="1" applyFont="1"/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0" xfId="2" applyFont="1" applyAlignment="1">
      <alignment horizontal="center"/>
    </xf>
    <xf numFmtId="165" fontId="6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2" fontId="8" fillId="0" borderId="0" xfId="1" applyNumberFormat="1" applyFont="1" applyFill="1" applyBorder="1" applyAlignment="1">
      <alignment horizontal="center"/>
    </xf>
    <xf numFmtId="165" fontId="10" fillId="0" borderId="0" xfId="1" applyNumberFormat="1" applyFont="1" applyFill="1" applyBorder="1" applyAlignment="1">
      <alignment horizontal="center"/>
    </xf>
    <xf numFmtId="1" fontId="6" fillId="0" borderId="0" xfId="1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8" fillId="0" borderId="7" xfId="1" applyNumberFormat="1" applyFont="1" applyFill="1" applyBorder="1" applyAlignment="1">
      <alignment horizontal="center"/>
    </xf>
    <xf numFmtId="2" fontId="8" fillId="0" borderId="8" xfId="1" applyNumberFormat="1" applyFont="1" applyFill="1" applyBorder="1" applyAlignment="1">
      <alignment horizontal="center"/>
    </xf>
    <xf numFmtId="165" fontId="32" fillId="0" borderId="0" xfId="0" applyNumberFormat="1" applyFont="1"/>
    <xf numFmtId="0" fontId="32" fillId="0" borderId="0" xfId="0" applyFont="1" applyAlignment="1">
      <alignment horizontal="right"/>
    </xf>
    <xf numFmtId="165" fontId="8" fillId="0" borderId="30" xfId="0" applyNumberFormat="1" applyFont="1" applyBorder="1" applyAlignment="1">
      <alignment horizontal="center" vertical="center" wrapText="1"/>
    </xf>
    <xf numFmtId="165" fontId="8" fillId="0" borderId="25" xfId="0" applyNumberFormat="1" applyFont="1" applyBorder="1" applyAlignment="1">
      <alignment horizontal="center" vertical="center" wrapText="1"/>
    </xf>
    <xf numFmtId="0" fontId="32" fillId="0" borderId="0" xfId="0" applyFont="1"/>
    <xf numFmtId="165" fontId="33" fillId="0" borderId="0" xfId="0" applyNumberFormat="1" applyFont="1"/>
    <xf numFmtId="165" fontId="6" fillId="11" borderId="0" xfId="0" applyNumberFormat="1" applyFont="1" applyFill="1" applyAlignment="1">
      <alignment horizontal="center" vertical="center" wrapText="1"/>
    </xf>
    <xf numFmtId="2" fontId="8" fillId="0" borderId="17" xfId="1" applyNumberFormat="1" applyFont="1" applyFill="1" applyBorder="1" applyAlignment="1">
      <alignment horizontal="center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53" xfId="0" applyNumberFormat="1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2" fontId="8" fillId="0" borderId="41" xfId="1" applyNumberFormat="1" applyFont="1" applyFill="1" applyBorder="1" applyAlignment="1">
      <alignment horizontal="center"/>
    </xf>
    <xf numFmtId="0" fontId="36" fillId="15" borderId="50" xfId="0" applyFont="1" applyFill="1" applyBorder="1" applyAlignment="1">
      <alignment horizontal="center" vertical="center" wrapText="1"/>
    </xf>
    <xf numFmtId="0" fontId="36" fillId="15" borderId="54" xfId="0" applyFont="1" applyFill="1" applyBorder="1" applyAlignment="1">
      <alignment horizontal="center" vertical="center" wrapText="1"/>
    </xf>
    <xf numFmtId="0" fontId="37" fillId="15" borderId="54" xfId="0" applyFont="1" applyFill="1" applyBorder="1" applyAlignment="1">
      <alignment horizontal="center" vertical="center" wrapText="1"/>
    </xf>
    <xf numFmtId="2" fontId="8" fillId="0" borderId="4" xfId="1" applyNumberFormat="1" applyFont="1" applyFill="1" applyBorder="1" applyAlignment="1">
      <alignment horizontal="center"/>
    </xf>
    <xf numFmtId="165" fontId="8" fillId="0" borderId="6" xfId="1" applyNumberFormat="1" applyFont="1" applyFill="1" applyBorder="1" applyAlignment="1">
      <alignment horizontal="center"/>
    </xf>
    <xf numFmtId="165" fontId="8" fillId="0" borderId="53" xfId="1" applyNumberFormat="1" applyFont="1" applyFill="1" applyBorder="1" applyAlignment="1">
      <alignment horizontal="center"/>
    </xf>
    <xf numFmtId="0" fontId="17" fillId="13" borderId="15" xfId="0" applyFont="1" applyFill="1" applyBorder="1" applyAlignment="1">
      <alignment horizontal="left"/>
    </xf>
    <xf numFmtId="1" fontId="16" fillId="0" borderId="55" xfId="0" applyNumberFormat="1" applyFont="1" applyBorder="1" applyAlignment="1">
      <alignment horizontal="center"/>
    </xf>
    <xf numFmtId="1" fontId="16" fillId="0" borderId="17" xfId="0" applyNumberFormat="1" applyFont="1" applyBorder="1" applyAlignment="1">
      <alignment horizontal="center"/>
    </xf>
    <xf numFmtId="1" fontId="15" fillId="0" borderId="18" xfId="0" applyNumberFormat="1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36" xfId="2" applyFont="1" applyBorder="1" applyAlignment="1">
      <alignment horizontal="left"/>
    </xf>
    <xf numFmtId="0" fontId="6" fillId="0" borderId="40" xfId="2" applyFont="1" applyBorder="1" applyAlignment="1">
      <alignment horizontal="left"/>
    </xf>
    <xf numFmtId="0" fontId="6" fillId="0" borderId="40" xfId="2" applyFont="1" applyBorder="1" applyAlignment="1">
      <alignment horizontal="left" wrapText="1"/>
    </xf>
    <xf numFmtId="0" fontId="6" fillId="0" borderId="40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8" borderId="65" xfId="0" applyFont="1" applyFill="1" applyBorder="1" applyAlignment="1">
      <alignment horizontal="center" vertical="center" wrapText="1"/>
    </xf>
    <xf numFmtId="0" fontId="8" fillId="8" borderId="70" xfId="0" applyFont="1" applyFill="1" applyBorder="1" applyAlignment="1">
      <alignment horizontal="center" vertical="center" wrapText="1"/>
    </xf>
    <xf numFmtId="165" fontId="10" fillId="0" borderId="3" xfId="1" applyNumberFormat="1" applyFont="1" applyFill="1" applyBorder="1" applyAlignment="1">
      <alignment horizontal="center"/>
    </xf>
    <xf numFmtId="165" fontId="6" fillId="0" borderId="55" xfId="1" applyNumberFormat="1" applyFont="1" applyFill="1" applyBorder="1" applyAlignment="1">
      <alignment horizontal="center"/>
    </xf>
    <xf numFmtId="165" fontId="6" fillId="0" borderId="17" xfId="1" applyNumberFormat="1" applyFont="1" applyFill="1" applyBorder="1" applyAlignment="1">
      <alignment horizontal="center"/>
    </xf>
    <xf numFmtId="0" fontId="6" fillId="10" borderId="34" xfId="0" applyFont="1" applyFill="1" applyBorder="1" applyAlignment="1">
      <alignment horizontal="center" vertical="center" wrapText="1"/>
    </xf>
    <xf numFmtId="165" fontId="8" fillId="0" borderId="25" xfId="1" applyNumberFormat="1" applyFont="1" applyFill="1" applyBorder="1" applyAlignment="1">
      <alignment horizontal="center"/>
    </xf>
    <xf numFmtId="0" fontId="6" fillId="11" borderId="66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6" fillId="10" borderId="70" xfId="0" applyFont="1" applyFill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/>
    </xf>
    <xf numFmtId="0" fontId="34" fillId="0" borderId="53" xfId="0" applyFont="1" applyBorder="1" applyAlignment="1">
      <alignment horizontal="center"/>
    </xf>
    <xf numFmtId="16" fontId="6" fillId="0" borderId="53" xfId="0" applyNumberFormat="1" applyFont="1" applyBorder="1" applyAlignment="1">
      <alignment horizontal="center"/>
    </xf>
    <xf numFmtId="16" fontId="5" fillId="0" borderId="53" xfId="0" applyNumberFormat="1" applyFont="1" applyBorder="1" applyAlignment="1">
      <alignment horizontal="center"/>
    </xf>
    <xf numFmtId="166" fontId="5" fillId="0" borderId="53" xfId="0" applyNumberFormat="1" applyFont="1" applyBorder="1" applyAlignment="1">
      <alignment horizontal="center" wrapText="1"/>
    </xf>
    <xf numFmtId="0" fontId="5" fillId="0" borderId="53" xfId="0" applyFont="1" applyBorder="1" applyAlignment="1">
      <alignment horizontal="center" vertical="center"/>
    </xf>
    <xf numFmtId="165" fontId="8" fillId="0" borderId="30" xfId="1" applyNumberFormat="1" applyFont="1" applyFill="1" applyBorder="1" applyAlignment="1">
      <alignment horizontal="center"/>
    </xf>
    <xf numFmtId="2" fontId="8" fillId="0" borderId="40" xfId="1" applyNumberFormat="1" applyFont="1" applyFill="1" applyBorder="1" applyAlignment="1">
      <alignment horizontal="center"/>
    </xf>
    <xf numFmtId="1" fontId="6" fillId="0" borderId="7" xfId="1" applyNumberFormat="1" applyFont="1" applyFill="1" applyBorder="1" applyAlignment="1">
      <alignment horizontal="center"/>
    </xf>
    <xf numFmtId="1" fontId="6" fillId="0" borderId="8" xfId="1" applyNumberFormat="1" applyFont="1" applyFill="1" applyBorder="1" applyAlignment="1">
      <alignment horizontal="center"/>
    </xf>
    <xf numFmtId="14" fontId="6" fillId="0" borderId="36" xfId="0" applyNumberFormat="1" applyFont="1" applyBorder="1" applyAlignment="1">
      <alignment horizontal="center"/>
    </xf>
    <xf numFmtId="14" fontId="6" fillId="0" borderId="40" xfId="0" applyNumberFormat="1" applyFont="1" applyBorder="1" applyAlignment="1">
      <alignment horizontal="center"/>
    </xf>
    <xf numFmtId="14" fontId="6" fillId="0" borderId="40" xfId="0" applyNumberFormat="1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 wrapText="1"/>
    </xf>
    <xf numFmtId="0" fontId="8" fillId="9" borderId="54" xfId="0" applyFont="1" applyFill="1" applyBorder="1" applyAlignment="1">
      <alignment horizontal="center" vertical="center" wrapText="1"/>
    </xf>
    <xf numFmtId="0" fontId="8" fillId="9" borderId="76" xfId="0" applyFont="1" applyFill="1" applyBorder="1" applyAlignment="1">
      <alignment horizontal="center" vertical="center" wrapText="1"/>
    </xf>
    <xf numFmtId="165" fontId="6" fillId="0" borderId="41" xfId="1" applyNumberFormat="1" applyFont="1" applyFill="1" applyBorder="1" applyAlignment="1">
      <alignment horizontal="center"/>
    </xf>
    <xf numFmtId="165" fontId="6" fillId="0" borderId="4" xfId="1" applyNumberFormat="1" applyFont="1" applyFill="1" applyBorder="1" applyAlignment="1">
      <alignment horizontal="center"/>
    </xf>
    <xf numFmtId="0" fontId="28" fillId="0" borderId="0" xfId="0" applyFont="1"/>
    <xf numFmtId="16" fontId="9" fillId="0" borderId="53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6" fillId="8" borderId="66" xfId="0" applyFont="1" applyFill="1" applyBorder="1" applyAlignment="1">
      <alignment horizontal="center" vertical="center" wrapText="1"/>
    </xf>
    <xf numFmtId="0" fontId="36" fillId="18" borderId="31" xfId="0" applyFont="1" applyFill="1" applyBorder="1" applyAlignment="1">
      <alignment horizontal="center" vertical="center" wrapText="1"/>
    </xf>
    <xf numFmtId="0" fontId="36" fillId="16" borderId="12" xfId="0" applyFont="1" applyFill="1" applyBorder="1" applyAlignment="1">
      <alignment horizontal="center" vertical="center" wrapText="1"/>
    </xf>
    <xf numFmtId="2" fontId="8" fillId="0" borderId="20" xfId="1" applyNumberFormat="1" applyFont="1" applyFill="1" applyBorder="1" applyAlignment="1">
      <alignment horizontal="center"/>
    </xf>
    <xf numFmtId="2" fontId="8" fillId="0" borderId="69" xfId="1" applyNumberFormat="1" applyFont="1" applyFill="1" applyBorder="1" applyAlignment="1">
      <alignment horizontal="center"/>
    </xf>
    <xf numFmtId="0" fontId="8" fillId="0" borderId="36" xfId="2" applyFont="1" applyBorder="1"/>
    <xf numFmtId="0" fontId="8" fillId="0" borderId="40" xfId="2" applyFont="1" applyBorder="1"/>
    <xf numFmtId="0" fontId="6" fillId="0" borderId="40" xfId="2" applyFont="1" applyBorder="1"/>
    <xf numFmtId="0" fontId="8" fillId="0" borderId="40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14" fontId="6" fillId="0" borderId="36" xfId="2" applyNumberFormat="1" applyFont="1" applyBorder="1" applyAlignment="1">
      <alignment horizontal="center"/>
    </xf>
    <xf numFmtId="14" fontId="6" fillId="0" borderId="40" xfId="2" applyNumberFormat="1" applyFont="1" applyBorder="1" applyAlignment="1">
      <alignment horizontal="center"/>
    </xf>
    <xf numFmtId="1" fontId="6" fillId="0" borderId="36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 wrapText="1"/>
    </xf>
    <xf numFmtId="1" fontId="6" fillId="0" borderId="38" xfId="0" applyNumberFormat="1" applyFont="1" applyBorder="1" applyAlignment="1">
      <alignment horizontal="center" vertical="center" wrapText="1"/>
    </xf>
    <xf numFmtId="0" fontId="6" fillId="0" borderId="40" xfId="2" applyFont="1" applyBorder="1" applyAlignment="1">
      <alignment horizontal="center"/>
    </xf>
    <xf numFmtId="1" fontId="6" fillId="0" borderId="48" xfId="1" applyNumberFormat="1" applyFont="1" applyFill="1" applyBorder="1" applyAlignment="1">
      <alignment horizontal="center"/>
    </xf>
    <xf numFmtId="165" fontId="10" fillId="0" borderId="49" xfId="0" applyNumberFormat="1" applyFont="1" applyBorder="1" applyAlignment="1">
      <alignment horizontal="center" vertical="center" wrapText="1"/>
    </xf>
    <xf numFmtId="165" fontId="6" fillId="0" borderId="44" xfId="1" applyNumberFormat="1" applyFont="1" applyFill="1" applyBorder="1" applyAlignment="1">
      <alignment horizontal="center"/>
    </xf>
    <xf numFmtId="165" fontId="6" fillId="0" borderId="81" xfId="1" applyNumberFormat="1" applyFont="1" applyFill="1" applyBorder="1" applyAlignment="1">
      <alignment horizontal="center"/>
    </xf>
    <xf numFmtId="165" fontId="8" fillId="0" borderId="45" xfId="0" applyNumberFormat="1" applyFont="1" applyBorder="1" applyAlignment="1">
      <alignment horizontal="center" vertical="center" wrapText="1"/>
    </xf>
    <xf numFmtId="165" fontId="8" fillId="0" borderId="83" xfId="0" applyNumberFormat="1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/>
    </xf>
    <xf numFmtId="2" fontId="8" fillId="0" borderId="82" xfId="1" applyNumberFormat="1" applyFont="1" applyFill="1" applyBorder="1" applyAlignment="1">
      <alignment horizontal="center"/>
    </xf>
    <xf numFmtId="2" fontId="8" fillId="0" borderId="78" xfId="1" applyNumberFormat="1" applyFont="1" applyFill="1" applyBorder="1" applyAlignment="1">
      <alignment horizontal="center"/>
    </xf>
    <xf numFmtId="2" fontId="8" fillId="0" borderId="79" xfId="1" applyNumberFormat="1" applyFont="1" applyFill="1" applyBorder="1" applyAlignment="1">
      <alignment horizontal="center"/>
    </xf>
    <xf numFmtId="2" fontId="8" fillId="0" borderId="35" xfId="1" applyNumberFormat="1" applyFont="1" applyFill="1" applyBorder="1" applyAlignment="1">
      <alignment horizontal="center"/>
    </xf>
    <xf numFmtId="2" fontId="8" fillId="0" borderId="77" xfId="1" applyNumberFormat="1" applyFont="1" applyFill="1" applyBorder="1" applyAlignment="1">
      <alignment horizontal="center"/>
    </xf>
    <xf numFmtId="1" fontId="6" fillId="0" borderId="82" xfId="1" applyNumberFormat="1" applyFont="1" applyFill="1" applyBorder="1" applyAlignment="1">
      <alignment horizontal="center"/>
    </xf>
    <xf numFmtId="165" fontId="10" fillId="0" borderId="78" xfId="0" applyNumberFormat="1" applyFont="1" applyBorder="1" applyAlignment="1">
      <alignment horizontal="center" vertical="center" wrapText="1"/>
    </xf>
    <xf numFmtId="165" fontId="6" fillId="0" borderId="79" xfId="1" applyNumberFormat="1" applyFont="1" applyFill="1" applyBorder="1" applyAlignment="1">
      <alignment horizontal="center"/>
    </xf>
    <xf numFmtId="165" fontId="6" fillId="0" borderId="80" xfId="1" applyNumberFormat="1" applyFont="1" applyFill="1" applyBorder="1" applyAlignment="1">
      <alignment horizontal="center"/>
    </xf>
    <xf numFmtId="165" fontId="8" fillId="0" borderId="31" xfId="0" applyNumberFormat="1" applyFont="1" applyBorder="1" applyAlignment="1">
      <alignment horizontal="center" vertical="center" wrapText="1"/>
    </xf>
    <xf numFmtId="165" fontId="8" fillId="0" borderId="84" xfId="0" applyNumberFormat="1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/>
    </xf>
    <xf numFmtId="2" fontId="8" fillId="0" borderId="22" xfId="1" applyNumberFormat="1" applyFont="1" applyFill="1" applyBorder="1" applyAlignment="1">
      <alignment horizontal="center"/>
    </xf>
    <xf numFmtId="165" fontId="10" fillId="0" borderId="6" xfId="1" applyNumberFormat="1" applyFont="1" applyFill="1" applyBorder="1" applyAlignment="1">
      <alignment horizontal="center"/>
    </xf>
    <xf numFmtId="165" fontId="10" fillId="0" borderId="53" xfId="1" applyNumberFormat="1" applyFont="1" applyFill="1" applyBorder="1" applyAlignment="1">
      <alignment horizontal="center"/>
    </xf>
    <xf numFmtId="165" fontId="10" fillId="0" borderId="83" xfId="1" applyNumberFormat="1" applyFont="1" applyFill="1" applyBorder="1" applyAlignment="1">
      <alignment horizontal="center"/>
    </xf>
    <xf numFmtId="165" fontId="10" fillId="0" borderId="84" xfId="1" applyNumberFormat="1" applyFont="1" applyFill="1" applyBorder="1" applyAlignment="1">
      <alignment horizontal="center"/>
    </xf>
    <xf numFmtId="2" fontId="8" fillId="0" borderId="55" xfId="1" applyNumberFormat="1" applyFont="1" applyFill="1" applyBorder="1" applyAlignment="1">
      <alignment horizontal="center"/>
    </xf>
    <xf numFmtId="0" fontId="37" fillId="18" borderId="85" xfId="0" applyFont="1" applyFill="1" applyBorder="1" applyAlignment="1">
      <alignment horizontal="center" vertical="center" wrapText="1"/>
    </xf>
    <xf numFmtId="0" fontId="37" fillId="19" borderId="65" xfId="0" applyFont="1" applyFill="1" applyBorder="1" applyAlignment="1">
      <alignment horizontal="center" vertical="center" wrapText="1"/>
    </xf>
    <xf numFmtId="0" fontId="36" fillId="20" borderId="65" xfId="0" applyFont="1" applyFill="1" applyBorder="1" applyAlignment="1">
      <alignment horizontal="center" vertical="center" wrapText="1"/>
    </xf>
    <xf numFmtId="0" fontId="36" fillId="21" borderId="70" xfId="0" applyFont="1" applyFill="1" applyBorder="1" applyAlignment="1">
      <alignment horizontal="center" vertical="center" wrapText="1"/>
    </xf>
    <xf numFmtId="165" fontId="10" fillId="0" borderId="55" xfId="1" applyNumberFormat="1" applyFont="1" applyFill="1" applyBorder="1" applyAlignment="1">
      <alignment horizontal="center"/>
    </xf>
    <xf numFmtId="165" fontId="10" fillId="0" borderId="17" xfId="1" applyNumberFormat="1" applyFont="1" applyFill="1" applyBorder="1" applyAlignment="1">
      <alignment horizontal="center"/>
    </xf>
    <xf numFmtId="165" fontId="10" fillId="0" borderId="44" xfId="1" applyNumberFormat="1" applyFont="1" applyFill="1" applyBorder="1" applyAlignment="1">
      <alignment horizontal="center"/>
    </xf>
    <xf numFmtId="165" fontId="10" fillId="0" borderId="79" xfId="1" applyNumberFormat="1" applyFont="1" applyFill="1" applyBorder="1" applyAlignment="1">
      <alignment horizontal="center"/>
    </xf>
    <xf numFmtId="165" fontId="8" fillId="0" borderId="40" xfId="0" applyNumberFormat="1" applyFont="1" applyBorder="1" applyAlignment="1">
      <alignment horizontal="center" vertical="center" wrapText="1"/>
    </xf>
    <xf numFmtId="165" fontId="8" fillId="0" borderId="46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65" fontId="8" fillId="0" borderId="36" xfId="0" applyNumberFormat="1" applyFont="1" applyBorder="1" applyAlignment="1">
      <alignment horizontal="center" vertical="center" wrapText="1"/>
    </xf>
    <xf numFmtId="2" fontId="8" fillId="0" borderId="36" xfId="1" applyNumberFormat="1" applyFont="1" applyFill="1" applyBorder="1" applyAlignment="1">
      <alignment horizontal="center"/>
    </xf>
    <xf numFmtId="0" fontId="39" fillId="23" borderId="50" xfId="0" applyFont="1" applyFill="1" applyBorder="1" applyAlignment="1">
      <alignment horizontal="center" vertical="center" wrapText="1"/>
    </xf>
    <xf numFmtId="0" fontId="39" fillId="23" borderId="87" xfId="0" applyFont="1" applyFill="1" applyBorder="1" applyAlignment="1">
      <alignment horizontal="center" vertical="center" wrapText="1"/>
    </xf>
    <xf numFmtId="166" fontId="9" fillId="0" borderId="22" xfId="1" applyNumberFormat="1" applyFont="1" applyFill="1" applyBorder="1" applyAlignment="1">
      <alignment horizontal="center"/>
    </xf>
    <xf numFmtId="166" fontId="9" fillId="0" borderId="3" xfId="1" applyNumberFormat="1" applyFont="1" applyFill="1" applyBorder="1" applyAlignment="1">
      <alignment horizontal="center"/>
    </xf>
    <xf numFmtId="166" fontId="9" fillId="0" borderId="41" xfId="1" applyNumberFormat="1" applyFont="1" applyFill="1" applyBorder="1" applyAlignment="1">
      <alignment horizontal="center"/>
    </xf>
    <xf numFmtId="2" fontId="33" fillId="0" borderId="86" xfId="1" applyNumberFormat="1" applyFont="1" applyFill="1" applyBorder="1" applyAlignment="1">
      <alignment horizontal="center"/>
    </xf>
    <xf numFmtId="2" fontId="33" fillId="0" borderId="25" xfId="1" applyNumberFormat="1" applyFont="1" applyFill="1" applyBorder="1" applyAlignment="1">
      <alignment horizontal="center"/>
    </xf>
    <xf numFmtId="2" fontId="33" fillId="0" borderId="31" xfId="1" applyNumberFormat="1" applyFont="1" applyFill="1" applyBorder="1" applyAlignment="1">
      <alignment horizontal="center"/>
    </xf>
    <xf numFmtId="0" fontId="39" fillId="18" borderId="85" xfId="0" applyFont="1" applyFill="1" applyBorder="1" applyAlignment="1">
      <alignment horizontal="center" vertical="center" wrapText="1"/>
    </xf>
    <xf numFmtId="0" fontId="39" fillId="19" borderId="65" xfId="0" applyFont="1" applyFill="1" applyBorder="1" applyAlignment="1">
      <alignment horizontal="center" vertical="center" wrapText="1"/>
    </xf>
    <xf numFmtId="0" fontId="36" fillId="21" borderId="88" xfId="0" applyFont="1" applyFill="1" applyBorder="1" applyAlignment="1">
      <alignment horizontal="center" vertical="center" wrapText="1"/>
    </xf>
    <xf numFmtId="166" fontId="9" fillId="0" borderId="6" xfId="1" applyNumberFormat="1" applyFont="1" applyFill="1" applyBorder="1" applyAlignment="1">
      <alignment horizontal="center"/>
    </xf>
    <xf numFmtId="166" fontId="9" fillId="0" borderId="89" xfId="1" applyNumberFormat="1" applyFont="1" applyFill="1" applyBorder="1" applyAlignment="1">
      <alignment horizontal="center"/>
    </xf>
    <xf numFmtId="0" fontId="39" fillId="15" borderId="28" xfId="0" applyFont="1" applyFill="1" applyBorder="1" applyAlignment="1">
      <alignment horizontal="center" vertical="center" wrapText="1"/>
    </xf>
    <xf numFmtId="0" fontId="6" fillId="0" borderId="36" xfId="2" applyFont="1" applyBorder="1" applyAlignment="1">
      <alignment horizontal="center"/>
    </xf>
    <xf numFmtId="0" fontId="6" fillId="0" borderId="38" xfId="2" applyFont="1" applyBorder="1" applyAlignment="1">
      <alignment horizontal="center"/>
    </xf>
    <xf numFmtId="165" fontId="6" fillId="0" borderId="22" xfId="1" applyNumberFormat="1" applyFont="1" applyFill="1" applyBorder="1" applyAlignment="1">
      <alignment horizontal="center"/>
    </xf>
    <xf numFmtId="165" fontId="6" fillId="0" borderId="15" xfId="1" applyNumberFormat="1" applyFont="1" applyFill="1" applyBorder="1" applyAlignment="1">
      <alignment horizontal="center"/>
    </xf>
    <xf numFmtId="165" fontId="6" fillId="0" borderId="16" xfId="1" applyNumberFormat="1" applyFont="1" applyFill="1" applyBorder="1" applyAlignment="1">
      <alignment horizontal="center"/>
    </xf>
    <xf numFmtId="165" fontId="6" fillId="0" borderId="5" xfId="1" applyNumberFormat="1" applyFont="1" applyFill="1" applyBorder="1" applyAlignment="1">
      <alignment horizontal="center"/>
    </xf>
    <xf numFmtId="165" fontId="8" fillId="0" borderId="55" xfId="1" applyNumberFormat="1" applyFont="1" applyFill="1" applyBorder="1" applyAlignment="1">
      <alignment horizontal="center"/>
    </xf>
    <xf numFmtId="165" fontId="8" fillId="0" borderId="17" xfId="1" applyNumberFormat="1" applyFont="1" applyFill="1" applyBorder="1" applyAlignment="1">
      <alignment horizontal="center"/>
    </xf>
    <xf numFmtId="165" fontId="8" fillId="0" borderId="18" xfId="1" applyNumberFormat="1" applyFont="1" applyFill="1" applyBorder="1" applyAlignment="1">
      <alignment horizontal="center"/>
    </xf>
    <xf numFmtId="2" fontId="8" fillId="0" borderId="15" xfId="1" applyNumberFormat="1" applyFont="1" applyFill="1" applyBorder="1" applyAlignment="1">
      <alignment horizontal="center"/>
    </xf>
    <xf numFmtId="2" fontId="8" fillId="0" borderId="16" xfId="1" applyNumberFormat="1" applyFont="1" applyFill="1" applyBorder="1" applyAlignment="1">
      <alignment horizontal="center"/>
    </xf>
    <xf numFmtId="2" fontId="8" fillId="0" borderId="5" xfId="1" applyNumberFormat="1" applyFont="1" applyFill="1" applyBorder="1" applyAlignment="1">
      <alignment horizontal="center"/>
    </xf>
    <xf numFmtId="2" fontId="8" fillId="0" borderId="67" xfId="1" applyNumberFormat="1" applyFont="1" applyFill="1" applyBorder="1" applyAlignment="1">
      <alignment horizontal="center"/>
    </xf>
    <xf numFmtId="166" fontId="9" fillId="0" borderId="84" xfId="1" applyNumberFormat="1" applyFont="1" applyFill="1" applyBorder="1" applyAlignment="1">
      <alignment horizontal="center"/>
    </xf>
    <xf numFmtId="166" fontId="9" fillId="0" borderId="1" xfId="1" applyNumberFormat="1" applyFont="1" applyFill="1" applyBorder="1" applyAlignment="1">
      <alignment horizontal="center"/>
    </xf>
    <xf numFmtId="166" fontId="9" fillId="0" borderId="15" xfId="1" applyNumberFormat="1" applyFont="1" applyFill="1" applyBorder="1" applyAlignment="1">
      <alignment horizontal="center"/>
    </xf>
    <xf numFmtId="166" fontId="9" fillId="0" borderId="4" xfId="1" applyNumberFormat="1" applyFont="1" applyFill="1" applyBorder="1" applyAlignment="1">
      <alignment horizontal="center"/>
    </xf>
    <xf numFmtId="166" fontId="9" fillId="0" borderId="16" xfId="1" applyNumberFormat="1" applyFont="1" applyFill="1" applyBorder="1" applyAlignment="1">
      <alignment horizontal="center"/>
    </xf>
    <xf numFmtId="166" fontId="9" fillId="0" borderId="5" xfId="1" applyNumberFormat="1" applyFont="1" applyFill="1" applyBorder="1" applyAlignment="1">
      <alignment horizontal="center"/>
    </xf>
    <xf numFmtId="166" fontId="9" fillId="0" borderId="67" xfId="1" applyNumberFormat="1" applyFont="1" applyFill="1" applyBorder="1" applyAlignment="1">
      <alignment horizontal="center"/>
    </xf>
    <xf numFmtId="165" fontId="5" fillId="14" borderId="0" xfId="0" applyNumberFormat="1" applyFont="1" applyFill="1"/>
    <xf numFmtId="165" fontId="32" fillId="25" borderId="0" xfId="0" applyNumberFormat="1" applyFont="1" applyFill="1"/>
    <xf numFmtId="165" fontId="6" fillId="25" borderId="0" xfId="0" applyNumberFormat="1" applyFont="1" applyFill="1" applyAlignment="1">
      <alignment horizontal="center" vertical="center" wrapText="1"/>
    </xf>
    <xf numFmtId="167" fontId="10" fillId="26" borderId="0" xfId="0" applyNumberFormat="1" applyFont="1" applyFill="1" applyAlignment="1">
      <alignment horizontal="center" vertical="center" wrapText="1"/>
    </xf>
    <xf numFmtId="167" fontId="9" fillId="26" borderId="0" xfId="0" applyNumberFormat="1" applyFont="1" applyFill="1"/>
    <xf numFmtId="165" fontId="8" fillId="0" borderId="36" xfId="1" applyNumberFormat="1" applyFont="1" applyFill="1" applyBorder="1" applyAlignment="1">
      <alignment horizontal="center"/>
    </xf>
    <xf numFmtId="165" fontId="8" fillId="0" borderId="40" xfId="1" applyNumberFormat="1" applyFont="1" applyFill="1" applyBorder="1" applyAlignment="1">
      <alignment horizontal="center"/>
    </xf>
    <xf numFmtId="165" fontId="8" fillId="0" borderId="46" xfId="1" applyNumberFormat="1" applyFont="1" applyFill="1" applyBorder="1" applyAlignment="1">
      <alignment horizontal="center"/>
    </xf>
    <xf numFmtId="165" fontId="8" fillId="0" borderId="35" xfId="1" applyNumberFormat="1" applyFont="1" applyFill="1" applyBorder="1" applyAlignment="1">
      <alignment horizontal="center"/>
    </xf>
    <xf numFmtId="165" fontId="8" fillId="0" borderId="39" xfId="0" applyNumberFormat="1" applyFont="1" applyBorder="1" applyAlignment="1">
      <alignment horizontal="center" vertical="center" wrapText="1"/>
    </xf>
    <xf numFmtId="165" fontId="8" fillId="0" borderId="90" xfId="0" applyNumberFormat="1" applyFont="1" applyBorder="1" applyAlignment="1">
      <alignment horizontal="center" vertical="center" wrapText="1"/>
    </xf>
    <xf numFmtId="165" fontId="8" fillId="0" borderId="47" xfId="0" applyNumberFormat="1" applyFont="1" applyBorder="1" applyAlignment="1">
      <alignment horizontal="center" vertical="center" wrapText="1"/>
    </xf>
    <xf numFmtId="165" fontId="8" fillId="0" borderId="32" xfId="0" applyNumberFormat="1" applyFont="1" applyBorder="1" applyAlignment="1">
      <alignment horizontal="center" vertical="center" wrapText="1"/>
    </xf>
    <xf numFmtId="165" fontId="9" fillId="24" borderId="6" xfId="0" applyNumberFormat="1" applyFont="1" applyFill="1" applyBorder="1" applyAlignment="1">
      <alignment horizontal="center" vertical="center" wrapText="1"/>
    </xf>
    <xf numFmtId="165" fontId="9" fillId="11" borderId="53" xfId="0" applyNumberFormat="1" applyFont="1" applyFill="1" applyBorder="1" applyAlignment="1">
      <alignment horizontal="center" vertical="center" wrapText="1"/>
    </xf>
    <xf numFmtId="165" fontId="9" fillId="11" borderId="91" xfId="0" applyNumberFormat="1" applyFont="1" applyFill="1" applyBorder="1" applyAlignment="1">
      <alignment horizontal="center" vertical="center" wrapText="1"/>
    </xf>
    <xf numFmtId="1" fontId="6" fillId="25" borderId="8" xfId="1" applyNumberFormat="1" applyFont="1" applyFill="1" applyBorder="1" applyAlignment="1">
      <alignment horizontal="center"/>
    </xf>
    <xf numFmtId="165" fontId="5" fillId="11" borderId="0" xfId="0" applyNumberFormat="1" applyFont="1" applyFill="1"/>
    <xf numFmtId="0" fontId="35" fillId="0" borderId="13" xfId="0" applyFont="1" applyBorder="1" applyAlignment="1">
      <alignment horizontal="center" wrapText="1"/>
    </xf>
    <xf numFmtId="0" fontId="35" fillId="0" borderId="11" xfId="0" applyFont="1" applyBorder="1" applyAlignment="1">
      <alignment horizontal="center" wrapText="1"/>
    </xf>
    <xf numFmtId="0" fontId="35" fillId="0" borderId="14" xfId="0" applyFont="1" applyBorder="1" applyAlignment="1">
      <alignment horizontal="center" wrapText="1"/>
    </xf>
    <xf numFmtId="0" fontId="35" fillId="0" borderId="0" xfId="0" applyFont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25" borderId="28" xfId="0" applyFont="1" applyFill="1" applyBorder="1" applyAlignment="1">
      <alignment horizontal="center" vertical="center" wrapText="1"/>
    </xf>
    <xf numFmtId="0" fontId="6" fillId="25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40" fillId="7" borderId="28" xfId="0" applyFont="1" applyFill="1" applyBorder="1" applyAlignment="1">
      <alignment horizontal="center" vertical="center" wrapText="1"/>
    </xf>
    <xf numFmtId="0" fontId="40" fillId="7" borderId="2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6" fillId="3" borderId="61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7" fillId="5" borderId="42" xfId="0" applyFont="1" applyFill="1" applyBorder="1" applyAlignment="1">
      <alignment horizontal="center" vertical="center" wrapText="1"/>
    </xf>
    <xf numFmtId="0" fontId="37" fillId="5" borderId="21" xfId="0" applyFont="1" applyFill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5" borderId="10" xfId="0" applyFont="1" applyFill="1" applyBorder="1" applyAlignment="1">
      <alignment horizontal="center" vertical="center" wrapText="1"/>
    </xf>
    <xf numFmtId="0" fontId="37" fillId="5" borderId="13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37" fillId="17" borderId="13" xfId="0" applyFont="1" applyFill="1" applyBorder="1" applyAlignment="1">
      <alignment horizontal="center" vertical="center" wrapText="1"/>
    </xf>
    <xf numFmtId="0" fontId="37" fillId="17" borderId="11" xfId="0" applyFont="1" applyFill="1" applyBorder="1" applyAlignment="1">
      <alignment horizontal="center" vertical="center" wrapText="1"/>
    </xf>
    <xf numFmtId="0" fontId="37" fillId="17" borderId="14" xfId="0" applyFont="1" applyFill="1" applyBorder="1" applyAlignment="1">
      <alignment horizontal="center" vertical="center" wrapText="1"/>
    </xf>
    <xf numFmtId="0" fontId="37" fillId="22" borderId="42" xfId="0" applyFont="1" applyFill="1" applyBorder="1" applyAlignment="1">
      <alignment horizontal="center" vertical="center" wrapText="1"/>
    </xf>
    <xf numFmtId="0" fontId="37" fillId="22" borderId="37" xfId="0" applyFont="1" applyFill="1" applyBorder="1" applyAlignment="1">
      <alignment horizontal="center" vertical="center" wrapText="1"/>
    </xf>
    <xf numFmtId="0" fontId="37" fillId="5" borderId="34" xfId="0" applyFont="1" applyFill="1" applyBorder="1" applyAlignment="1">
      <alignment horizontal="center" vertical="center" wrapText="1"/>
    </xf>
    <xf numFmtId="14" fontId="29" fillId="0" borderId="0" xfId="0" applyNumberFormat="1" applyFont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6" fillId="26" borderId="33" xfId="0" applyFont="1" applyFill="1" applyBorder="1" applyAlignment="1">
      <alignment horizontal="center" vertical="center" wrapText="1"/>
    </xf>
    <xf numFmtId="0" fontId="6" fillId="26" borderId="29" xfId="0" applyFont="1" applyFill="1" applyBorder="1" applyAlignment="1">
      <alignment horizontal="center" vertical="center" wrapText="1"/>
    </xf>
    <xf numFmtId="0" fontId="6" fillId="25" borderId="72" xfId="0" applyFont="1" applyFill="1" applyBorder="1" applyAlignment="1">
      <alignment horizontal="center" vertical="center" wrapText="1"/>
    </xf>
    <xf numFmtId="0" fontId="6" fillId="25" borderId="7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6" fillId="0" borderId="5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165" fontId="22" fillId="0" borderId="13" xfId="0" applyNumberFormat="1" applyFont="1" applyBorder="1" applyAlignment="1">
      <alignment horizontal="right"/>
    </xf>
    <xf numFmtId="165" fontId="22" fillId="0" borderId="11" xfId="0" applyNumberFormat="1" applyFont="1" applyBorder="1" applyAlignment="1">
      <alignment horizontal="right"/>
    </xf>
    <xf numFmtId="165" fontId="22" fillId="0" borderId="14" xfId="0" applyNumberFormat="1" applyFont="1" applyBorder="1" applyAlignment="1">
      <alignment horizontal="right"/>
    </xf>
    <xf numFmtId="166" fontId="15" fillId="0" borderId="37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166" fontId="15" fillId="0" borderId="34" xfId="0" applyNumberFormat="1" applyFont="1" applyBorder="1" applyAlignment="1">
      <alignment horizontal="center"/>
    </xf>
    <xf numFmtId="164" fontId="15" fillId="0" borderId="37" xfId="0" quotePrefix="1" applyNumberFormat="1" applyFont="1" applyBorder="1" applyAlignment="1">
      <alignment horizontal="center"/>
    </xf>
    <xf numFmtId="164" fontId="15" fillId="0" borderId="0" xfId="0" quotePrefix="1" applyNumberFormat="1" applyFont="1" applyAlignment="1">
      <alignment horizontal="center"/>
    </xf>
    <xf numFmtId="164" fontId="15" fillId="0" borderId="34" xfId="0" quotePrefix="1" applyNumberFormat="1" applyFont="1" applyBorder="1" applyAlignment="1">
      <alignment horizontal="center"/>
    </xf>
    <xf numFmtId="165" fontId="15" fillId="0" borderId="37" xfId="0" quotePrefix="1" applyNumberFormat="1" applyFont="1" applyBorder="1" applyAlignment="1">
      <alignment horizontal="center"/>
    </xf>
    <xf numFmtId="165" fontId="15" fillId="0" borderId="0" xfId="0" quotePrefix="1" applyNumberFormat="1" applyFont="1" applyAlignment="1">
      <alignment horizontal="center"/>
    </xf>
    <xf numFmtId="165" fontId="15" fillId="0" borderId="34" xfId="0" quotePrefix="1" applyNumberFormat="1" applyFont="1" applyBorder="1" applyAlignment="1">
      <alignment horizontal="center"/>
    </xf>
    <xf numFmtId="0" fontId="15" fillId="0" borderId="35" xfId="0" applyFont="1" applyBorder="1" applyAlignment="1">
      <alignment horizontal="right"/>
    </xf>
    <xf numFmtId="0" fontId="15" fillId="0" borderId="31" xfId="0" applyFont="1" applyBorder="1" applyAlignment="1">
      <alignment horizontal="right"/>
    </xf>
    <xf numFmtId="0" fontId="12" fillId="0" borderId="3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23" fillId="12" borderId="12" xfId="0" applyFont="1" applyFill="1" applyBorder="1" applyAlignment="1">
      <alignment horizontal="center"/>
    </xf>
    <xf numFmtId="0" fontId="23" fillId="12" borderId="10" xfId="0" applyFont="1" applyFill="1" applyBorder="1" applyAlignment="1">
      <alignment horizontal="center"/>
    </xf>
    <xf numFmtId="0" fontId="23" fillId="12" borderId="42" xfId="0" applyFont="1" applyFill="1" applyBorder="1" applyAlignment="1">
      <alignment horizontal="center"/>
    </xf>
    <xf numFmtId="0" fontId="15" fillId="13" borderId="22" xfId="0" applyFont="1" applyFill="1" applyBorder="1" applyAlignment="1">
      <alignment horizontal="left"/>
    </xf>
    <xf numFmtId="0" fontId="15" fillId="13" borderId="3" xfId="0" applyFont="1" applyFill="1" applyBorder="1" applyAlignment="1">
      <alignment horizontal="left"/>
    </xf>
    <xf numFmtId="0" fontId="15" fillId="13" borderId="15" xfId="0" applyFont="1" applyFill="1" applyBorder="1" applyAlignment="1">
      <alignment horizontal="left"/>
    </xf>
    <xf numFmtId="0" fontId="15" fillId="13" borderId="1" xfId="0" applyFont="1" applyFill="1" applyBorder="1" applyAlignment="1">
      <alignment horizontal="left"/>
    </xf>
    <xf numFmtId="0" fontId="17" fillId="13" borderId="22" xfId="0" applyFont="1" applyFill="1" applyBorder="1" applyAlignment="1">
      <alignment horizontal="left"/>
    </xf>
    <xf numFmtId="0" fontId="17" fillId="13" borderId="3" xfId="0" applyFont="1" applyFill="1" applyBorder="1" applyAlignment="1">
      <alignment horizontal="left"/>
    </xf>
    <xf numFmtId="0" fontId="26" fillId="0" borderId="37" xfId="0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34" xfId="0" applyFont="1" applyBorder="1" applyAlignment="1">
      <alignment horizontal="right" vertical="center"/>
    </xf>
    <xf numFmtId="0" fontId="26" fillId="0" borderId="35" xfId="0" applyFont="1" applyBorder="1" applyAlignment="1">
      <alignment horizontal="right" vertical="center"/>
    </xf>
    <xf numFmtId="0" fontId="26" fillId="0" borderId="31" xfId="0" applyFont="1" applyBorder="1" applyAlignment="1">
      <alignment horizontal="right" vertical="center"/>
    </xf>
    <xf numFmtId="0" fontId="26" fillId="0" borderId="32" xfId="0" applyFont="1" applyBorder="1" applyAlignment="1">
      <alignment horizontal="right" vertical="center"/>
    </xf>
    <xf numFmtId="0" fontId="15" fillId="0" borderId="37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13" borderId="15" xfId="0" applyFont="1" applyFill="1" applyBorder="1" applyAlignment="1">
      <alignment horizontal="right"/>
    </xf>
    <xf numFmtId="0" fontId="15" fillId="13" borderId="1" xfId="0" applyFont="1" applyFill="1" applyBorder="1" applyAlignment="1">
      <alignment horizontal="right"/>
    </xf>
    <xf numFmtId="0" fontId="15" fillId="13" borderId="4" xfId="0" applyFont="1" applyFill="1" applyBorder="1" applyAlignment="1">
      <alignment horizontal="right"/>
    </xf>
    <xf numFmtId="14" fontId="25" fillId="0" borderId="8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/>
    </xf>
    <xf numFmtId="14" fontId="25" fillId="0" borderId="4" xfId="0" applyNumberFormat="1" applyFont="1" applyBorder="1" applyAlignment="1">
      <alignment horizontal="center"/>
    </xf>
    <xf numFmtId="0" fontId="15" fillId="13" borderId="16" xfId="0" applyFont="1" applyFill="1" applyBorder="1" applyAlignment="1">
      <alignment horizontal="right"/>
    </xf>
    <xf numFmtId="0" fontId="15" fillId="13" borderId="5" xfId="0" applyFont="1" applyFill="1" applyBorder="1" applyAlignment="1">
      <alignment horizontal="right"/>
    </xf>
    <xf numFmtId="0" fontId="15" fillId="13" borderId="67" xfId="0" applyFont="1" applyFill="1" applyBorder="1" applyAlignment="1">
      <alignment horizontal="right"/>
    </xf>
    <xf numFmtId="0" fontId="25" fillId="0" borderId="9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3" fillId="12" borderId="62" xfId="0" applyFont="1" applyFill="1" applyBorder="1" applyAlignment="1">
      <alignment horizontal="center"/>
    </xf>
    <xf numFmtId="0" fontId="23" fillId="12" borderId="63" xfId="0" applyFont="1" applyFill="1" applyBorder="1" applyAlignment="1">
      <alignment horizontal="center"/>
    </xf>
    <xf numFmtId="0" fontId="23" fillId="12" borderId="64" xfId="0" applyFont="1" applyFill="1" applyBorder="1" applyAlignment="1">
      <alignment horizontal="center"/>
    </xf>
    <xf numFmtId="0" fontId="16" fillId="13" borderId="13" xfId="0" applyFont="1" applyFill="1" applyBorder="1" applyAlignment="1">
      <alignment horizontal="right"/>
    </xf>
    <xf numFmtId="0" fontId="16" fillId="13" borderId="11" xfId="0" applyFont="1" applyFill="1" applyBorder="1" applyAlignment="1">
      <alignment horizontal="right"/>
    </xf>
    <xf numFmtId="0" fontId="16" fillId="13" borderId="14" xfId="0" applyFont="1" applyFill="1" applyBorder="1" applyAlignment="1">
      <alignment horizontal="right"/>
    </xf>
    <xf numFmtId="165" fontId="16" fillId="0" borderId="13" xfId="0" quotePrefix="1" applyNumberFormat="1" applyFont="1" applyBorder="1" applyAlignment="1">
      <alignment horizontal="center"/>
    </xf>
    <xf numFmtId="165" fontId="16" fillId="0" borderId="11" xfId="0" quotePrefix="1" applyNumberFormat="1" applyFont="1" applyBorder="1" applyAlignment="1">
      <alignment horizontal="center"/>
    </xf>
    <xf numFmtId="165" fontId="16" fillId="0" borderId="14" xfId="0" quotePrefix="1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21" fillId="13" borderId="13" xfId="0" applyFont="1" applyFill="1" applyBorder="1" applyAlignment="1">
      <alignment horizontal="right" vertical="center"/>
    </xf>
    <xf numFmtId="0" fontId="21" fillId="13" borderId="11" xfId="0" applyFont="1" applyFill="1" applyBorder="1" applyAlignment="1">
      <alignment horizontal="right" vertical="center"/>
    </xf>
    <xf numFmtId="0" fontId="15" fillId="13" borderId="16" xfId="0" applyFont="1" applyFill="1" applyBorder="1" applyAlignment="1">
      <alignment horizontal="left"/>
    </xf>
    <xf numFmtId="0" fontId="15" fillId="13" borderId="5" xfId="0" applyFont="1" applyFill="1" applyBorder="1" applyAlignment="1">
      <alignment horizontal="left"/>
    </xf>
    <xf numFmtId="0" fontId="11" fillId="12" borderId="12" xfId="0" applyFont="1" applyFill="1" applyBorder="1" applyAlignment="1">
      <alignment horizontal="center"/>
    </xf>
    <xf numFmtId="0" fontId="11" fillId="12" borderId="10" xfId="0" applyFont="1" applyFill="1" applyBorder="1" applyAlignment="1">
      <alignment horizontal="center"/>
    </xf>
    <xf numFmtId="0" fontId="11" fillId="12" borderId="42" xfId="0" applyFont="1" applyFill="1" applyBorder="1" applyAlignment="1">
      <alignment horizontal="center"/>
    </xf>
    <xf numFmtId="0" fontId="13" fillId="12" borderId="12" xfId="0" applyFont="1" applyFill="1" applyBorder="1" applyAlignment="1">
      <alignment horizontal="center" wrapText="1"/>
    </xf>
    <xf numFmtId="0" fontId="13" fillId="12" borderId="10" xfId="0" applyFont="1" applyFill="1" applyBorder="1" applyAlignment="1">
      <alignment horizontal="center" wrapText="1"/>
    </xf>
    <xf numFmtId="0" fontId="13" fillId="12" borderId="42" xfId="0" applyFont="1" applyFill="1" applyBorder="1" applyAlignment="1">
      <alignment horizontal="center" wrapText="1"/>
    </xf>
    <xf numFmtId="0" fontId="11" fillId="12" borderId="37" xfId="0" applyFont="1" applyFill="1" applyBorder="1" applyAlignment="1">
      <alignment horizontal="center" wrapText="1"/>
    </xf>
    <xf numFmtId="0" fontId="11" fillId="12" borderId="0" xfId="0" applyFont="1" applyFill="1" applyAlignment="1">
      <alignment horizontal="center" wrapText="1"/>
    </xf>
    <xf numFmtId="0" fontId="11" fillId="12" borderId="34" xfId="0" applyFont="1" applyFill="1" applyBorder="1" applyAlignment="1">
      <alignment horizontal="center" wrapText="1"/>
    </xf>
    <xf numFmtId="0" fontId="13" fillId="12" borderId="35" xfId="0" applyFont="1" applyFill="1" applyBorder="1" applyAlignment="1">
      <alignment horizontal="center"/>
    </xf>
    <xf numFmtId="0" fontId="13" fillId="12" borderId="31" xfId="0" applyFont="1" applyFill="1" applyBorder="1" applyAlignment="1">
      <alignment horizontal="center"/>
    </xf>
    <xf numFmtId="0" fontId="13" fillId="12" borderId="32" xfId="0" applyFont="1" applyFill="1" applyBorder="1" applyAlignment="1">
      <alignment horizontal="center"/>
    </xf>
    <xf numFmtId="0" fontId="14" fillId="13" borderId="36" xfId="0" applyFont="1" applyFill="1" applyBorder="1" applyAlignment="1">
      <alignment horizontal="center"/>
    </xf>
    <xf numFmtId="0" fontId="14" fillId="13" borderId="30" xfId="0" applyFont="1" applyFill="1" applyBorder="1" applyAlignment="1">
      <alignment horizontal="center"/>
    </xf>
    <xf numFmtId="0" fontId="14" fillId="13" borderId="39" xfId="0" applyFont="1" applyFill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4" xfId="0" applyFont="1" applyBorder="1" applyAlignment="1">
      <alignment horizontal="center"/>
    </xf>
    <xf numFmtId="0" fontId="11" fillId="12" borderId="22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41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6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11" fillId="12" borderId="41" xfId="0" applyFont="1" applyFill="1" applyBorder="1" applyAlignment="1">
      <alignment horizontal="center"/>
    </xf>
    <xf numFmtId="1" fontId="15" fillId="0" borderId="7" xfId="0" applyNumberFormat="1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1" fontId="15" fillId="0" borderId="41" xfId="0" applyNumberFormat="1" applyFont="1" applyBorder="1" applyAlignment="1">
      <alignment horizontal="center"/>
    </xf>
    <xf numFmtId="0" fontId="11" fillId="12" borderId="16" xfId="0" applyFont="1" applyFill="1" applyBorder="1" applyAlignment="1">
      <alignment horizontal="center" wrapText="1"/>
    </xf>
    <xf numFmtId="0" fontId="11" fillId="12" borderId="67" xfId="0" applyFont="1" applyFill="1" applyBorder="1" applyAlignment="1">
      <alignment horizontal="center" wrapText="1"/>
    </xf>
    <xf numFmtId="14" fontId="15" fillId="0" borderId="9" xfId="0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67" xfId="0" applyNumberFormat="1" applyFont="1" applyBorder="1" applyAlignment="1">
      <alignment horizontal="center"/>
    </xf>
    <xf numFmtId="0" fontId="11" fillId="12" borderId="12" xfId="0" applyFont="1" applyFill="1" applyBorder="1" applyAlignment="1">
      <alignment horizontal="center" vertical="center" wrapText="1"/>
    </xf>
    <xf numFmtId="0" fontId="11" fillId="12" borderId="10" xfId="0" applyFont="1" applyFill="1" applyBorder="1" applyAlignment="1">
      <alignment horizontal="center" vertical="center" wrapText="1"/>
    </xf>
    <xf numFmtId="0" fontId="11" fillId="12" borderId="35" xfId="0" applyFont="1" applyFill="1" applyBorder="1" applyAlignment="1">
      <alignment horizontal="center" vertical="center" wrapText="1"/>
    </xf>
    <xf numFmtId="0" fontId="11" fillId="12" borderId="31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4" xfId="0" applyFont="1" applyBorder="1" applyAlignment="1">
      <alignment horizontal="center"/>
    </xf>
    <xf numFmtId="0" fontId="43" fillId="0" borderId="37" xfId="0" applyFont="1" applyBorder="1" applyAlignment="1">
      <alignment horizontal="left"/>
    </xf>
    <xf numFmtId="0" fontId="43" fillId="0" borderId="0" xfId="0" applyFont="1" applyAlignment="1">
      <alignment horizontal="left"/>
    </xf>
    <xf numFmtId="0" fontId="23" fillId="12" borderId="11" xfId="0" applyFont="1" applyFill="1" applyBorder="1" applyAlignment="1">
      <alignment horizontal="center"/>
    </xf>
    <xf numFmtId="0" fontId="23" fillId="12" borderId="14" xfId="0" applyFont="1" applyFill="1" applyBorder="1" applyAlignment="1">
      <alignment horizontal="center"/>
    </xf>
    <xf numFmtId="0" fontId="19" fillId="13" borderId="12" xfId="0" applyFon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center" vertical="center"/>
    </xf>
    <xf numFmtId="0" fontId="19" fillId="13" borderId="42" xfId="0" applyFont="1" applyFill="1" applyBorder="1" applyAlignment="1">
      <alignment horizontal="center" vertical="center"/>
    </xf>
    <xf numFmtId="0" fontId="19" fillId="13" borderId="35" xfId="0" applyFont="1" applyFill="1" applyBorder="1" applyAlignment="1">
      <alignment horizontal="center" vertical="center"/>
    </xf>
    <xf numFmtId="0" fontId="19" fillId="13" borderId="3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 wrapText="1"/>
    </xf>
    <xf numFmtId="0" fontId="19" fillId="13" borderId="68" xfId="0" applyFont="1" applyFill="1" applyBorder="1" applyAlignment="1">
      <alignment horizontal="center" vertical="center" wrapText="1"/>
    </xf>
    <xf numFmtId="0" fontId="19" fillId="13" borderId="20" xfId="0" applyFont="1" applyFill="1" applyBorder="1" applyAlignment="1">
      <alignment horizontal="center" vertical="center" wrapText="1"/>
    </xf>
    <xf numFmtId="0" fontId="19" fillId="13" borderId="48" xfId="0" applyFont="1" applyFill="1" applyBorder="1" applyAlignment="1">
      <alignment horizontal="center" vertical="center" wrapText="1"/>
    </xf>
    <xf numFmtId="0" fontId="19" fillId="13" borderId="49" xfId="0" applyFont="1" applyFill="1" applyBorder="1" applyAlignment="1">
      <alignment horizontal="center" vertical="center" wrapText="1"/>
    </xf>
    <xf numFmtId="0" fontId="19" fillId="13" borderId="44" xfId="0" applyFont="1" applyFill="1" applyBorder="1" applyAlignment="1">
      <alignment horizontal="center" vertical="center" wrapText="1"/>
    </xf>
    <xf numFmtId="0" fontId="19" fillId="13" borderId="37" xfId="0" applyFont="1" applyFill="1" applyBorder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9" fillId="13" borderId="34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horizontal="left"/>
    </xf>
    <xf numFmtId="0" fontId="42" fillId="0" borderId="0" xfId="0" applyFont="1" applyAlignment="1">
      <alignment horizontal="left"/>
    </xf>
    <xf numFmtId="166" fontId="15" fillId="0" borderId="12" xfId="0" applyNumberFormat="1" applyFont="1" applyBorder="1" applyAlignment="1">
      <alignment horizontal="center"/>
    </xf>
    <xf numFmtId="166" fontId="15" fillId="0" borderId="10" xfId="0" applyNumberFormat="1" applyFont="1" applyBorder="1" applyAlignment="1">
      <alignment horizontal="center"/>
    </xf>
    <xf numFmtId="165" fontId="15" fillId="0" borderId="12" xfId="0" quotePrefix="1" applyNumberFormat="1" applyFont="1" applyBorder="1" applyAlignment="1">
      <alignment horizontal="center"/>
    </xf>
    <xf numFmtId="165" fontId="15" fillId="0" borderId="10" xfId="0" quotePrefix="1" applyNumberFormat="1" applyFont="1" applyBorder="1" applyAlignment="1">
      <alignment horizontal="center"/>
    </xf>
    <xf numFmtId="165" fontId="15" fillId="0" borderId="42" xfId="0" quotePrefix="1" applyNumberFormat="1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34" xfId="0" applyFont="1" applyBorder="1" applyAlignment="1">
      <alignment horizontal="center"/>
    </xf>
    <xf numFmtId="0" fontId="15" fillId="0" borderId="34" xfId="0" applyFont="1" applyBorder="1" applyAlignment="1">
      <alignment horizontal="left"/>
    </xf>
    <xf numFmtId="0" fontId="41" fillId="0" borderId="37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1" fillId="0" borderId="34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5" xfId="0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</cellXfs>
  <cellStyles count="3">
    <cellStyle name="Monétaire" xfId="1" builtinId="4"/>
    <cellStyle name="Normal" xfId="0" builtinId="0"/>
    <cellStyle name="Normal_05" xfId="2" xr:uid="{6DBE5B18-F995-4C50-981F-0634E9A922D2}"/>
  </cellStyles>
  <dxfs count="0"/>
  <tableStyles count="0" defaultTableStyle="TableStyleMedium2" defaultPivotStyle="PivotStyleLight16"/>
  <colors>
    <mruColors>
      <color rgb="FFDD00FF"/>
      <color rgb="FFE36464"/>
      <color rgb="FF0E22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9477-A512-4E46-90D1-F985190AB3D0}">
  <dimension ref="A1:CT79"/>
  <sheetViews>
    <sheetView tabSelected="1" workbookViewId="0">
      <selection activeCell="B18" sqref="B18"/>
    </sheetView>
  </sheetViews>
  <sheetFormatPr defaultColWidth="11.42578125" defaultRowHeight="15" customHeight="1"/>
  <cols>
    <col min="1" max="1" width="15.5703125" style="6" customWidth="1"/>
    <col min="2" max="2" width="30.28515625" style="6" customWidth="1"/>
    <col min="3" max="3" width="8.7109375" style="6" bestFit="1" customWidth="1"/>
    <col min="4" max="4" width="11" style="6" customWidth="1"/>
    <col min="5" max="5" width="13" style="6" customWidth="1"/>
    <col min="6" max="6" width="14.28515625" style="6" customWidth="1"/>
    <col min="7" max="7" width="39" style="6" customWidth="1"/>
    <col min="8" max="9" width="12.28515625" style="6" customWidth="1"/>
    <col min="10" max="11" width="11.28515625" style="6" customWidth="1"/>
    <col min="12" max="12" width="10.85546875" style="6" customWidth="1"/>
    <col min="13" max="13" width="13.140625" style="6" customWidth="1"/>
    <col min="14" max="14" width="12.42578125" style="6" customWidth="1"/>
    <col min="15" max="15" width="6.85546875" style="6" customWidth="1"/>
    <col min="16" max="16" width="12.140625" style="6" customWidth="1"/>
    <col min="17" max="17" width="12.42578125" style="6" customWidth="1"/>
    <col min="18" max="18" width="12.140625" style="6" customWidth="1"/>
    <col min="19" max="31" width="13.28515625" style="6" customWidth="1"/>
    <col min="32" max="32" width="12.28515625" style="6" customWidth="1"/>
    <col min="33" max="33" width="4.85546875" style="6" customWidth="1"/>
    <col min="34" max="34" width="10.85546875" style="6" customWidth="1"/>
    <col min="35" max="35" width="9.140625" style="6" customWidth="1"/>
    <col min="36" max="36" width="9" style="6" customWidth="1"/>
    <col min="37" max="37" width="10.85546875" style="6" customWidth="1"/>
    <col min="38" max="38" width="10" style="6" customWidth="1"/>
    <col min="39" max="39" width="9.140625" style="6" customWidth="1"/>
    <col min="40" max="40" width="4.85546875" style="6" customWidth="1"/>
    <col min="41" max="42" width="11.28515625" style="6" customWidth="1"/>
    <col min="43" max="43" width="13" style="6" customWidth="1"/>
    <col min="44" max="44" width="14.28515625" style="6" customWidth="1"/>
    <col min="45" max="45" width="16.140625" style="6" customWidth="1"/>
    <col min="46" max="46" width="15.28515625" style="6" customWidth="1"/>
    <col min="47" max="47" width="12.7109375" style="6" customWidth="1"/>
    <col min="48" max="48" width="16.7109375" style="6" customWidth="1"/>
    <col min="49" max="49" width="14.140625" style="6" customWidth="1"/>
    <col min="50" max="50" width="18.140625" style="6" bestFit="1" customWidth="1"/>
    <col min="51" max="53" width="16.28515625" style="6" customWidth="1"/>
    <col min="54" max="54" width="67.85546875" style="6" customWidth="1"/>
    <col min="55" max="16384" width="11.42578125" style="6"/>
  </cols>
  <sheetData>
    <row r="1" spans="1:69" s="26" customFormat="1" ht="32.25">
      <c r="A1" s="110" t="s">
        <v>0</v>
      </c>
      <c r="B1" s="22"/>
      <c r="C1" s="23"/>
      <c r="D1" s="24"/>
      <c r="E1" s="254">
        <v>46053</v>
      </c>
      <c r="F1" s="254"/>
      <c r="G1" s="2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5"/>
      <c r="AI1" s="23"/>
      <c r="AJ1" s="23"/>
      <c r="AK1" s="23"/>
      <c r="AL1" s="23"/>
      <c r="AM1" s="23"/>
      <c r="AN1" s="23"/>
      <c r="AO1" s="25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J1" s="27"/>
      <c r="BK1" s="27"/>
      <c r="BL1" s="27"/>
      <c r="BM1" s="27"/>
      <c r="BN1" s="27"/>
      <c r="BO1" s="27"/>
      <c r="BP1" s="27"/>
      <c r="BQ1" s="27"/>
    </row>
    <row r="2" spans="1:69" s="5" customFormat="1" ht="12">
      <c r="B2" s="1"/>
      <c r="C2" s="2"/>
      <c r="D2" s="3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69" s="5" customFormat="1" ht="12.6" customHeight="1">
      <c r="A3" s="255" t="s">
        <v>1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7"/>
    </row>
    <row r="4" spans="1:69" s="5" customFormat="1" ht="12" customHeight="1">
      <c r="A4" s="268" t="s">
        <v>2</v>
      </c>
      <c r="B4" s="269"/>
      <c r="C4" s="269"/>
      <c r="D4" s="269"/>
      <c r="E4" s="269"/>
      <c r="F4" s="269"/>
      <c r="G4" s="269"/>
      <c r="H4" s="258" t="s">
        <v>3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60"/>
      <c r="AV4" s="60"/>
      <c r="AW4" s="59" t="s">
        <v>4</v>
      </c>
      <c r="AX4" s="112" t="s">
        <v>5</v>
      </c>
      <c r="AY4" s="220" t="s">
        <v>6</v>
      </c>
      <c r="AZ4" s="221"/>
      <c r="BA4" s="222"/>
      <c r="BB4" s="260" t="s">
        <v>7</v>
      </c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</row>
    <row r="5" spans="1:69" s="5" customFormat="1" ht="33.6" customHeight="1">
      <c r="A5" s="270" t="s">
        <v>8</v>
      </c>
      <c r="B5" s="272" t="s">
        <v>9</v>
      </c>
      <c r="C5" s="274" t="s">
        <v>10</v>
      </c>
      <c r="D5" s="276" t="s">
        <v>11</v>
      </c>
      <c r="E5" s="278" t="s">
        <v>12</v>
      </c>
      <c r="F5" s="274" t="s">
        <v>13</v>
      </c>
      <c r="G5" s="225" t="s">
        <v>14</v>
      </c>
      <c r="H5" s="234" t="s">
        <v>15</v>
      </c>
      <c r="I5" s="236" t="s">
        <v>16</v>
      </c>
      <c r="J5" s="236" t="s">
        <v>17</v>
      </c>
      <c r="K5" s="229" t="s">
        <v>18</v>
      </c>
      <c r="L5" s="229" t="s">
        <v>19</v>
      </c>
      <c r="M5" s="238" t="s">
        <v>20</v>
      </c>
      <c r="N5" s="246" t="s">
        <v>21</v>
      </c>
      <c r="O5" s="247"/>
      <c r="P5" s="247"/>
      <c r="Q5" s="247"/>
      <c r="R5" s="247"/>
      <c r="S5" s="247"/>
      <c r="T5" s="248" t="s">
        <v>22</v>
      </c>
      <c r="U5" s="249"/>
      <c r="V5" s="249"/>
      <c r="W5" s="249"/>
      <c r="X5" s="249"/>
      <c r="Y5" s="249"/>
      <c r="Z5" s="249"/>
      <c r="AA5" s="249"/>
      <c r="AB5" s="250"/>
      <c r="AC5" s="251" t="s">
        <v>23</v>
      </c>
      <c r="AD5" s="243" t="s">
        <v>24</v>
      </c>
      <c r="AE5" s="243"/>
      <c r="AF5" s="240"/>
      <c r="AG5" s="242" t="s">
        <v>25</v>
      </c>
      <c r="AH5" s="242"/>
      <c r="AI5" s="242"/>
      <c r="AJ5" s="243"/>
      <c r="AK5" s="243"/>
      <c r="AL5" s="243"/>
      <c r="AM5" s="242"/>
      <c r="AN5" s="244" t="s">
        <v>26</v>
      </c>
      <c r="AO5" s="242"/>
      <c r="AP5" s="245"/>
      <c r="AQ5" s="240" t="s">
        <v>27</v>
      </c>
      <c r="AR5" s="240" t="s">
        <v>28</v>
      </c>
      <c r="AS5" s="231" t="s">
        <v>29</v>
      </c>
      <c r="AT5" s="264" t="s">
        <v>5</v>
      </c>
      <c r="AU5" s="227" t="s">
        <v>30</v>
      </c>
      <c r="AV5" s="227" t="s">
        <v>31</v>
      </c>
      <c r="AW5" s="266" t="s">
        <v>32</v>
      </c>
      <c r="AX5" s="262" t="s">
        <v>33</v>
      </c>
      <c r="AY5" s="223" t="s">
        <v>34</v>
      </c>
      <c r="AZ5" s="224" t="s">
        <v>35</v>
      </c>
      <c r="BA5" s="224" t="s">
        <v>36</v>
      </c>
      <c r="BB5" s="261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</row>
    <row r="6" spans="1:69" s="5" customFormat="1" ht="40.5" customHeight="1">
      <c r="A6" s="271"/>
      <c r="B6" s="273"/>
      <c r="C6" s="275"/>
      <c r="D6" s="277"/>
      <c r="E6" s="279"/>
      <c r="F6" s="275"/>
      <c r="G6" s="226"/>
      <c r="H6" s="235"/>
      <c r="I6" s="237"/>
      <c r="J6" s="237"/>
      <c r="K6" s="230"/>
      <c r="L6" s="230"/>
      <c r="M6" s="239"/>
      <c r="N6" s="62" t="s">
        <v>37</v>
      </c>
      <c r="O6" s="63" t="s">
        <v>38</v>
      </c>
      <c r="P6" s="63" t="s">
        <v>39</v>
      </c>
      <c r="Q6" s="64" t="s">
        <v>40</v>
      </c>
      <c r="R6" s="64" t="s">
        <v>41</v>
      </c>
      <c r="S6" s="115" t="s">
        <v>42</v>
      </c>
      <c r="T6" s="155" t="s">
        <v>43</v>
      </c>
      <c r="U6" s="156" t="s">
        <v>44</v>
      </c>
      <c r="V6" s="157" t="s">
        <v>45</v>
      </c>
      <c r="W6" s="158" t="s">
        <v>46</v>
      </c>
      <c r="X6" s="176" t="s">
        <v>47</v>
      </c>
      <c r="Y6" s="177" t="s">
        <v>48</v>
      </c>
      <c r="Z6" s="157" t="s">
        <v>45</v>
      </c>
      <c r="AA6" s="178" t="s">
        <v>46</v>
      </c>
      <c r="AB6" s="114" t="s">
        <v>49</v>
      </c>
      <c r="AC6" s="252"/>
      <c r="AD6" s="168" t="s">
        <v>50</v>
      </c>
      <c r="AE6" s="169" t="s">
        <v>51</v>
      </c>
      <c r="AF6" s="181" t="s">
        <v>52</v>
      </c>
      <c r="AG6" s="113" t="s">
        <v>53</v>
      </c>
      <c r="AH6" s="81" t="s">
        <v>54</v>
      </c>
      <c r="AI6" s="82" t="s">
        <v>55</v>
      </c>
      <c r="AJ6" s="105" t="s">
        <v>39</v>
      </c>
      <c r="AK6" s="106" t="s">
        <v>56</v>
      </c>
      <c r="AL6" s="107" t="s">
        <v>55</v>
      </c>
      <c r="AM6" s="86" t="s">
        <v>57</v>
      </c>
      <c r="AN6" s="88" t="s">
        <v>58</v>
      </c>
      <c r="AO6" s="89" t="s">
        <v>59</v>
      </c>
      <c r="AP6" s="90" t="s">
        <v>57</v>
      </c>
      <c r="AQ6" s="241"/>
      <c r="AR6" s="253"/>
      <c r="AS6" s="232"/>
      <c r="AT6" s="265"/>
      <c r="AU6" s="228"/>
      <c r="AV6" s="228"/>
      <c r="AW6" s="267"/>
      <c r="AX6" s="263"/>
      <c r="AY6" s="223"/>
      <c r="AZ6" s="224"/>
      <c r="BA6" s="224"/>
      <c r="BB6" s="261"/>
      <c r="BC6" s="446"/>
      <c r="BD6" s="446"/>
      <c r="BE6" s="446"/>
      <c r="BF6" s="446"/>
      <c r="BG6" s="446"/>
      <c r="BH6" s="446"/>
      <c r="BI6" s="446"/>
      <c r="BJ6" s="446"/>
      <c r="BK6" s="446"/>
      <c r="BL6" s="446"/>
      <c r="BM6" s="446"/>
    </row>
    <row r="7" spans="1:69" s="5" customFormat="1" ht="12">
      <c r="A7" s="73" t="s">
        <v>60</v>
      </c>
      <c r="B7" s="76" t="s">
        <v>61</v>
      </c>
      <c r="C7" s="118" t="s">
        <v>62</v>
      </c>
      <c r="D7" s="123">
        <v>44573</v>
      </c>
      <c r="E7" s="101"/>
      <c r="F7" s="125">
        <v>50209057840806</v>
      </c>
      <c r="G7" s="182" t="s">
        <v>63</v>
      </c>
      <c r="H7" s="184">
        <v>31500</v>
      </c>
      <c r="I7" s="14">
        <v>14000</v>
      </c>
      <c r="J7" s="14">
        <v>2000</v>
      </c>
      <c r="K7" s="14">
        <v>4000</v>
      </c>
      <c r="L7" s="14">
        <v>4350</v>
      </c>
      <c r="M7" s="188">
        <f>SUM(H7:L7)</f>
        <v>55850</v>
      </c>
      <c r="N7" s="149">
        <v>21</v>
      </c>
      <c r="O7" s="13">
        <v>9</v>
      </c>
      <c r="P7" s="13">
        <v>1</v>
      </c>
      <c r="Q7" s="13">
        <v>0</v>
      </c>
      <c r="R7" s="13">
        <v>0</v>
      </c>
      <c r="S7" s="61">
        <f>N7+O7+P7+Q7+R7</f>
        <v>31</v>
      </c>
      <c r="T7" s="45">
        <v>0</v>
      </c>
      <c r="U7" s="13">
        <v>0</v>
      </c>
      <c r="V7" s="13">
        <v>0</v>
      </c>
      <c r="W7" s="154">
        <v>0</v>
      </c>
      <c r="X7" s="170">
        <f>M7/31*T7</f>
        <v>0</v>
      </c>
      <c r="Y7" s="171">
        <f>M7/31*U7</f>
        <v>0</v>
      </c>
      <c r="Z7" s="171">
        <f>M7/31*V7</f>
        <v>0</v>
      </c>
      <c r="AA7" s="172">
        <f>M7/31*W7</f>
        <v>0</v>
      </c>
      <c r="AB7" s="173">
        <f>T7+U7+V7+W7</f>
        <v>0</v>
      </c>
      <c r="AC7" s="167">
        <f>S7+AB7</f>
        <v>31</v>
      </c>
      <c r="AD7" s="149">
        <f>M7/31*Q7</f>
        <v>0</v>
      </c>
      <c r="AE7" s="154">
        <f>M7/31*R7</f>
        <v>0</v>
      </c>
      <c r="AF7" s="179">
        <f>M7/31*S7</f>
        <v>55850</v>
      </c>
      <c r="AG7" s="99">
        <v>0</v>
      </c>
      <c r="AH7" s="83">
        <v>173</v>
      </c>
      <c r="AI7" s="108">
        <f>AG7*AH7</f>
        <v>0</v>
      </c>
      <c r="AJ7" s="99">
        <v>0</v>
      </c>
      <c r="AK7" s="83">
        <v>173</v>
      </c>
      <c r="AL7" s="84">
        <f>AJ7*AK7</f>
        <v>0</v>
      </c>
      <c r="AM7" s="150">
        <f>AL7+AI7</f>
        <v>0</v>
      </c>
      <c r="AN7" s="99">
        <v>0</v>
      </c>
      <c r="AO7" s="83">
        <v>1693</v>
      </c>
      <c r="AP7" s="159">
        <f t="shared" ref="AP7" si="0">AN7*AO7</f>
        <v>0</v>
      </c>
      <c r="AQ7" s="66">
        <v>0</v>
      </c>
      <c r="AR7" s="97">
        <v>0</v>
      </c>
      <c r="AS7" s="55">
        <v>0</v>
      </c>
      <c r="AT7" s="49">
        <f>SUM(AF7+AM7+AP7+AQ7+AR7+AS7)</f>
        <v>55850</v>
      </c>
      <c r="AU7" s="55">
        <v>0</v>
      </c>
      <c r="AV7" s="49">
        <v>0</v>
      </c>
      <c r="AW7" s="207">
        <v>0</v>
      </c>
      <c r="AX7" s="215">
        <f>AT7-AU7-AV7-AW7</f>
        <v>55850</v>
      </c>
      <c r="AY7" s="211">
        <f>SUM(M7*80%)</f>
        <v>44680</v>
      </c>
      <c r="AZ7" s="49">
        <f>AX7-AY7</f>
        <v>11170</v>
      </c>
      <c r="BA7" s="166">
        <v>0</v>
      </c>
      <c r="BB7" s="91"/>
    </row>
    <row r="8" spans="1:69" s="5" customFormat="1" ht="12">
      <c r="A8" s="74" t="s">
        <v>64</v>
      </c>
      <c r="B8" s="77" t="s">
        <v>65</v>
      </c>
      <c r="C8" s="119" t="s">
        <v>66</v>
      </c>
      <c r="D8" s="124">
        <v>45182</v>
      </c>
      <c r="E8" s="102"/>
      <c r="F8" s="126" t="s">
        <v>67</v>
      </c>
      <c r="G8" s="129" t="s">
        <v>68</v>
      </c>
      <c r="H8" s="185">
        <v>8800</v>
      </c>
      <c r="I8" s="7">
        <v>3600</v>
      </c>
      <c r="J8" s="7">
        <v>3600</v>
      </c>
      <c r="K8" s="7">
        <v>0</v>
      </c>
      <c r="L8" s="7">
        <v>0</v>
      </c>
      <c r="M8" s="189">
        <f>SUM(H8:L8)</f>
        <v>16000</v>
      </c>
      <c r="N8" s="191">
        <v>20</v>
      </c>
      <c r="O8" s="8">
        <v>7</v>
      </c>
      <c r="P8" s="8">
        <v>0</v>
      </c>
      <c r="Q8" s="8">
        <v>4</v>
      </c>
      <c r="R8" s="8">
        <v>0</v>
      </c>
      <c r="S8" s="65">
        <f>N8+O8+P8+Q8+R8</f>
        <v>31</v>
      </c>
      <c r="T8" s="46">
        <v>0</v>
      </c>
      <c r="U8" s="8">
        <v>0</v>
      </c>
      <c r="V8" s="8">
        <v>0</v>
      </c>
      <c r="W8" s="54">
        <v>0</v>
      </c>
      <c r="X8" s="197">
        <f t="shared" ref="X8:X23" si="1">M8/31*T8</f>
        <v>0</v>
      </c>
      <c r="Y8" s="196">
        <f t="shared" ref="Y8:Y23" si="2">M8/31*U8</f>
        <v>0</v>
      </c>
      <c r="Z8" s="196">
        <f t="shared" ref="Z8:Z23" si="3">M8/31*V8</f>
        <v>0</v>
      </c>
      <c r="AA8" s="198">
        <f t="shared" ref="AA8:AA23" si="4">M8/31*W8</f>
        <v>0</v>
      </c>
      <c r="AB8" s="174">
        <f t="shared" ref="AB8:AB23" si="5">T8+U8+V8+W8</f>
        <v>0</v>
      </c>
      <c r="AC8" s="98">
        <f t="shared" ref="AC8:AC23" si="6">S8+AB8</f>
        <v>31</v>
      </c>
      <c r="AD8" s="117">
        <f>M8/31*Q8</f>
        <v>2064.516129032258</v>
      </c>
      <c r="AE8" s="116">
        <f>M8/31*R8</f>
        <v>0</v>
      </c>
      <c r="AF8" s="180">
        <f>M8/31*S8</f>
        <v>16000</v>
      </c>
      <c r="AG8" s="100">
        <v>0</v>
      </c>
      <c r="AH8" s="57">
        <v>40</v>
      </c>
      <c r="AI8" s="109">
        <f>AG8*AH8</f>
        <v>0</v>
      </c>
      <c r="AJ8" s="100">
        <v>0</v>
      </c>
      <c r="AK8" s="57">
        <v>48</v>
      </c>
      <c r="AL8" s="85">
        <f>AJ8*AK8</f>
        <v>0</v>
      </c>
      <c r="AM8" s="151">
        <f>AL8+AI8</f>
        <v>0</v>
      </c>
      <c r="AN8" s="100">
        <v>0</v>
      </c>
      <c r="AO8" s="57">
        <v>526</v>
      </c>
      <c r="AP8" s="160">
        <f t="shared" ref="AP8" si="7">AN8*AO8</f>
        <v>0</v>
      </c>
      <c r="AQ8" s="67">
        <v>0</v>
      </c>
      <c r="AR8" s="87">
        <v>0</v>
      </c>
      <c r="AS8" s="56">
        <v>0</v>
      </c>
      <c r="AT8" s="50">
        <f t="shared" ref="AT8:AT23" si="8">SUM(AF8+AM8+AP8+AQ8+AR8+AS8)</f>
        <v>16000</v>
      </c>
      <c r="AU8" s="56">
        <v>0</v>
      </c>
      <c r="AV8" s="50">
        <v>0</v>
      </c>
      <c r="AW8" s="208">
        <v>0</v>
      </c>
      <c r="AX8" s="216">
        <f>AT8-AU8-AV8-AW8</f>
        <v>16000</v>
      </c>
      <c r="AY8" s="212">
        <f t="shared" ref="AY8:AY23" si="9">SUM(M8*80%)</f>
        <v>12800</v>
      </c>
      <c r="AZ8" s="50">
        <f>AX8-AY8</f>
        <v>3200</v>
      </c>
      <c r="BA8" s="163">
        <v>0</v>
      </c>
      <c r="BB8" s="92"/>
    </row>
    <row r="9" spans="1:69" s="5" customFormat="1" ht="12">
      <c r="A9" s="74" t="s">
        <v>69</v>
      </c>
      <c r="B9" s="77" t="s">
        <v>70</v>
      </c>
      <c r="C9" s="119" t="s">
        <v>71</v>
      </c>
      <c r="D9" s="124">
        <v>44942</v>
      </c>
      <c r="E9" s="102"/>
      <c r="F9" s="126">
        <v>10013018976198</v>
      </c>
      <c r="G9" s="129" t="s">
        <v>72</v>
      </c>
      <c r="H9" s="185">
        <f t="shared" ref="H8:H16" si="10">M9*60%</f>
        <v>3600</v>
      </c>
      <c r="I9" s="7">
        <f t="shared" ref="I8:I16" si="11">M9*20%</f>
        <v>1200</v>
      </c>
      <c r="J9" s="7">
        <f t="shared" ref="J8:J16" si="12">M9*20%</f>
        <v>1200</v>
      </c>
      <c r="K9" s="7">
        <v>0</v>
      </c>
      <c r="L9" s="7">
        <v>0</v>
      </c>
      <c r="M9" s="189">
        <v>6000</v>
      </c>
      <c r="N9" s="191">
        <v>7</v>
      </c>
      <c r="O9" s="8">
        <v>3</v>
      </c>
      <c r="P9" s="8">
        <v>1</v>
      </c>
      <c r="Q9" s="8">
        <v>20</v>
      </c>
      <c r="R9" s="8">
        <v>0</v>
      </c>
      <c r="S9" s="65">
        <f t="shared" ref="S9:S21" si="13">N9+O9+P9+Q9+R9</f>
        <v>31</v>
      </c>
      <c r="T9" s="46">
        <v>0</v>
      </c>
      <c r="U9" s="8">
        <v>0</v>
      </c>
      <c r="V9" s="8">
        <v>0</v>
      </c>
      <c r="W9" s="54">
        <v>0</v>
      </c>
      <c r="X9" s="197">
        <f t="shared" si="1"/>
        <v>0</v>
      </c>
      <c r="Y9" s="196">
        <f t="shared" si="2"/>
        <v>0</v>
      </c>
      <c r="Z9" s="196">
        <f t="shared" si="3"/>
        <v>0</v>
      </c>
      <c r="AA9" s="198">
        <f t="shared" si="4"/>
        <v>0</v>
      </c>
      <c r="AB9" s="174">
        <f t="shared" si="5"/>
        <v>0</v>
      </c>
      <c r="AC9" s="98">
        <f t="shared" si="6"/>
        <v>31</v>
      </c>
      <c r="AD9" s="117">
        <f t="shared" ref="AD9:AD23" si="14">M9/31*Q9</f>
        <v>3870.9677419354839</v>
      </c>
      <c r="AE9" s="116">
        <f t="shared" ref="AE9:AE23" si="15">M9/31*R9</f>
        <v>0</v>
      </c>
      <c r="AF9" s="180">
        <f t="shared" ref="AF9:AF23" si="16">M9/31*S9</f>
        <v>6000</v>
      </c>
      <c r="AG9" s="100">
        <v>0</v>
      </c>
      <c r="AH9" s="57">
        <v>16</v>
      </c>
      <c r="AI9" s="109">
        <f>AG9*AH9</f>
        <v>0</v>
      </c>
      <c r="AJ9" s="100">
        <v>0</v>
      </c>
      <c r="AK9" s="57">
        <v>20</v>
      </c>
      <c r="AL9" s="85">
        <f t="shared" ref="AL9:AL23" si="17">AJ9*AK9</f>
        <v>0</v>
      </c>
      <c r="AM9" s="151">
        <f>AL9+AI9</f>
        <v>0</v>
      </c>
      <c r="AN9" s="100">
        <v>0</v>
      </c>
      <c r="AO9" s="57">
        <v>197</v>
      </c>
      <c r="AP9" s="160">
        <f>AN9*AO9</f>
        <v>0</v>
      </c>
      <c r="AQ9" s="67">
        <v>0</v>
      </c>
      <c r="AR9" s="87">
        <v>0</v>
      </c>
      <c r="AS9" s="56">
        <v>0</v>
      </c>
      <c r="AT9" s="50">
        <f>SUM(AF9+AM9+AP9+AQ9+AR9+AS9)</f>
        <v>6000</v>
      </c>
      <c r="AU9" s="56">
        <v>0</v>
      </c>
      <c r="AV9" s="50">
        <v>0</v>
      </c>
      <c r="AW9" s="208">
        <v>0</v>
      </c>
      <c r="AX9" s="216">
        <f>AT9-AU9-AV9-AW9</f>
        <v>6000</v>
      </c>
      <c r="AY9" s="212">
        <f t="shared" si="9"/>
        <v>4800</v>
      </c>
      <c r="AZ9" s="50">
        <f>AX9-AY9</f>
        <v>1200</v>
      </c>
      <c r="BA9" s="163">
        <v>0</v>
      </c>
      <c r="BB9" s="93"/>
    </row>
    <row r="10" spans="1:69" s="5" customFormat="1" ht="12">
      <c r="A10" s="74" t="s">
        <v>73</v>
      </c>
      <c r="B10" s="77" t="s">
        <v>74</v>
      </c>
      <c r="C10" s="119" t="s">
        <v>75</v>
      </c>
      <c r="D10" s="124">
        <v>41768</v>
      </c>
      <c r="E10" s="102"/>
      <c r="F10" s="126">
        <v>10020057573094</v>
      </c>
      <c r="G10" s="129" t="s">
        <v>76</v>
      </c>
      <c r="H10" s="185">
        <f t="shared" si="10"/>
        <v>5100</v>
      </c>
      <c r="I10" s="7">
        <f t="shared" si="11"/>
        <v>1700</v>
      </c>
      <c r="J10" s="7">
        <f t="shared" si="12"/>
        <v>1700</v>
      </c>
      <c r="K10" s="7">
        <v>0</v>
      </c>
      <c r="L10" s="7">
        <v>0</v>
      </c>
      <c r="M10" s="189">
        <v>8500</v>
      </c>
      <c r="N10" s="191">
        <v>25</v>
      </c>
      <c r="O10" s="8">
        <v>5</v>
      </c>
      <c r="P10" s="8">
        <v>1</v>
      </c>
      <c r="Q10" s="8">
        <v>0</v>
      </c>
      <c r="R10" s="8">
        <v>0</v>
      </c>
      <c r="S10" s="65">
        <f t="shared" si="13"/>
        <v>31</v>
      </c>
      <c r="T10" s="46">
        <v>0</v>
      </c>
      <c r="U10" s="8">
        <v>0</v>
      </c>
      <c r="V10" s="8">
        <v>0</v>
      </c>
      <c r="W10" s="54">
        <v>0</v>
      </c>
      <c r="X10" s="197">
        <f t="shared" si="1"/>
        <v>0</v>
      </c>
      <c r="Y10" s="196">
        <f t="shared" si="2"/>
        <v>0</v>
      </c>
      <c r="Z10" s="196">
        <f t="shared" si="3"/>
        <v>0</v>
      </c>
      <c r="AA10" s="198">
        <f t="shared" si="4"/>
        <v>0</v>
      </c>
      <c r="AB10" s="174">
        <f t="shared" si="5"/>
        <v>0</v>
      </c>
      <c r="AC10" s="98">
        <f t="shared" si="6"/>
        <v>31</v>
      </c>
      <c r="AD10" s="117">
        <f t="shared" si="14"/>
        <v>0</v>
      </c>
      <c r="AE10" s="116">
        <f t="shared" si="15"/>
        <v>0</v>
      </c>
      <c r="AF10" s="180">
        <f t="shared" si="16"/>
        <v>8500</v>
      </c>
      <c r="AG10" s="100">
        <v>0</v>
      </c>
      <c r="AH10" s="57">
        <v>23</v>
      </c>
      <c r="AI10" s="109">
        <f t="shared" ref="AI10:AI23" si="18">AG10*AH10</f>
        <v>0</v>
      </c>
      <c r="AJ10" s="100">
        <v>0</v>
      </c>
      <c r="AK10" s="57">
        <v>28</v>
      </c>
      <c r="AL10" s="85">
        <f t="shared" si="17"/>
        <v>0</v>
      </c>
      <c r="AM10" s="151">
        <f t="shared" ref="AM10:AM20" si="19">AL10+AI10</f>
        <v>0</v>
      </c>
      <c r="AN10" s="100">
        <v>1</v>
      </c>
      <c r="AO10" s="57">
        <v>279</v>
      </c>
      <c r="AP10" s="160">
        <f>AN10*AO10</f>
        <v>279</v>
      </c>
      <c r="AQ10" s="67">
        <v>0</v>
      </c>
      <c r="AR10" s="87">
        <v>0</v>
      </c>
      <c r="AS10" s="56">
        <v>0</v>
      </c>
      <c r="AT10" s="50">
        <f t="shared" si="8"/>
        <v>8779</v>
      </c>
      <c r="AU10" s="56">
        <v>0</v>
      </c>
      <c r="AV10" s="50">
        <v>0</v>
      </c>
      <c r="AW10" s="208">
        <v>0</v>
      </c>
      <c r="AX10" s="216">
        <f t="shared" ref="AX10:AX23" si="20">AT10-AU10-AV10-AW10</f>
        <v>8779</v>
      </c>
      <c r="AY10" s="212">
        <f t="shared" si="9"/>
        <v>6800</v>
      </c>
      <c r="AZ10" s="50">
        <f t="shared" ref="AZ10:AZ23" si="21">AX10-AY10</f>
        <v>1979</v>
      </c>
      <c r="BA10" s="163">
        <v>0</v>
      </c>
      <c r="BB10" s="94"/>
    </row>
    <row r="11" spans="1:69" s="5" customFormat="1" ht="12">
      <c r="A11" s="74" t="s">
        <v>77</v>
      </c>
      <c r="B11" s="77" t="s">
        <v>78</v>
      </c>
      <c r="C11" s="119" t="s">
        <v>79</v>
      </c>
      <c r="D11" s="124">
        <v>43002</v>
      </c>
      <c r="E11" s="102"/>
      <c r="F11" s="126">
        <v>10012127956935</v>
      </c>
      <c r="G11" s="129" t="s">
        <v>80</v>
      </c>
      <c r="H11" s="185">
        <f t="shared" si="10"/>
        <v>3900</v>
      </c>
      <c r="I11" s="7">
        <f t="shared" si="11"/>
        <v>1300</v>
      </c>
      <c r="J11" s="7">
        <f t="shared" si="12"/>
        <v>1300</v>
      </c>
      <c r="K11" s="7">
        <v>0</v>
      </c>
      <c r="L11" s="7">
        <v>0</v>
      </c>
      <c r="M11" s="189">
        <v>6500</v>
      </c>
      <c r="N11" s="191">
        <v>26</v>
      </c>
      <c r="O11" s="8">
        <v>4</v>
      </c>
      <c r="P11" s="8">
        <v>1</v>
      </c>
      <c r="Q11" s="8">
        <v>0</v>
      </c>
      <c r="R11" s="8">
        <v>0</v>
      </c>
      <c r="S11" s="65">
        <f t="shared" si="13"/>
        <v>31</v>
      </c>
      <c r="T11" s="46">
        <v>0</v>
      </c>
      <c r="U11" s="8">
        <v>0</v>
      </c>
      <c r="V11" s="8">
        <v>0</v>
      </c>
      <c r="W11" s="54">
        <v>0</v>
      </c>
      <c r="X11" s="197">
        <f t="shared" si="1"/>
        <v>0</v>
      </c>
      <c r="Y11" s="196">
        <f t="shared" si="2"/>
        <v>0</v>
      </c>
      <c r="Z11" s="196">
        <f t="shared" si="3"/>
        <v>0</v>
      </c>
      <c r="AA11" s="198">
        <f t="shared" si="4"/>
        <v>0</v>
      </c>
      <c r="AB11" s="174">
        <f t="shared" si="5"/>
        <v>0</v>
      </c>
      <c r="AC11" s="98">
        <f t="shared" si="6"/>
        <v>31</v>
      </c>
      <c r="AD11" s="117">
        <f t="shared" si="14"/>
        <v>0</v>
      </c>
      <c r="AE11" s="116">
        <f t="shared" si="15"/>
        <v>0</v>
      </c>
      <c r="AF11" s="180">
        <f t="shared" si="16"/>
        <v>6500</v>
      </c>
      <c r="AG11" s="100">
        <v>0</v>
      </c>
      <c r="AH11" s="57">
        <v>18</v>
      </c>
      <c r="AI11" s="109">
        <f t="shared" si="18"/>
        <v>0</v>
      </c>
      <c r="AJ11" s="100">
        <v>0</v>
      </c>
      <c r="AK11" s="57">
        <v>21</v>
      </c>
      <c r="AL11" s="85">
        <f t="shared" si="17"/>
        <v>0</v>
      </c>
      <c r="AM11" s="151">
        <f t="shared" si="19"/>
        <v>0</v>
      </c>
      <c r="AN11" s="100">
        <v>1</v>
      </c>
      <c r="AO11" s="57">
        <v>214</v>
      </c>
      <c r="AP11" s="160">
        <f>AN11*AO11</f>
        <v>214</v>
      </c>
      <c r="AQ11" s="67">
        <v>0</v>
      </c>
      <c r="AR11" s="87">
        <v>0</v>
      </c>
      <c r="AS11" s="56">
        <v>0</v>
      </c>
      <c r="AT11" s="50">
        <f t="shared" si="8"/>
        <v>6714</v>
      </c>
      <c r="AU11" s="56">
        <v>0</v>
      </c>
      <c r="AV11" s="50">
        <v>0</v>
      </c>
      <c r="AW11" s="208">
        <v>0</v>
      </c>
      <c r="AX11" s="216">
        <f t="shared" si="20"/>
        <v>6714</v>
      </c>
      <c r="AY11" s="212">
        <f t="shared" si="9"/>
        <v>5200</v>
      </c>
      <c r="AZ11" s="50">
        <f t="shared" si="21"/>
        <v>1514</v>
      </c>
      <c r="BA11" s="163">
        <v>0</v>
      </c>
      <c r="BB11" s="94"/>
    </row>
    <row r="12" spans="1:69" s="5" customFormat="1" ht="12">
      <c r="A12" s="74" t="s">
        <v>81</v>
      </c>
      <c r="B12" s="77" t="s">
        <v>82</v>
      </c>
      <c r="C12" s="119" t="s">
        <v>83</v>
      </c>
      <c r="D12" s="124">
        <v>44243</v>
      </c>
      <c r="E12" s="102"/>
      <c r="F12" s="126">
        <v>10027039033676</v>
      </c>
      <c r="G12" s="129" t="s">
        <v>84</v>
      </c>
      <c r="H12" s="185">
        <f t="shared" si="10"/>
        <v>3600</v>
      </c>
      <c r="I12" s="7">
        <f t="shared" si="11"/>
        <v>1200</v>
      </c>
      <c r="J12" s="7">
        <f t="shared" si="12"/>
        <v>1200</v>
      </c>
      <c r="K12" s="7">
        <v>0</v>
      </c>
      <c r="L12" s="7">
        <v>0</v>
      </c>
      <c r="M12" s="189">
        <v>6000</v>
      </c>
      <c r="N12" s="191">
        <v>25</v>
      </c>
      <c r="O12" s="8">
        <v>5</v>
      </c>
      <c r="P12" s="8">
        <v>1</v>
      </c>
      <c r="Q12" s="8">
        <v>0</v>
      </c>
      <c r="R12" s="8">
        <v>0</v>
      </c>
      <c r="S12" s="65">
        <f t="shared" si="13"/>
        <v>31</v>
      </c>
      <c r="T12" s="46">
        <v>0</v>
      </c>
      <c r="U12" s="8">
        <v>0</v>
      </c>
      <c r="V12" s="8">
        <v>0</v>
      </c>
      <c r="W12" s="54">
        <v>0</v>
      </c>
      <c r="X12" s="197">
        <f t="shared" si="1"/>
        <v>0</v>
      </c>
      <c r="Y12" s="196">
        <f t="shared" si="2"/>
        <v>0</v>
      </c>
      <c r="Z12" s="196">
        <f t="shared" si="3"/>
        <v>0</v>
      </c>
      <c r="AA12" s="198">
        <f t="shared" si="4"/>
        <v>0</v>
      </c>
      <c r="AB12" s="174">
        <f t="shared" si="5"/>
        <v>0</v>
      </c>
      <c r="AC12" s="98">
        <f t="shared" si="6"/>
        <v>31</v>
      </c>
      <c r="AD12" s="117">
        <f t="shared" si="14"/>
        <v>0</v>
      </c>
      <c r="AE12" s="116">
        <f t="shared" si="15"/>
        <v>0</v>
      </c>
      <c r="AF12" s="180">
        <f t="shared" si="16"/>
        <v>6000</v>
      </c>
      <c r="AG12" s="100">
        <v>8</v>
      </c>
      <c r="AH12" s="57">
        <v>16</v>
      </c>
      <c r="AI12" s="109">
        <f t="shared" si="18"/>
        <v>128</v>
      </c>
      <c r="AJ12" s="100">
        <v>0</v>
      </c>
      <c r="AK12" s="57">
        <v>20</v>
      </c>
      <c r="AL12" s="85">
        <f t="shared" si="17"/>
        <v>0</v>
      </c>
      <c r="AM12" s="151">
        <f t="shared" si="19"/>
        <v>128</v>
      </c>
      <c r="AN12" s="100">
        <v>1</v>
      </c>
      <c r="AO12" s="57">
        <v>197</v>
      </c>
      <c r="AP12" s="160">
        <f>AN12*AO12</f>
        <v>197</v>
      </c>
      <c r="AQ12" s="67">
        <v>0</v>
      </c>
      <c r="AR12" s="87">
        <v>0</v>
      </c>
      <c r="AS12" s="56">
        <v>0</v>
      </c>
      <c r="AT12" s="50">
        <f t="shared" si="8"/>
        <v>6325</v>
      </c>
      <c r="AU12" s="56">
        <v>0</v>
      </c>
      <c r="AV12" s="50">
        <v>0</v>
      </c>
      <c r="AW12" s="208">
        <v>0</v>
      </c>
      <c r="AX12" s="216">
        <f t="shared" si="20"/>
        <v>6325</v>
      </c>
      <c r="AY12" s="212">
        <f t="shared" si="9"/>
        <v>4800</v>
      </c>
      <c r="AZ12" s="50">
        <f t="shared" si="21"/>
        <v>1525</v>
      </c>
      <c r="BA12" s="163">
        <v>0</v>
      </c>
      <c r="BB12" s="94"/>
    </row>
    <row r="13" spans="1:69" s="5" customFormat="1" ht="12">
      <c r="A13" s="74" t="s">
        <v>85</v>
      </c>
      <c r="B13" s="77" t="s">
        <v>86</v>
      </c>
      <c r="C13" s="119" t="s">
        <v>87</v>
      </c>
      <c r="D13" s="124">
        <v>45231</v>
      </c>
      <c r="E13" s="102"/>
      <c r="F13" s="126">
        <v>10025128665320</v>
      </c>
      <c r="G13" s="129" t="s">
        <v>88</v>
      </c>
      <c r="H13" s="185">
        <v>3000</v>
      </c>
      <c r="I13" s="7">
        <v>1000</v>
      </c>
      <c r="J13" s="7">
        <v>1000</v>
      </c>
      <c r="K13" s="7">
        <v>0</v>
      </c>
      <c r="L13" s="7">
        <v>0</v>
      </c>
      <c r="M13" s="189">
        <v>5250</v>
      </c>
      <c r="N13" s="191">
        <v>24</v>
      </c>
      <c r="O13" s="8">
        <v>5</v>
      </c>
      <c r="P13" s="8">
        <v>0</v>
      </c>
      <c r="Q13" s="8">
        <v>2</v>
      </c>
      <c r="R13" s="8">
        <v>0</v>
      </c>
      <c r="S13" s="65">
        <f t="shared" si="13"/>
        <v>31</v>
      </c>
      <c r="T13" s="46">
        <v>0</v>
      </c>
      <c r="U13" s="8">
        <v>0</v>
      </c>
      <c r="V13" s="8">
        <v>0</v>
      </c>
      <c r="W13" s="54">
        <v>0</v>
      </c>
      <c r="X13" s="197">
        <f t="shared" si="1"/>
        <v>0</v>
      </c>
      <c r="Y13" s="196">
        <f t="shared" si="2"/>
        <v>0</v>
      </c>
      <c r="Z13" s="196">
        <f t="shared" si="3"/>
        <v>0</v>
      </c>
      <c r="AA13" s="198">
        <f t="shared" si="4"/>
        <v>0</v>
      </c>
      <c r="AB13" s="174">
        <f t="shared" si="5"/>
        <v>0</v>
      </c>
      <c r="AC13" s="98">
        <f t="shared" si="6"/>
        <v>31</v>
      </c>
      <c r="AD13" s="117">
        <f t="shared" si="14"/>
        <v>338.70967741935482</v>
      </c>
      <c r="AE13" s="116">
        <f t="shared" si="15"/>
        <v>0</v>
      </c>
      <c r="AF13" s="180">
        <f t="shared" si="16"/>
        <v>5250</v>
      </c>
      <c r="AG13" s="100">
        <v>0</v>
      </c>
      <c r="AH13" s="57">
        <v>14</v>
      </c>
      <c r="AI13" s="109">
        <f t="shared" si="18"/>
        <v>0</v>
      </c>
      <c r="AJ13" s="100">
        <v>0</v>
      </c>
      <c r="AK13" s="57">
        <v>17</v>
      </c>
      <c r="AL13" s="85">
        <f t="shared" si="17"/>
        <v>0</v>
      </c>
      <c r="AM13" s="151">
        <f t="shared" si="19"/>
        <v>0</v>
      </c>
      <c r="AN13" s="100">
        <v>0</v>
      </c>
      <c r="AO13" s="57">
        <v>173</v>
      </c>
      <c r="AP13" s="160">
        <f t="shared" ref="AP13:AP16" si="22">AN13*AO13</f>
        <v>0</v>
      </c>
      <c r="AQ13" s="67">
        <v>0</v>
      </c>
      <c r="AR13" s="87">
        <v>0</v>
      </c>
      <c r="AS13" s="56">
        <v>0</v>
      </c>
      <c r="AT13" s="50">
        <f t="shared" si="8"/>
        <v>5250</v>
      </c>
      <c r="AU13" s="56">
        <v>0</v>
      </c>
      <c r="AV13" s="50">
        <v>0</v>
      </c>
      <c r="AW13" s="208">
        <v>1925.7</v>
      </c>
      <c r="AX13" s="216">
        <f t="shared" si="20"/>
        <v>3324.3</v>
      </c>
      <c r="AY13" s="212">
        <f t="shared" si="9"/>
        <v>4200</v>
      </c>
      <c r="AZ13" s="50">
        <f t="shared" si="21"/>
        <v>-875.69999999999982</v>
      </c>
      <c r="BA13" s="163">
        <v>0</v>
      </c>
      <c r="BB13" s="94"/>
    </row>
    <row r="14" spans="1:69" s="5" customFormat="1" ht="12">
      <c r="A14" s="74" t="s">
        <v>89</v>
      </c>
      <c r="B14" s="77" t="s">
        <v>90</v>
      </c>
      <c r="C14" s="119" t="s">
        <v>91</v>
      </c>
      <c r="D14" s="124">
        <v>44606</v>
      </c>
      <c r="E14" s="102"/>
      <c r="F14" s="126">
        <v>10021048238840</v>
      </c>
      <c r="G14" s="129" t="s">
        <v>80</v>
      </c>
      <c r="H14" s="185">
        <f t="shared" si="10"/>
        <v>3600</v>
      </c>
      <c r="I14" s="7">
        <f t="shared" si="11"/>
        <v>1200</v>
      </c>
      <c r="J14" s="7">
        <f t="shared" si="12"/>
        <v>1200</v>
      </c>
      <c r="K14" s="7">
        <v>0</v>
      </c>
      <c r="L14" s="7">
        <v>0</v>
      </c>
      <c r="M14" s="189">
        <v>6000</v>
      </c>
      <c r="N14" s="191">
        <v>26</v>
      </c>
      <c r="O14" s="8">
        <v>4</v>
      </c>
      <c r="P14" s="8">
        <v>1</v>
      </c>
      <c r="Q14" s="8">
        <v>0</v>
      </c>
      <c r="R14" s="8">
        <v>0</v>
      </c>
      <c r="S14" s="65">
        <f t="shared" si="13"/>
        <v>31</v>
      </c>
      <c r="T14" s="46">
        <v>0</v>
      </c>
      <c r="U14" s="8">
        <v>0</v>
      </c>
      <c r="V14" s="8">
        <v>0</v>
      </c>
      <c r="W14" s="54">
        <v>0</v>
      </c>
      <c r="X14" s="197">
        <f t="shared" si="1"/>
        <v>0</v>
      </c>
      <c r="Y14" s="196">
        <f t="shared" si="2"/>
        <v>0</v>
      </c>
      <c r="Z14" s="196">
        <f t="shared" si="3"/>
        <v>0</v>
      </c>
      <c r="AA14" s="198">
        <f t="shared" si="4"/>
        <v>0</v>
      </c>
      <c r="AB14" s="174">
        <f t="shared" si="5"/>
        <v>0</v>
      </c>
      <c r="AC14" s="98">
        <f t="shared" si="6"/>
        <v>31</v>
      </c>
      <c r="AD14" s="117">
        <f t="shared" si="14"/>
        <v>0</v>
      </c>
      <c r="AE14" s="116">
        <f t="shared" si="15"/>
        <v>0</v>
      </c>
      <c r="AF14" s="180">
        <f t="shared" si="16"/>
        <v>6000</v>
      </c>
      <c r="AG14" s="100">
        <v>0</v>
      </c>
      <c r="AH14" s="57">
        <v>16</v>
      </c>
      <c r="AI14" s="109">
        <f t="shared" si="18"/>
        <v>0</v>
      </c>
      <c r="AJ14" s="100">
        <v>0</v>
      </c>
      <c r="AK14" s="57">
        <v>20</v>
      </c>
      <c r="AL14" s="85">
        <f t="shared" si="17"/>
        <v>0</v>
      </c>
      <c r="AM14" s="151">
        <f t="shared" si="19"/>
        <v>0</v>
      </c>
      <c r="AN14" s="100">
        <v>1</v>
      </c>
      <c r="AO14" s="57">
        <v>197</v>
      </c>
      <c r="AP14" s="160">
        <f t="shared" si="22"/>
        <v>197</v>
      </c>
      <c r="AQ14" s="67">
        <v>0</v>
      </c>
      <c r="AR14" s="87">
        <v>0</v>
      </c>
      <c r="AS14" s="56">
        <v>0</v>
      </c>
      <c r="AT14" s="50">
        <f>SUM(AF14+AM14+AP14+AQ14+AR14+AS14)</f>
        <v>6197</v>
      </c>
      <c r="AU14" s="56">
        <v>0</v>
      </c>
      <c r="AV14" s="50">
        <v>0</v>
      </c>
      <c r="AW14" s="208">
        <v>0</v>
      </c>
      <c r="AX14" s="216">
        <f t="shared" si="20"/>
        <v>6197</v>
      </c>
      <c r="AY14" s="212">
        <f t="shared" si="9"/>
        <v>4800</v>
      </c>
      <c r="AZ14" s="50">
        <f t="shared" si="21"/>
        <v>1397</v>
      </c>
      <c r="BA14" s="163">
        <v>0</v>
      </c>
      <c r="BB14" s="94"/>
    </row>
    <row r="15" spans="1:69" s="5" customFormat="1" ht="12.75">
      <c r="A15" s="74" t="s">
        <v>92</v>
      </c>
      <c r="B15" s="78" t="s">
        <v>93</v>
      </c>
      <c r="C15" s="119" t="s">
        <v>94</v>
      </c>
      <c r="D15" s="124">
        <v>45260</v>
      </c>
      <c r="E15" s="102"/>
      <c r="F15" s="126">
        <v>10030039360020</v>
      </c>
      <c r="G15" s="129" t="s">
        <v>88</v>
      </c>
      <c r="H15" s="185">
        <v>3300</v>
      </c>
      <c r="I15" s="7">
        <v>1100</v>
      </c>
      <c r="J15" s="7">
        <v>1100</v>
      </c>
      <c r="K15" s="7">
        <v>0</v>
      </c>
      <c r="L15" s="7">
        <v>0</v>
      </c>
      <c r="M15" s="189">
        <v>5500</v>
      </c>
      <c r="N15" s="191">
        <v>26</v>
      </c>
      <c r="O15" s="8">
        <v>4</v>
      </c>
      <c r="P15" s="8">
        <v>1</v>
      </c>
      <c r="Q15" s="8">
        <v>0</v>
      </c>
      <c r="R15" s="8">
        <v>0</v>
      </c>
      <c r="S15" s="65">
        <f t="shared" si="13"/>
        <v>31</v>
      </c>
      <c r="T15" s="46">
        <v>0</v>
      </c>
      <c r="U15" s="8">
        <v>0</v>
      </c>
      <c r="V15" s="8">
        <v>0</v>
      </c>
      <c r="W15" s="54">
        <v>0</v>
      </c>
      <c r="X15" s="197">
        <f t="shared" si="1"/>
        <v>0</v>
      </c>
      <c r="Y15" s="196">
        <f t="shared" si="2"/>
        <v>0</v>
      </c>
      <c r="Z15" s="196">
        <f t="shared" si="3"/>
        <v>0</v>
      </c>
      <c r="AA15" s="198">
        <f t="shared" si="4"/>
        <v>0</v>
      </c>
      <c r="AB15" s="174">
        <f t="shared" si="5"/>
        <v>0</v>
      </c>
      <c r="AC15" s="98">
        <f t="shared" si="6"/>
        <v>31</v>
      </c>
      <c r="AD15" s="117">
        <f t="shared" si="14"/>
        <v>0</v>
      </c>
      <c r="AE15" s="116">
        <f t="shared" si="15"/>
        <v>0</v>
      </c>
      <c r="AF15" s="180">
        <f t="shared" si="16"/>
        <v>5500</v>
      </c>
      <c r="AG15" s="218">
        <v>25</v>
      </c>
      <c r="AH15" s="57">
        <v>15</v>
      </c>
      <c r="AI15" s="109">
        <f t="shared" si="18"/>
        <v>375</v>
      </c>
      <c r="AJ15" s="100">
        <v>0</v>
      </c>
      <c r="AK15" s="57">
        <v>18</v>
      </c>
      <c r="AL15" s="85">
        <f t="shared" si="17"/>
        <v>0</v>
      </c>
      <c r="AM15" s="151">
        <f t="shared" si="19"/>
        <v>375</v>
      </c>
      <c r="AN15" s="100">
        <v>1</v>
      </c>
      <c r="AO15" s="57">
        <v>181</v>
      </c>
      <c r="AP15" s="160">
        <f t="shared" si="22"/>
        <v>181</v>
      </c>
      <c r="AQ15" s="67">
        <v>0</v>
      </c>
      <c r="AR15" s="87">
        <v>0</v>
      </c>
      <c r="AS15" s="56">
        <v>0</v>
      </c>
      <c r="AT15" s="50">
        <f>SUM(AF15+AM15+AP15+AQ15+AR15+AS15)</f>
        <v>6056</v>
      </c>
      <c r="AU15" s="56">
        <v>0</v>
      </c>
      <c r="AV15" s="50">
        <v>0</v>
      </c>
      <c r="AW15" s="208">
        <v>0</v>
      </c>
      <c r="AX15" s="216">
        <f t="shared" si="20"/>
        <v>6056</v>
      </c>
      <c r="AY15" s="212">
        <f t="shared" si="9"/>
        <v>4400</v>
      </c>
      <c r="AZ15" s="50">
        <f t="shared" si="21"/>
        <v>1656</v>
      </c>
      <c r="BA15" s="163">
        <v>0</v>
      </c>
      <c r="BB15" s="94"/>
    </row>
    <row r="16" spans="1:69" s="5" customFormat="1" ht="12">
      <c r="A16" s="74" t="s">
        <v>95</v>
      </c>
      <c r="B16" s="77" t="s">
        <v>96</v>
      </c>
      <c r="C16" s="119" t="s">
        <v>97</v>
      </c>
      <c r="D16" s="124">
        <v>41912</v>
      </c>
      <c r="E16" s="102"/>
      <c r="F16" s="126">
        <v>10025047761962</v>
      </c>
      <c r="G16" s="129" t="s">
        <v>98</v>
      </c>
      <c r="H16" s="185">
        <f t="shared" si="10"/>
        <v>5100</v>
      </c>
      <c r="I16" s="7">
        <f t="shared" si="11"/>
        <v>1700</v>
      </c>
      <c r="J16" s="7">
        <f t="shared" si="12"/>
        <v>1700</v>
      </c>
      <c r="K16" s="7">
        <v>0</v>
      </c>
      <c r="L16" s="7">
        <v>0</v>
      </c>
      <c r="M16" s="189">
        <v>8500</v>
      </c>
      <c r="N16" s="191">
        <v>21</v>
      </c>
      <c r="O16" s="8">
        <v>4</v>
      </c>
      <c r="P16" s="8">
        <v>1</v>
      </c>
      <c r="Q16" s="8">
        <v>5</v>
      </c>
      <c r="R16" s="8">
        <v>0</v>
      </c>
      <c r="S16" s="65">
        <f t="shared" si="13"/>
        <v>31</v>
      </c>
      <c r="T16" s="46">
        <v>0</v>
      </c>
      <c r="U16" s="8">
        <v>0</v>
      </c>
      <c r="V16" s="8">
        <v>0</v>
      </c>
      <c r="W16" s="54">
        <v>0</v>
      </c>
      <c r="X16" s="197">
        <f t="shared" si="1"/>
        <v>0</v>
      </c>
      <c r="Y16" s="196">
        <f t="shared" si="2"/>
        <v>0</v>
      </c>
      <c r="Z16" s="196">
        <f t="shared" si="3"/>
        <v>0</v>
      </c>
      <c r="AA16" s="198">
        <f t="shared" si="4"/>
        <v>0</v>
      </c>
      <c r="AB16" s="174">
        <f t="shared" si="5"/>
        <v>0</v>
      </c>
      <c r="AC16" s="98">
        <f t="shared" si="6"/>
        <v>31</v>
      </c>
      <c r="AD16" s="117">
        <f t="shared" si="14"/>
        <v>1370.9677419354839</v>
      </c>
      <c r="AE16" s="116">
        <f t="shared" si="15"/>
        <v>0</v>
      </c>
      <c r="AF16" s="180">
        <f t="shared" si="16"/>
        <v>8500</v>
      </c>
      <c r="AG16" s="100">
        <v>0</v>
      </c>
      <c r="AH16" s="57">
        <v>23</v>
      </c>
      <c r="AI16" s="109">
        <f t="shared" si="18"/>
        <v>0</v>
      </c>
      <c r="AJ16" s="100">
        <v>0</v>
      </c>
      <c r="AK16" s="57">
        <v>28</v>
      </c>
      <c r="AL16" s="85">
        <f t="shared" si="17"/>
        <v>0</v>
      </c>
      <c r="AM16" s="151">
        <f t="shared" si="19"/>
        <v>0</v>
      </c>
      <c r="AN16" s="100">
        <v>1</v>
      </c>
      <c r="AO16" s="57">
        <v>279</v>
      </c>
      <c r="AP16" s="160">
        <f t="shared" si="22"/>
        <v>279</v>
      </c>
      <c r="AQ16" s="67">
        <v>0</v>
      </c>
      <c r="AR16" s="87">
        <v>0</v>
      </c>
      <c r="AS16" s="56">
        <v>0</v>
      </c>
      <c r="AT16" s="50">
        <f>SUM(AF16+AM16+AP16+AQ16+AR16+AS16)</f>
        <v>8779</v>
      </c>
      <c r="AU16" s="56">
        <v>0</v>
      </c>
      <c r="AV16" s="50">
        <v>0</v>
      </c>
      <c r="AW16" s="208">
        <v>0</v>
      </c>
      <c r="AX16" s="216">
        <f t="shared" si="20"/>
        <v>8779</v>
      </c>
      <c r="AY16" s="212">
        <f t="shared" si="9"/>
        <v>6800</v>
      </c>
      <c r="AZ16" s="50">
        <f t="shared" si="21"/>
        <v>1979</v>
      </c>
      <c r="BA16" s="163">
        <v>0</v>
      </c>
      <c r="BB16" s="94"/>
    </row>
    <row r="17" spans="1:98" s="5" customFormat="1" ht="12.75">
      <c r="A17" s="74" t="s">
        <v>99</v>
      </c>
      <c r="B17" s="78" t="s">
        <v>100</v>
      </c>
      <c r="C17" s="119" t="s">
        <v>101</v>
      </c>
      <c r="D17" s="124">
        <v>45985</v>
      </c>
      <c r="E17" s="102"/>
      <c r="F17" s="126">
        <v>30404129679881</v>
      </c>
      <c r="G17" s="129" t="s">
        <v>102</v>
      </c>
      <c r="H17" s="185">
        <f>M17*60/100</f>
        <v>2400</v>
      </c>
      <c r="I17" s="7">
        <f>M17*20/100</f>
        <v>800</v>
      </c>
      <c r="J17" s="7">
        <f>M17*20/100</f>
        <v>800</v>
      </c>
      <c r="K17" s="7">
        <v>0</v>
      </c>
      <c r="L17" s="7">
        <v>0</v>
      </c>
      <c r="M17" s="189">
        <v>4000</v>
      </c>
      <c r="N17" s="191">
        <v>26</v>
      </c>
      <c r="O17" s="8">
        <v>4</v>
      </c>
      <c r="P17" s="8">
        <v>1</v>
      </c>
      <c r="Q17" s="8">
        <v>0</v>
      </c>
      <c r="R17" s="8">
        <v>0</v>
      </c>
      <c r="S17" s="65">
        <f t="shared" si="13"/>
        <v>31</v>
      </c>
      <c r="T17" s="46">
        <v>0</v>
      </c>
      <c r="U17" s="8">
        <v>0</v>
      </c>
      <c r="V17" s="8">
        <v>0</v>
      </c>
      <c r="W17" s="54">
        <v>0</v>
      </c>
      <c r="X17" s="197">
        <f t="shared" si="1"/>
        <v>0</v>
      </c>
      <c r="Y17" s="196">
        <f t="shared" si="2"/>
        <v>0</v>
      </c>
      <c r="Z17" s="196">
        <f t="shared" si="3"/>
        <v>0</v>
      </c>
      <c r="AA17" s="198">
        <f t="shared" si="4"/>
        <v>0</v>
      </c>
      <c r="AB17" s="174">
        <f t="shared" si="5"/>
        <v>0</v>
      </c>
      <c r="AC17" s="98">
        <f t="shared" si="6"/>
        <v>31</v>
      </c>
      <c r="AD17" s="117">
        <f t="shared" si="14"/>
        <v>0</v>
      </c>
      <c r="AE17" s="116">
        <f t="shared" si="15"/>
        <v>0</v>
      </c>
      <c r="AF17" s="180">
        <f t="shared" si="16"/>
        <v>4000</v>
      </c>
      <c r="AG17" s="100">
        <v>0</v>
      </c>
      <c r="AH17" s="57">
        <v>11</v>
      </c>
      <c r="AI17" s="109">
        <f t="shared" ref="AI17:AI18" si="23">AG17*AH17</f>
        <v>0</v>
      </c>
      <c r="AJ17" s="100">
        <v>0</v>
      </c>
      <c r="AK17" s="57">
        <v>13</v>
      </c>
      <c r="AL17" s="85">
        <f t="shared" ref="AL17:AL18" si="24">AJ17*AK17</f>
        <v>0</v>
      </c>
      <c r="AM17" s="151">
        <f t="shared" ref="AM17:AM18" si="25">AL17+AI17</f>
        <v>0</v>
      </c>
      <c r="AN17" s="100">
        <v>0</v>
      </c>
      <c r="AO17" s="57">
        <v>132</v>
      </c>
      <c r="AP17" s="160">
        <f t="shared" ref="AP17:AP18" si="26">AN17*AO17</f>
        <v>0</v>
      </c>
      <c r="AQ17" s="67">
        <v>0</v>
      </c>
      <c r="AR17" s="87"/>
      <c r="AS17" s="56">
        <v>0</v>
      </c>
      <c r="AT17" s="50">
        <f t="shared" ref="AT17" si="27">SUM(AF17+AM17+AP17+AQ17+AR17+AS17)</f>
        <v>4000</v>
      </c>
      <c r="AU17" s="56">
        <v>0</v>
      </c>
      <c r="AV17" s="50">
        <v>0</v>
      </c>
      <c r="AW17" s="208">
        <v>0</v>
      </c>
      <c r="AX17" s="216">
        <f t="shared" si="20"/>
        <v>4000</v>
      </c>
      <c r="AY17" s="212">
        <f t="shared" ref="AY17" si="28">SUM(M17*80%)</f>
        <v>3200</v>
      </c>
      <c r="AZ17" s="50">
        <f t="shared" ref="AZ17" si="29">AX17-AY17</f>
        <v>800</v>
      </c>
      <c r="BA17" s="163">
        <v>0</v>
      </c>
      <c r="BB17" s="111"/>
    </row>
    <row r="18" spans="1:98" s="5" customFormat="1" ht="12.75">
      <c r="A18" s="74" t="s">
        <v>103</v>
      </c>
      <c r="B18" s="78" t="s">
        <v>104</v>
      </c>
      <c r="C18" s="78" t="s">
        <v>105</v>
      </c>
      <c r="D18" s="124">
        <v>46012</v>
      </c>
      <c r="E18" s="102"/>
      <c r="F18" s="126">
        <v>10005068743230</v>
      </c>
      <c r="G18" s="129"/>
      <c r="H18" s="185">
        <v>3000</v>
      </c>
      <c r="I18" s="7">
        <v>1000</v>
      </c>
      <c r="J18" s="7">
        <v>1000</v>
      </c>
      <c r="K18" s="7">
        <v>0</v>
      </c>
      <c r="L18" s="7">
        <v>0</v>
      </c>
      <c r="M18" s="189">
        <v>5000</v>
      </c>
      <c r="N18" s="191">
        <v>26</v>
      </c>
      <c r="O18" s="8">
        <v>4</v>
      </c>
      <c r="P18" s="8">
        <v>1</v>
      </c>
      <c r="Q18" s="8">
        <v>0</v>
      </c>
      <c r="R18" s="8">
        <v>0</v>
      </c>
      <c r="S18" s="65">
        <f t="shared" si="13"/>
        <v>31</v>
      </c>
      <c r="T18" s="46">
        <v>0</v>
      </c>
      <c r="U18" s="8">
        <v>0</v>
      </c>
      <c r="V18" s="8">
        <v>0</v>
      </c>
      <c r="W18" s="54">
        <v>0</v>
      </c>
      <c r="X18" s="197">
        <f t="shared" ref="X18:X20" si="30">M18/31*T18</f>
        <v>0</v>
      </c>
      <c r="Y18" s="196">
        <f t="shared" ref="Y18:Y20" si="31">M18/31*U18</f>
        <v>0</v>
      </c>
      <c r="Z18" s="196">
        <f t="shared" ref="Z18:Z20" si="32">M18/31*V18</f>
        <v>0</v>
      </c>
      <c r="AA18" s="198">
        <f t="shared" ref="AA18:AA20" si="33">M18/31*W18</f>
        <v>0</v>
      </c>
      <c r="AB18" s="174">
        <f t="shared" ref="AB18:AB21" si="34">T18+U18+V18+W18</f>
        <v>0</v>
      </c>
      <c r="AC18" s="98">
        <f t="shared" ref="AC18:AC21" si="35">S18+AB18</f>
        <v>31</v>
      </c>
      <c r="AD18" s="117">
        <f t="shared" ref="AD18:AD21" si="36">M18/31*Q18</f>
        <v>0</v>
      </c>
      <c r="AE18" s="116">
        <f t="shared" ref="AE18:AE21" si="37">M18/31*R18</f>
        <v>0</v>
      </c>
      <c r="AF18" s="180">
        <f>M18/31*S18</f>
        <v>5000</v>
      </c>
      <c r="AG18" s="218">
        <v>26</v>
      </c>
      <c r="AH18" s="57">
        <v>14</v>
      </c>
      <c r="AI18" s="109">
        <f t="shared" si="23"/>
        <v>364</v>
      </c>
      <c r="AJ18" s="100">
        <v>0</v>
      </c>
      <c r="AK18" s="57">
        <v>16</v>
      </c>
      <c r="AL18" s="85">
        <f t="shared" si="24"/>
        <v>0</v>
      </c>
      <c r="AM18" s="151">
        <f t="shared" si="25"/>
        <v>364</v>
      </c>
      <c r="AN18" s="100">
        <v>1</v>
      </c>
      <c r="AO18" s="57">
        <v>164</v>
      </c>
      <c r="AP18" s="160">
        <f t="shared" si="26"/>
        <v>164</v>
      </c>
      <c r="AQ18" s="67">
        <v>0</v>
      </c>
      <c r="AR18" s="87">
        <v>0</v>
      </c>
      <c r="AS18" s="56">
        <v>0</v>
      </c>
      <c r="AT18" s="50">
        <f t="shared" ref="AT18" si="38">SUM(AF18+AM18+AP18+AQ18+AR18+AS18)</f>
        <v>5528</v>
      </c>
      <c r="AU18" s="56">
        <v>0</v>
      </c>
      <c r="AV18" s="50">
        <v>0</v>
      </c>
      <c r="AW18" s="208">
        <v>0</v>
      </c>
      <c r="AX18" s="216">
        <f t="shared" si="20"/>
        <v>5528</v>
      </c>
      <c r="AY18" s="212">
        <f t="shared" ref="AY18" si="39">SUM(M18*80%)</f>
        <v>4000</v>
      </c>
      <c r="AZ18" s="50">
        <f t="shared" ref="AZ18" si="40">AX18-AY18</f>
        <v>1528</v>
      </c>
      <c r="BA18" s="163">
        <v>0</v>
      </c>
      <c r="BB18" s="111"/>
    </row>
    <row r="19" spans="1:98" s="5" customFormat="1" ht="11.25" customHeight="1">
      <c r="A19" s="74" t="s">
        <v>106</v>
      </c>
      <c r="B19" s="77" t="s">
        <v>107</v>
      </c>
      <c r="C19" s="120" t="s">
        <v>108</v>
      </c>
      <c r="D19" s="124">
        <v>44095</v>
      </c>
      <c r="E19" s="102"/>
      <c r="F19" s="126">
        <v>10022016768789</v>
      </c>
      <c r="G19" s="129" t="s">
        <v>109</v>
      </c>
      <c r="H19" s="185">
        <f>M19*60%</f>
        <v>2160</v>
      </c>
      <c r="I19" s="7">
        <f>M19*20%</f>
        <v>720</v>
      </c>
      <c r="J19" s="7">
        <f>M19*20%</f>
        <v>720</v>
      </c>
      <c r="K19" s="7">
        <v>0</v>
      </c>
      <c r="L19" s="7">
        <v>0</v>
      </c>
      <c r="M19" s="189">
        <v>3600</v>
      </c>
      <c r="N19" s="191">
        <v>25</v>
      </c>
      <c r="O19" s="8">
        <v>5</v>
      </c>
      <c r="P19" s="8">
        <v>1</v>
      </c>
      <c r="Q19" s="8">
        <v>0</v>
      </c>
      <c r="R19" s="8">
        <v>0</v>
      </c>
      <c r="S19" s="65">
        <f t="shared" si="13"/>
        <v>31</v>
      </c>
      <c r="T19" s="46">
        <v>0</v>
      </c>
      <c r="U19" s="8">
        <v>0</v>
      </c>
      <c r="V19" s="8">
        <v>0</v>
      </c>
      <c r="W19" s="54">
        <v>0</v>
      </c>
      <c r="X19" s="197">
        <f t="shared" si="30"/>
        <v>0</v>
      </c>
      <c r="Y19" s="196">
        <f t="shared" si="31"/>
        <v>0</v>
      </c>
      <c r="Z19" s="196">
        <f t="shared" si="32"/>
        <v>0</v>
      </c>
      <c r="AA19" s="198">
        <f t="shared" si="33"/>
        <v>0</v>
      </c>
      <c r="AB19" s="174">
        <f t="shared" si="34"/>
        <v>0</v>
      </c>
      <c r="AC19" s="98">
        <f t="shared" si="35"/>
        <v>31</v>
      </c>
      <c r="AD19" s="117">
        <f t="shared" si="36"/>
        <v>0</v>
      </c>
      <c r="AE19" s="116">
        <f t="shared" si="37"/>
        <v>0</v>
      </c>
      <c r="AF19" s="180">
        <f t="shared" ref="AF18:AF21" si="41">M19/31*S19</f>
        <v>3600</v>
      </c>
      <c r="AG19" s="100">
        <v>0</v>
      </c>
      <c r="AH19" s="58">
        <v>10</v>
      </c>
      <c r="AI19" s="109">
        <f t="shared" si="18"/>
        <v>0</v>
      </c>
      <c r="AJ19" s="100">
        <v>0</v>
      </c>
      <c r="AK19" s="58">
        <v>12</v>
      </c>
      <c r="AL19" s="85">
        <f t="shared" si="17"/>
        <v>0</v>
      </c>
      <c r="AM19" s="151">
        <f t="shared" si="19"/>
        <v>0</v>
      </c>
      <c r="AN19" s="100">
        <v>1</v>
      </c>
      <c r="AO19" s="57">
        <v>115</v>
      </c>
      <c r="AP19" s="160">
        <f>AN19*AO19</f>
        <v>115</v>
      </c>
      <c r="AQ19" s="67">
        <v>0</v>
      </c>
      <c r="AR19" s="87">
        <v>0</v>
      </c>
      <c r="AS19" s="56">
        <v>0</v>
      </c>
      <c r="AT19" s="50">
        <f t="shared" si="8"/>
        <v>3715</v>
      </c>
      <c r="AU19" s="56">
        <v>0</v>
      </c>
      <c r="AV19" s="50">
        <v>0</v>
      </c>
      <c r="AW19" s="208">
        <v>0</v>
      </c>
      <c r="AX19" s="216">
        <f t="shared" si="20"/>
        <v>3715</v>
      </c>
      <c r="AY19" s="212">
        <f t="shared" si="9"/>
        <v>2880</v>
      </c>
      <c r="AZ19" s="50">
        <f t="shared" si="21"/>
        <v>835</v>
      </c>
      <c r="BA19" s="163">
        <v>0</v>
      </c>
      <c r="BB19" s="95"/>
    </row>
    <row r="20" spans="1:98" s="5" customFormat="1" ht="11.25" customHeight="1">
      <c r="A20" s="74" t="s">
        <v>110</v>
      </c>
      <c r="B20" s="77" t="s">
        <v>111</v>
      </c>
      <c r="C20" s="120" t="s">
        <v>112</v>
      </c>
      <c r="D20" s="124">
        <v>45955</v>
      </c>
      <c r="E20" s="102"/>
      <c r="F20" s="126">
        <v>10007018981824</v>
      </c>
      <c r="G20" s="129" t="s">
        <v>109</v>
      </c>
      <c r="H20" s="185">
        <f>M20*60%</f>
        <v>1800</v>
      </c>
      <c r="I20" s="7">
        <f>M20*20%</f>
        <v>600</v>
      </c>
      <c r="J20" s="7">
        <f>M20*20%</f>
        <v>600</v>
      </c>
      <c r="K20" s="7">
        <v>0</v>
      </c>
      <c r="L20" s="7">
        <v>0</v>
      </c>
      <c r="M20" s="189">
        <v>3000</v>
      </c>
      <c r="N20" s="191">
        <v>25</v>
      </c>
      <c r="O20" s="8">
        <v>5</v>
      </c>
      <c r="P20" s="8">
        <v>1</v>
      </c>
      <c r="Q20" s="8">
        <v>0</v>
      </c>
      <c r="R20" s="8">
        <v>0</v>
      </c>
      <c r="S20" s="65">
        <f t="shared" si="13"/>
        <v>31</v>
      </c>
      <c r="T20" s="46">
        <v>0</v>
      </c>
      <c r="U20" s="8">
        <v>0</v>
      </c>
      <c r="V20" s="8">
        <v>0</v>
      </c>
      <c r="W20" s="54">
        <v>0</v>
      </c>
      <c r="X20" s="197">
        <f t="shared" si="30"/>
        <v>0</v>
      </c>
      <c r="Y20" s="196">
        <f t="shared" si="31"/>
        <v>0</v>
      </c>
      <c r="Z20" s="196">
        <f t="shared" si="32"/>
        <v>0</v>
      </c>
      <c r="AA20" s="198">
        <f t="shared" si="33"/>
        <v>0</v>
      </c>
      <c r="AB20" s="174">
        <f t="shared" si="34"/>
        <v>0</v>
      </c>
      <c r="AC20" s="98">
        <f t="shared" si="35"/>
        <v>31</v>
      </c>
      <c r="AD20" s="117">
        <f t="shared" si="36"/>
        <v>0</v>
      </c>
      <c r="AE20" s="116">
        <f t="shared" si="37"/>
        <v>0</v>
      </c>
      <c r="AF20" s="180">
        <f t="shared" si="41"/>
        <v>3000</v>
      </c>
      <c r="AG20" s="100">
        <v>0</v>
      </c>
      <c r="AH20" s="58">
        <v>8</v>
      </c>
      <c r="AI20" s="109">
        <f t="shared" si="18"/>
        <v>0</v>
      </c>
      <c r="AJ20" s="100">
        <v>0</v>
      </c>
      <c r="AK20" s="58">
        <v>10</v>
      </c>
      <c r="AL20" s="85">
        <f t="shared" si="17"/>
        <v>0</v>
      </c>
      <c r="AM20" s="151">
        <f t="shared" si="19"/>
        <v>0</v>
      </c>
      <c r="AN20" s="100">
        <v>1</v>
      </c>
      <c r="AO20" s="57">
        <v>99</v>
      </c>
      <c r="AP20" s="160">
        <f>AN20*AO20</f>
        <v>99</v>
      </c>
      <c r="AQ20" s="67">
        <v>0</v>
      </c>
      <c r="AR20" s="87">
        <v>0</v>
      </c>
      <c r="AS20" s="56">
        <v>0</v>
      </c>
      <c r="AT20" s="50">
        <f t="shared" ref="AT20" si="42">SUM(AF20+AM20+AP20+AQ20+AR20+AS20)</f>
        <v>3099</v>
      </c>
      <c r="AU20" s="56">
        <v>0</v>
      </c>
      <c r="AV20" s="50">
        <v>0</v>
      </c>
      <c r="AW20" s="208">
        <v>0</v>
      </c>
      <c r="AX20" s="216">
        <f t="shared" si="20"/>
        <v>3099</v>
      </c>
      <c r="AY20" s="212">
        <f t="shared" ref="AY20" si="43">SUM(M20*80%)</f>
        <v>2400</v>
      </c>
      <c r="AZ20" s="50">
        <f t="shared" ref="AZ20" si="44">AX20-AY20</f>
        <v>699</v>
      </c>
      <c r="BA20" s="163">
        <v>0</v>
      </c>
      <c r="BB20" s="95"/>
    </row>
    <row r="21" spans="1:98" s="5" customFormat="1" ht="12" customHeight="1">
      <c r="A21" s="74" t="s">
        <v>113</v>
      </c>
      <c r="B21" s="79" t="s">
        <v>114</v>
      </c>
      <c r="C21" s="121" t="s">
        <v>115</v>
      </c>
      <c r="D21" s="103">
        <v>45600</v>
      </c>
      <c r="E21" s="103"/>
      <c r="F21" s="127" t="s">
        <v>116</v>
      </c>
      <c r="G21" s="129" t="s">
        <v>117</v>
      </c>
      <c r="H21" s="185">
        <v>3000</v>
      </c>
      <c r="I21" s="7">
        <v>1000</v>
      </c>
      <c r="J21" s="7">
        <v>1000</v>
      </c>
      <c r="K21" s="7">
        <v>0</v>
      </c>
      <c r="L21" s="7">
        <v>0</v>
      </c>
      <c r="M21" s="189">
        <v>5000</v>
      </c>
      <c r="N21" s="191">
        <v>21</v>
      </c>
      <c r="O21" s="8">
        <v>9</v>
      </c>
      <c r="P21" s="8">
        <v>1</v>
      </c>
      <c r="Q21" s="8">
        <v>0</v>
      </c>
      <c r="R21" s="8">
        <v>0</v>
      </c>
      <c r="S21" s="65">
        <f t="shared" si="13"/>
        <v>31</v>
      </c>
      <c r="T21" s="46">
        <v>0</v>
      </c>
      <c r="U21" s="8">
        <v>0</v>
      </c>
      <c r="V21" s="8">
        <v>0</v>
      </c>
      <c r="W21" s="54">
        <v>0</v>
      </c>
      <c r="X21" s="197">
        <f t="shared" si="1"/>
        <v>0</v>
      </c>
      <c r="Y21" s="196">
        <f t="shared" si="2"/>
        <v>0</v>
      </c>
      <c r="Z21" s="196">
        <f t="shared" si="3"/>
        <v>0</v>
      </c>
      <c r="AA21" s="198">
        <f t="shared" si="4"/>
        <v>0</v>
      </c>
      <c r="AB21" s="174">
        <f t="shared" si="34"/>
        <v>0</v>
      </c>
      <c r="AC21" s="98">
        <f t="shared" si="35"/>
        <v>31</v>
      </c>
      <c r="AD21" s="117">
        <f t="shared" si="36"/>
        <v>0</v>
      </c>
      <c r="AE21" s="116">
        <f t="shared" si="37"/>
        <v>0</v>
      </c>
      <c r="AF21" s="180">
        <f t="shared" si="41"/>
        <v>5000</v>
      </c>
      <c r="AG21" s="130">
        <v>0</v>
      </c>
      <c r="AH21" s="131">
        <v>0</v>
      </c>
      <c r="AI21" s="133">
        <f t="shared" ref="AI21:AI22" si="45">AG21*AH21</f>
        <v>0</v>
      </c>
      <c r="AJ21" s="130">
        <v>0</v>
      </c>
      <c r="AK21" s="131">
        <v>0</v>
      </c>
      <c r="AL21" s="132">
        <f t="shared" ref="AL21:AL22" si="46">AJ21*AK21</f>
        <v>0</v>
      </c>
      <c r="AM21" s="152">
        <f t="shared" ref="AM21:AM22" si="47">AL21+AI21</f>
        <v>0</v>
      </c>
      <c r="AN21" s="130">
        <v>0</v>
      </c>
      <c r="AO21" s="131">
        <v>0</v>
      </c>
      <c r="AP21" s="161">
        <f>AN21*AO21</f>
        <v>0</v>
      </c>
      <c r="AQ21" s="135">
        <v>0</v>
      </c>
      <c r="AR21" s="134">
        <v>0</v>
      </c>
      <c r="AS21" s="135">
        <v>0</v>
      </c>
      <c r="AT21" s="134">
        <f t="shared" ref="AT21:AT22" si="48">SUM(AF21+AM21+AP21+AQ21+AR21+AS21)</f>
        <v>5000</v>
      </c>
      <c r="AU21" s="135">
        <v>550</v>
      </c>
      <c r="AV21" s="134">
        <v>0</v>
      </c>
      <c r="AW21" s="209">
        <v>0</v>
      </c>
      <c r="AX21" s="216">
        <f t="shared" si="20"/>
        <v>4450</v>
      </c>
      <c r="AY21" s="213">
        <f t="shared" ref="AY21:AY22" si="49">SUM(M21*80%)</f>
        <v>4000</v>
      </c>
      <c r="AZ21" s="134">
        <f t="shared" ref="AZ21:AZ22" si="50">AX21-AY21</f>
        <v>450</v>
      </c>
      <c r="BA21" s="164">
        <v>0</v>
      </c>
      <c r="BB21" s="136" t="s">
        <v>118</v>
      </c>
    </row>
    <row r="22" spans="1:98" s="5" customFormat="1" ht="12" customHeight="1">
      <c r="A22" s="74" t="s">
        <v>119</v>
      </c>
      <c r="B22" s="79" t="s">
        <v>114</v>
      </c>
      <c r="C22" s="121" t="s">
        <v>120</v>
      </c>
      <c r="D22" s="103">
        <v>45600</v>
      </c>
      <c r="E22" s="103"/>
      <c r="F22" s="127" t="s">
        <v>121</v>
      </c>
      <c r="G22" s="129" t="s">
        <v>122</v>
      </c>
      <c r="H22" s="185">
        <v>3000</v>
      </c>
      <c r="I22" s="7">
        <v>1000</v>
      </c>
      <c r="J22" s="7">
        <v>1000</v>
      </c>
      <c r="K22" s="7">
        <v>0</v>
      </c>
      <c r="L22" s="7">
        <v>0</v>
      </c>
      <c r="M22" s="189">
        <v>5000</v>
      </c>
      <c r="N22" s="191">
        <v>21</v>
      </c>
      <c r="O22" s="8">
        <v>9</v>
      </c>
      <c r="P22" s="8">
        <v>1</v>
      </c>
      <c r="Q22" s="8">
        <v>0</v>
      </c>
      <c r="R22" s="8">
        <v>0</v>
      </c>
      <c r="S22" s="65">
        <f>N22+O22+P22+Q22+R22</f>
        <v>31</v>
      </c>
      <c r="T22" s="46">
        <v>0</v>
      </c>
      <c r="U22" s="8">
        <v>0</v>
      </c>
      <c r="V22" s="8">
        <v>0</v>
      </c>
      <c r="W22" s="54">
        <v>0</v>
      </c>
      <c r="X22" s="197">
        <f t="shared" si="1"/>
        <v>0</v>
      </c>
      <c r="Y22" s="196">
        <f t="shared" si="2"/>
        <v>0</v>
      </c>
      <c r="Z22" s="196">
        <f t="shared" si="3"/>
        <v>0</v>
      </c>
      <c r="AA22" s="198">
        <f t="shared" si="4"/>
        <v>0</v>
      </c>
      <c r="AB22" s="174">
        <f t="shared" ref="AB22" si="51">T22+U22+V22+W22</f>
        <v>0</v>
      </c>
      <c r="AC22" s="98">
        <f t="shared" ref="AC22" si="52">S22+AB22</f>
        <v>31</v>
      </c>
      <c r="AD22" s="117">
        <f t="shared" si="14"/>
        <v>0</v>
      </c>
      <c r="AE22" s="116">
        <f t="shared" si="15"/>
        <v>0</v>
      </c>
      <c r="AF22" s="180">
        <f t="shared" si="16"/>
        <v>5000</v>
      </c>
      <c r="AG22" s="100">
        <v>0</v>
      </c>
      <c r="AH22" s="58">
        <v>0</v>
      </c>
      <c r="AI22" s="109">
        <f t="shared" si="45"/>
        <v>0</v>
      </c>
      <c r="AJ22" s="100">
        <v>0</v>
      </c>
      <c r="AK22" s="58">
        <v>0</v>
      </c>
      <c r="AL22" s="85">
        <f t="shared" si="46"/>
        <v>0</v>
      </c>
      <c r="AM22" s="151">
        <f t="shared" si="47"/>
        <v>0</v>
      </c>
      <c r="AN22" s="100">
        <v>0</v>
      </c>
      <c r="AO22" s="58">
        <v>0</v>
      </c>
      <c r="AP22" s="160">
        <f>AN22*AO22</f>
        <v>0</v>
      </c>
      <c r="AQ22" s="56">
        <v>0</v>
      </c>
      <c r="AR22" s="50">
        <v>0</v>
      </c>
      <c r="AS22" s="56">
        <v>0</v>
      </c>
      <c r="AT22" s="50">
        <f t="shared" si="48"/>
        <v>5000</v>
      </c>
      <c r="AU22" s="56">
        <v>550</v>
      </c>
      <c r="AV22" s="50">
        <v>0</v>
      </c>
      <c r="AW22" s="208">
        <v>0</v>
      </c>
      <c r="AX22" s="216">
        <f t="shared" si="20"/>
        <v>4450</v>
      </c>
      <c r="AY22" s="212">
        <f t="shared" si="49"/>
        <v>4000</v>
      </c>
      <c r="AZ22" s="50">
        <f t="shared" si="50"/>
        <v>450</v>
      </c>
      <c r="BA22" s="163">
        <v>0</v>
      </c>
      <c r="BB22" s="96" t="s">
        <v>118</v>
      </c>
    </row>
    <row r="23" spans="1:98" s="5" customFormat="1" ht="12" customHeight="1">
      <c r="A23" s="75" t="s">
        <v>123</v>
      </c>
      <c r="B23" s="80" t="s">
        <v>124</v>
      </c>
      <c r="C23" s="122" t="s">
        <v>125</v>
      </c>
      <c r="D23" s="104">
        <v>45985</v>
      </c>
      <c r="E23" s="104"/>
      <c r="F23" s="128" t="s">
        <v>126</v>
      </c>
      <c r="G23" s="183" t="s">
        <v>127</v>
      </c>
      <c r="H23" s="186">
        <v>3000</v>
      </c>
      <c r="I23" s="187">
        <v>1000</v>
      </c>
      <c r="J23" s="187">
        <v>1000</v>
      </c>
      <c r="K23" s="187">
        <v>0</v>
      </c>
      <c r="L23" s="187">
        <v>0</v>
      </c>
      <c r="M23" s="190">
        <v>5000</v>
      </c>
      <c r="N23" s="192">
        <v>21</v>
      </c>
      <c r="O23" s="193">
        <v>9</v>
      </c>
      <c r="P23" s="193">
        <v>1</v>
      </c>
      <c r="Q23" s="193">
        <v>0</v>
      </c>
      <c r="R23" s="193">
        <v>0</v>
      </c>
      <c r="S23" s="194">
        <f>N23+O23+P23+Q23+R23</f>
        <v>31</v>
      </c>
      <c r="T23" s="137">
        <v>0</v>
      </c>
      <c r="U23" s="138">
        <v>0</v>
      </c>
      <c r="V23" s="138">
        <v>0</v>
      </c>
      <c r="W23" s="139">
        <v>0</v>
      </c>
      <c r="X23" s="199">
        <f t="shared" si="1"/>
        <v>0</v>
      </c>
      <c r="Y23" s="200">
        <f t="shared" si="2"/>
        <v>0</v>
      </c>
      <c r="Z23" s="200">
        <f t="shared" si="3"/>
        <v>0</v>
      </c>
      <c r="AA23" s="201">
        <f t="shared" si="4"/>
        <v>0</v>
      </c>
      <c r="AB23" s="175">
        <f t="shared" si="5"/>
        <v>0</v>
      </c>
      <c r="AC23" s="140">
        <f t="shared" si="6"/>
        <v>31</v>
      </c>
      <c r="AD23" s="141">
        <f t="shared" si="14"/>
        <v>0</v>
      </c>
      <c r="AE23" s="139">
        <f t="shared" si="15"/>
        <v>0</v>
      </c>
      <c r="AF23" s="195">
        <f t="shared" si="16"/>
        <v>5000</v>
      </c>
      <c r="AG23" s="142">
        <v>0</v>
      </c>
      <c r="AH23" s="143">
        <v>0</v>
      </c>
      <c r="AI23" s="145">
        <f t="shared" si="18"/>
        <v>0</v>
      </c>
      <c r="AJ23" s="142">
        <v>0</v>
      </c>
      <c r="AK23" s="143">
        <v>0</v>
      </c>
      <c r="AL23" s="144">
        <f t="shared" si="17"/>
        <v>0</v>
      </c>
      <c r="AM23" s="153">
        <f t="shared" ref="AM23" si="53">AL23+AI23</f>
        <v>0</v>
      </c>
      <c r="AN23" s="142">
        <v>0</v>
      </c>
      <c r="AO23" s="143">
        <v>0</v>
      </c>
      <c r="AP23" s="162">
        <f>AN23*AO23</f>
        <v>0</v>
      </c>
      <c r="AQ23" s="147">
        <v>0</v>
      </c>
      <c r="AR23" s="146">
        <v>0</v>
      </c>
      <c r="AS23" s="147">
        <v>0</v>
      </c>
      <c r="AT23" s="146">
        <f t="shared" si="8"/>
        <v>5000</v>
      </c>
      <c r="AU23" s="147">
        <v>550</v>
      </c>
      <c r="AV23" s="146">
        <v>0</v>
      </c>
      <c r="AW23" s="210">
        <v>0</v>
      </c>
      <c r="AX23" s="217">
        <f t="shared" si="20"/>
        <v>4450</v>
      </c>
      <c r="AY23" s="214">
        <f t="shared" si="9"/>
        <v>4000</v>
      </c>
      <c r="AZ23" s="146">
        <f t="shared" si="21"/>
        <v>450</v>
      </c>
      <c r="BA23" s="165">
        <v>0</v>
      </c>
      <c r="BB23" s="148" t="s">
        <v>118</v>
      </c>
    </row>
    <row r="24" spans="1:98" s="5" customFormat="1" ht="12" customHeight="1">
      <c r="A24" s="11"/>
      <c r="B24" s="34"/>
      <c r="C24" s="9" t="s">
        <v>128</v>
      </c>
      <c r="D24" s="35"/>
      <c r="E24" s="35"/>
      <c r="F24" s="36"/>
      <c r="G24" s="37"/>
      <c r="H24" s="38">
        <f>M24*0.6</f>
        <v>24000</v>
      </c>
      <c r="I24" s="38">
        <f>M24*0.2</f>
        <v>8000</v>
      </c>
      <c r="J24" s="38">
        <f>M24*0.2</f>
        <v>8000</v>
      </c>
      <c r="K24" s="38"/>
      <c r="L24" s="38"/>
      <c r="M24" s="39">
        <v>40000</v>
      </c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2"/>
      <c r="AH24" s="43"/>
      <c r="AI24" s="38"/>
      <c r="AJ24" s="42"/>
      <c r="AK24" s="43"/>
      <c r="AL24" s="38"/>
      <c r="AM24" s="41"/>
      <c r="AN24" s="42"/>
      <c r="AO24" s="43"/>
      <c r="AP24" s="41"/>
      <c r="AQ24" s="43">
        <f>SUM(AQ7:AQ23)</f>
        <v>0</v>
      </c>
      <c r="AR24" s="43">
        <f>SUM(AR7:AR23)</f>
        <v>0</v>
      </c>
      <c r="AS24" s="43">
        <f>SUM(AS7:AS23)</f>
        <v>0</v>
      </c>
      <c r="AT24" s="205">
        <f>SUM(AT7+AT8+AT9+AT10+AT11+AT12+AT13+AT14+AT15+AT16+AT17+AT18+AT19+AT20+AT21+AT22+AT23)</f>
        <v>157292</v>
      </c>
      <c r="AU24" s="204">
        <f>SUM(AU7:AU23)</f>
        <v>1650</v>
      </c>
      <c r="AV24" s="204">
        <f>SUM(AV7:AV23)</f>
        <v>0</v>
      </c>
      <c r="AW24" s="204">
        <f>SUM(AW7:AW23)</f>
        <v>1925.7</v>
      </c>
      <c r="AX24" s="53">
        <f>SUM(AX7:AX23)</f>
        <v>153716.29999999999</v>
      </c>
      <c r="AY24" s="43"/>
      <c r="AZ24" s="43"/>
      <c r="BA24" s="43"/>
      <c r="BB24" s="44"/>
    </row>
    <row r="25" spans="1:98" s="9" customFormat="1" ht="12">
      <c r="A25" s="11"/>
      <c r="C25" s="9" t="s">
        <v>129</v>
      </c>
      <c r="AQ25" s="43"/>
      <c r="AR25" s="43"/>
      <c r="AS25" s="43"/>
      <c r="AT25" s="15"/>
      <c r="AW25" s="16"/>
    </row>
    <row r="26" spans="1:98">
      <c r="A26" s="446"/>
      <c r="B26" s="446"/>
      <c r="C26" s="446"/>
      <c r="D26" s="446"/>
      <c r="E26" s="446"/>
      <c r="F26" s="446"/>
      <c r="G26" s="446"/>
      <c r="H26" s="446"/>
      <c r="I26" s="446"/>
      <c r="J26" s="446"/>
      <c r="K26" s="447"/>
      <c r="L26" s="446"/>
      <c r="M26" s="446"/>
      <c r="N26" s="446"/>
      <c r="O26" s="446"/>
      <c r="P26" s="446"/>
      <c r="Q26" s="446"/>
      <c r="R26" s="446"/>
      <c r="S26" s="448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9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 t="s">
        <v>130</v>
      </c>
      <c r="AS26" s="450">
        <f>AS28-AS27</f>
        <v>157292</v>
      </c>
      <c r="AT26" s="33"/>
      <c r="AU26" s="233" t="s">
        <v>131</v>
      </c>
      <c r="AV26" s="233"/>
      <c r="AW26" s="203">
        <f>AU24+AV24+AW24</f>
        <v>3575.7</v>
      </c>
      <c r="AX26" s="446"/>
      <c r="AY26" s="446"/>
      <c r="AZ26" s="47"/>
      <c r="BA26" s="51"/>
      <c r="BB26" s="47"/>
      <c r="BC26" s="446"/>
      <c r="BD26" s="446"/>
      <c r="BE26" s="446"/>
      <c r="BF26" s="446"/>
      <c r="BG26" s="446"/>
      <c r="BH26" s="446"/>
      <c r="BI26" s="446"/>
      <c r="BJ26" s="446"/>
      <c r="BK26" s="446"/>
      <c r="BL26" s="446"/>
      <c r="BM26" s="446"/>
      <c r="BN26" s="446"/>
      <c r="BO26" s="446"/>
      <c r="BP26" s="446"/>
      <c r="BQ26" s="446"/>
      <c r="BR26" s="446"/>
      <c r="BS26" s="446"/>
      <c r="BT26" s="446"/>
      <c r="BU26" s="446"/>
      <c r="BV26" s="446"/>
      <c r="BW26" s="446"/>
      <c r="BX26" s="446"/>
      <c r="BY26" s="446"/>
      <c r="BZ26" s="446"/>
      <c r="CA26" s="446"/>
      <c r="CB26" s="446"/>
      <c r="CC26" s="446"/>
      <c r="CD26" s="446"/>
      <c r="CE26" s="446"/>
      <c r="CF26" s="446"/>
      <c r="CG26" s="446"/>
      <c r="CH26" s="446"/>
      <c r="CI26" s="446"/>
      <c r="CJ26" s="446"/>
      <c r="CK26" s="446"/>
      <c r="CL26" s="446"/>
      <c r="CM26" s="446"/>
      <c r="CN26" s="446"/>
      <c r="CO26" s="446"/>
      <c r="CP26" s="446"/>
      <c r="CQ26" s="446"/>
      <c r="CR26" s="446"/>
      <c r="CS26" s="446"/>
      <c r="CT26" s="446"/>
    </row>
    <row r="27" spans="1:98">
      <c r="A27" s="446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8"/>
      <c r="T27" s="446"/>
      <c r="U27" s="446"/>
      <c r="V27" s="446"/>
      <c r="W27" s="446"/>
      <c r="X27" s="446"/>
      <c r="Y27" s="446"/>
      <c r="Z27" s="449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 t="s">
        <v>132</v>
      </c>
      <c r="AS27" s="449">
        <f>AS24</f>
        <v>0</v>
      </c>
      <c r="AT27" s="33"/>
      <c r="AU27" s="48"/>
      <c r="AV27" s="48"/>
      <c r="AW27" s="47"/>
      <c r="AX27" s="47">
        <f>AX24-AX7</f>
        <v>97866.299999999988</v>
      </c>
      <c r="AY27" s="10"/>
      <c r="AZ27" s="47"/>
      <c r="BA27" s="51"/>
      <c r="BB27" s="47"/>
      <c r="BC27" s="446"/>
      <c r="BD27" s="446"/>
      <c r="BE27" s="446"/>
      <c r="BF27" s="446"/>
      <c r="BG27" s="446"/>
      <c r="BH27" s="446"/>
      <c r="BI27" s="446"/>
      <c r="BJ27" s="446"/>
      <c r="BK27" s="446"/>
      <c r="BL27" s="446"/>
      <c r="BM27" s="446"/>
      <c r="BN27" s="446"/>
      <c r="BO27" s="446"/>
      <c r="BP27" s="446"/>
      <c r="BQ27" s="446"/>
      <c r="BR27" s="446"/>
      <c r="BS27" s="446"/>
      <c r="BT27" s="446"/>
      <c r="BU27" s="446"/>
      <c r="BV27" s="446"/>
      <c r="BW27" s="446"/>
      <c r="BX27" s="446"/>
      <c r="BY27" s="446"/>
      <c r="BZ27" s="446"/>
      <c r="CA27" s="446"/>
      <c r="CB27" s="446"/>
      <c r="CC27" s="446"/>
      <c r="CD27" s="446"/>
      <c r="CE27" s="446"/>
      <c r="CF27" s="446"/>
      <c r="CG27" s="446"/>
      <c r="CH27" s="446"/>
      <c r="CI27" s="446"/>
      <c r="CJ27" s="446"/>
      <c r="CK27" s="446"/>
      <c r="CL27" s="446"/>
      <c r="CM27" s="446"/>
      <c r="CN27" s="446"/>
      <c r="CO27" s="446"/>
      <c r="CP27" s="446"/>
      <c r="CQ27" s="446"/>
      <c r="CR27" s="446"/>
      <c r="CS27" s="446"/>
      <c r="CT27" s="446"/>
    </row>
    <row r="28" spans="1:98" s="9" customFormat="1">
      <c r="B28" s="9" t="s">
        <v>133</v>
      </c>
      <c r="C28" s="10" t="s">
        <v>115</v>
      </c>
      <c r="D28" s="9">
        <v>625</v>
      </c>
      <c r="S28" s="448"/>
      <c r="AR28" s="9" t="s">
        <v>134</v>
      </c>
      <c r="AS28" s="206">
        <f>AT24</f>
        <v>157292</v>
      </c>
      <c r="AW28" s="16"/>
      <c r="AX28" s="51"/>
      <c r="AZ28" s="47"/>
      <c r="BA28" s="51"/>
      <c r="BB28" s="10"/>
    </row>
    <row r="29" spans="1:98" s="9" customFormat="1">
      <c r="C29" s="9" t="s">
        <v>120</v>
      </c>
      <c r="D29" s="9">
        <v>625</v>
      </c>
      <c r="S29" s="448"/>
      <c r="AT29" s="16"/>
      <c r="AV29" s="16"/>
      <c r="AX29" s="10"/>
      <c r="AY29" s="10"/>
      <c r="AZ29" s="47"/>
      <c r="BA29" s="51"/>
      <c r="BB29" s="52"/>
    </row>
    <row r="30" spans="1:98" s="9" customFormat="1">
      <c r="C30" s="9" t="s">
        <v>125</v>
      </c>
      <c r="D30" s="9">
        <v>625</v>
      </c>
      <c r="S30" s="448"/>
      <c r="AT30" s="16"/>
      <c r="AV30" s="16"/>
      <c r="AX30" s="51" t="s">
        <v>135</v>
      </c>
      <c r="AY30" s="10">
        <f>AX24</f>
        <v>153716.29999999999</v>
      </c>
      <c r="AZ30" s="47"/>
      <c r="BA30" s="51"/>
      <c r="BB30" s="52"/>
    </row>
    <row r="31" spans="1:98" s="9" customFormat="1">
      <c r="S31" s="448"/>
      <c r="AT31" s="16"/>
      <c r="AV31" s="16"/>
      <c r="AZ31" s="47"/>
      <c r="BA31" s="51"/>
      <c r="BB31" s="52"/>
    </row>
    <row r="32" spans="1:98" s="9" customFormat="1">
      <c r="S32" s="448"/>
      <c r="AZ32" s="47"/>
      <c r="BA32" s="51"/>
      <c r="BB32" s="10"/>
    </row>
    <row r="33" spans="19:54" s="9" customFormat="1">
      <c r="S33" s="448"/>
      <c r="AS33" s="9" t="s">
        <v>136</v>
      </c>
      <c r="AT33" s="202">
        <f>AX7</f>
        <v>55850</v>
      </c>
      <c r="AW33" s="10"/>
      <c r="AZ33" s="47"/>
      <c r="BA33" s="51"/>
      <c r="BB33" s="33"/>
    </row>
    <row r="34" spans="19:54" s="9" customFormat="1">
      <c r="S34" s="448"/>
      <c r="AS34" s="9" t="s">
        <v>137</v>
      </c>
      <c r="AT34" s="219">
        <f>SUM(AT8:AT23)-AS24</f>
        <v>101442</v>
      </c>
      <c r="AZ34" s="47"/>
      <c r="BA34" s="51"/>
    </row>
    <row r="35" spans="19:54" s="9" customFormat="1">
      <c r="S35" s="448"/>
      <c r="AY35" s="10"/>
      <c r="AZ35" s="47"/>
      <c r="BA35" s="51"/>
    </row>
    <row r="36" spans="19:54" s="9" customFormat="1">
      <c r="S36" s="448"/>
      <c r="AY36" s="10"/>
    </row>
    <row r="37" spans="19:54" s="9" customFormat="1">
      <c r="S37" s="448"/>
    </row>
    <row r="38" spans="19:54" s="9" customFormat="1">
      <c r="S38" s="448"/>
    </row>
    <row r="39" spans="19:54" s="9" customFormat="1">
      <c r="S39" s="448"/>
    </row>
    <row r="40" spans="19:54" s="9" customFormat="1">
      <c r="S40" s="448"/>
    </row>
    <row r="41" spans="19:54" s="9" customFormat="1">
      <c r="S41" s="448"/>
    </row>
    <row r="42" spans="19:54" s="9" customFormat="1">
      <c r="S42" s="448"/>
    </row>
    <row r="43" spans="19:54" s="9" customFormat="1">
      <c r="S43" s="448"/>
    </row>
    <row r="44" spans="19:54" s="9" customFormat="1">
      <c r="S44" s="448"/>
    </row>
    <row r="45" spans="19:54" s="9" customFormat="1">
      <c r="S45" s="448"/>
    </row>
    <row r="46" spans="19:54" s="9" customFormat="1">
      <c r="S46" s="448"/>
    </row>
    <row r="47" spans="19:54" s="9" customFormat="1">
      <c r="S47" s="448"/>
    </row>
    <row r="48" spans="19:54" s="9" customFormat="1">
      <c r="S48" s="448"/>
      <c r="Z48" s="16"/>
    </row>
    <row r="49" spans="1:98" s="9" customFormat="1" ht="12">
      <c r="Z49" s="16"/>
    </row>
    <row r="50" spans="1:98" s="9" customFormat="1" ht="12"/>
    <row r="51" spans="1:98" s="9" customFormat="1" ht="12"/>
    <row r="52" spans="1:98" s="9" customFormat="1" ht="12"/>
    <row r="53" spans="1:98" s="9" customFormat="1" ht="12">
      <c r="AX53" s="5"/>
      <c r="AY53" s="5"/>
    </row>
    <row r="54" spans="1:98" s="5" customFormat="1">
      <c r="D54" s="11"/>
      <c r="F54" s="12"/>
      <c r="AP54" s="9"/>
      <c r="AQ54" s="9"/>
      <c r="AX54" s="446"/>
      <c r="AY54" s="446"/>
    </row>
    <row r="55" spans="1:98" ht="15" customHeight="1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9"/>
      <c r="AQ55" s="9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  <c r="BJ55" s="446"/>
      <c r="BK55" s="446"/>
      <c r="BL55" s="446"/>
      <c r="BM55" s="446"/>
      <c r="BN55" s="446"/>
      <c r="BO55" s="446"/>
      <c r="BP55" s="446"/>
      <c r="BQ55" s="446"/>
      <c r="BR55" s="446"/>
      <c r="BS55" s="446"/>
      <c r="BT55" s="446"/>
      <c r="BU55" s="446"/>
      <c r="BV55" s="446"/>
      <c r="BW55" s="446"/>
      <c r="BX55" s="446"/>
      <c r="BY55" s="446"/>
      <c r="BZ55" s="446"/>
      <c r="CA55" s="446"/>
      <c r="CB55" s="446"/>
      <c r="CC55" s="446"/>
      <c r="CD55" s="446"/>
      <c r="CE55" s="446"/>
      <c r="CF55" s="446"/>
      <c r="CG55" s="446"/>
      <c r="CH55" s="446"/>
      <c r="CI55" s="446"/>
      <c r="CJ55" s="446"/>
      <c r="CK55" s="446"/>
      <c r="CL55" s="446"/>
      <c r="CM55" s="446"/>
      <c r="CN55" s="446"/>
      <c r="CO55" s="446"/>
      <c r="CP55" s="446"/>
      <c r="CQ55" s="446"/>
      <c r="CR55" s="446"/>
      <c r="CS55" s="446"/>
      <c r="CT55" s="446"/>
    </row>
    <row r="56" spans="1:98" ht="15" customHeight="1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9"/>
      <c r="AQ56" s="9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  <c r="BJ56" s="446"/>
      <c r="BK56" s="446"/>
      <c r="BL56" s="446"/>
      <c r="BM56" s="446"/>
      <c r="BN56" s="446"/>
      <c r="BO56" s="446"/>
      <c r="BP56" s="446"/>
      <c r="BQ56" s="446"/>
      <c r="BR56" s="446"/>
      <c r="BS56" s="446"/>
      <c r="BT56" s="446"/>
      <c r="BU56" s="446"/>
      <c r="BV56" s="446"/>
      <c r="BW56" s="446"/>
      <c r="BX56" s="446"/>
      <c r="BY56" s="446"/>
      <c r="BZ56" s="446"/>
      <c r="CA56" s="446"/>
      <c r="CB56" s="446"/>
      <c r="CC56" s="446"/>
      <c r="CD56" s="446"/>
      <c r="CE56" s="446"/>
      <c r="CF56" s="446"/>
      <c r="CG56" s="446"/>
      <c r="CH56" s="446"/>
      <c r="CI56" s="446"/>
      <c r="CJ56" s="446"/>
      <c r="CK56" s="446"/>
      <c r="CL56" s="446"/>
      <c r="CM56" s="446"/>
      <c r="CN56" s="446"/>
      <c r="CO56" s="446"/>
      <c r="CP56" s="446"/>
      <c r="CQ56" s="446"/>
      <c r="CR56" s="446"/>
      <c r="CS56" s="446"/>
      <c r="CT56" s="446"/>
    </row>
    <row r="57" spans="1:98" ht="15" customHeight="1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9"/>
      <c r="AQ57" s="9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  <c r="BJ57" s="446"/>
      <c r="BK57" s="446"/>
      <c r="BL57" s="446"/>
      <c r="BM57" s="446"/>
      <c r="BN57" s="446"/>
      <c r="BO57" s="446"/>
      <c r="BP57" s="446"/>
      <c r="BQ57" s="446"/>
      <c r="BR57" s="446"/>
      <c r="BS57" s="446"/>
      <c r="BT57" s="446"/>
      <c r="BU57" s="446"/>
      <c r="BV57" s="446"/>
      <c r="BW57" s="446"/>
      <c r="BX57" s="446"/>
      <c r="BY57" s="446"/>
      <c r="BZ57" s="446"/>
      <c r="CA57" s="446"/>
      <c r="CB57" s="446"/>
      <c r="CC57" s="446"/>
      <c r="CD57" s="446"/>
      <c r="CE57" s="446"/>
      <c r="CF57" s="446"/>
      <c r="CG57" s="446"/>
      <c r="CH57" s="446"/>
      <c r="CI57" s="446"/>
      <c r="CJ57" s="446"/>
      <c r="CK57" s="446"/>
      <c r="CL57" s="446"/>
      <c r="CM57" s="446"/>
      <c r="CN57" s="446"/>
      <c r="CO57" s="446"/>
      <c r="CP57" s="446"/>
      <c r="CQ57" s="446"/>
      <c r="CR57" s="446"/>
      <c r="CS57" s="446"/>
      <c r="CT57" s="446"/>
    </row>
    <row r="58" spans="1:98" ht="15" customHeight="1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9"/>
      <c r="AQ58" s="9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  <c r="BJ58" s="446"/>
      <c r="BK58" s="446"/>
      <c r="BL58" s="446"/>
      <c r="BM58" s="446"/>
      <c r="BN58" s="446"/>
      <c r="BO58" s="446"/>
      <c r="BP58" s="446"/>
      <c r="BQ58" s="446"/>
      <c r="BR58" s="446"/>
      <c r="BS58" s="446"/>
      <c r="BT58" s="446"/>
      <c r="BU58" s="446"/>
      <c r="BV58" s="446"/>
      <c r="BW58" s="446"/>
      <c r="BX58" s="446"/>
      <c r="BY58" s="446"/>
      <c r="BZ58" s="446"/>
      <c r="CA58" s="446"/>
      <c r="CB58" s="446"/>
      <c r="CC58" s="446"/>
      <c r="CD58" s="446"/>
      <c r="CE58" s="446"/>
      <c r="CF58" s="446"/>
      <c r="CG58" s="446"/>
      <c r="CH58" s="446"/>
      <c r="CI58" s="446"/>
      <c r="CJ58" s="446"/>
      <c r="CK58" s="446"/>
      <c r="CL58" s="446"/>
      <c r="CM58" s="446"/>
      <c r="CN58" s="446"/>
      <c r="CO58" s="446"/>
      <c r="CP58" s="446"/>
      <c r="CQ58" s="446"/>
      <c r="CR58" s="446"/>
      <c r="CS58" s="446"/>
      <c r="CT58" s="446"/>
    </row>
    <row r="59" spans="1:98" ht="15" customHeight="1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9"/>
      <c r="AQ59" s="9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  <c r="BJ59" s="446"/>
      <c r="BK59" s="446"/>
      <c r="BL59" s="446"/>
      <c r="BM59" s="446"/>
      <c r="BN59" s="446"/>
      <c r="BO59" s="446"/>
      <c r="BP59" s="446"/>
      <c r="BQ59" s="446"/>
      <c r="BR59" s="446"/>
      <c r="BS59" s="446"/>
      <c r="BT59" s="446"/>
      <c r="BU59" s="446"/>
      <c r="BV59" s="446"/>
      <c r="BW59" s="446"/>
      <c r="BX59" s="446"/>
      <c r="BY59" s="446"/>
      <c r="BZ59" s="446"/>
      <c r="CA59" s="446"/>
      <c r="CB59" s="446"/>
      <c r="CC59" s="446"/>
      <c r="CD59" s="446"/>
      <c r="CE59" s="446"/>
      <c r="CF59" s="446"/>
      <c r="CG59" s="446"/>
      <c r="CH59" s="446"/>
      <c r="CI59" s="446"/>
      <c r="CJ59" s="446"/>
      <c r="CK59" s="446"/>
      <c r="CL59" s="446"/>
      <c r="CM59" s="446"/>
      <c r="CN59" s="446"/>
      <c r="CO59" s="446"/>
      <c r="CP59" s="446"/>
      <c r="CQ59" s="446"/>
      <c r="CR59" s="446"/>
      <c r="CS59" s="446"/>
      <c r="CT59" s="446"/>
    </row>
    <row r="60" spans="1:98" ht="15" customHeight="1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9"/>
      <c r="AQ60" s="9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  <c r="BJ60" s="446"/>
      <c r="BK60" s="446"/>
      <c r="BL60" s="446"/>
      <c r="BM60" s="446"/>
      <c r="BN60" s="446"/>
      <c r="BO60" s="446"/>
      <c r="BP60" s="446"/>
      <c r="BQ60" s="446"/>
      <c r="BR60" s="446"/>
      <c r="BS60" s="446"/>
      <c r="BT60" s="446"/>
      <c r="BU60" s="446"/>
      <c r="BV60" s="446"/>
      <c r="BW60" s="446"/>
      <c r="BX60" s="446"/>
      <c r="BY60" s="446"/>
      <c r="BZ60" s="446"/>
      <c r="CA60" s="446"/>
      <c r="CB60" s="446"/>
      <c r="CC60" s="446"/>
      <c r="CD60" s="446"/>
      <c r="CE60" s="446"/>
      <c r="CF60" s="446"/>
      <c r="CG60" s="446"/>
      <c r="CH60" s="446"/>
      <c r="CI60" s="446"/>
      <c r="CJ60" s="446"/>
      <c r="CK60" s="446"/>
      <c r="CL60" s="446"/>
      <c r="CM60" s="446"/>
      <c r="CN60" s="446"/>
      <c r="CO60" s="446"/>
      <c r="CP60" s="446"/>
      <c r="CQ60" s="446"/>
      <c r="CR60" s="446"/>
      <c r="CS60" s="446"/>
      <c r="CT60" s="446"/>
    </row>
    <row r="61" spans="1:98" ht="15" customHeight="1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  <c r="BJ61" s="446"/>
      <c r="BK61" s="446"/>
      <c r="BL61" s="446"/>
      <c r="BM61" s="446"/>
      <c r="BN61" s="446"/>
      <c r="BO61" s="446"/>
      <c r="BP61" s="446"/>
      <c r="BQ61" s="446"/>
      <c r="BR61" s="446"/>
      <c r="BS61" s="446"/>
      <c r="BT61" s="446"/>
      <c r="BU61" s="446"/>
      <c r="BV61" s="446"/>
      <c r="BW61" s="446"/>
      <c r="BX61" s="446"/>
      <c r="BY61" s="446"/>
      <c r="BZ61" s="446"/>
      <c r="CA61" s="446"/>
      <c r="CB61" s="446"/>
      <c r="CC61" s="446"/>
      <c r="CD61" s="446"/>
      <c r="CE61" s="446"/>
      <c r="CF61" s="446"/>
      <c r="CG61" s="446"/>
      <c r="CH61" s="446"/>
      <c r="CI61" s="446"/>
      <c r="CJ61" s="446"/>
      <c r="CK61" s="446"/>
      <c r="CL61" s="446"/>
      <c r="CM61" s="446"/>
      <c r="CN61" s="446"/>
      <c r="CO61" s="446"/>
      <c r="CP61" s="446"/>
      <c r="CQ61" s="446"/>
      <c r="CR61" s="446"/>
      <c r="CS61" s="446"/>
      <c r="CT61" s="446"/>
    </row>
    <row r="62" spans="1:98" ht="15" customHeight="1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  <c r="BJ62" s="446"/>
      <c r="BK62" s="446"/>
      <c r="BL62" s="446"/>
      <c r="BM62" s="446"/>
      <c r="BN62" s="446"/>
      <c r="BO62" s="446"/>
      <c r="BP62" s="446"/>
      <c r="BQ62" s="446"/>
      <c r="BR62" s="446"/>
      <c r="BS62" s="446"/>
      <c r="BT62" s="446"/>
      <c r="BU62" s="446"/>
      <c r="BV62" s="446"/>
      <c r="BW62" s="446"/>
      <c r="BX62" s="446"/>
      <c r="BY62" s="446"/>
      <c r="BZ62" s="446"/>
      <c r="CA62" s="446"/>
      <c r="CB62" s="446"/>
      <c r="CC62" s="446"/>
      <c r="CD62" s="446"/>
      <c r="CE62" s="446"/>
      <c r="CF62" s="446"/>
      <c r="CG62" s="446"/>
      <c r="CH62" s="446"/>
      <c r="CI62" s="446"/>
      <c r="CJ62" s="446"/>
      <c r="CK62" s="446"/>
      <c r="CL62" s="446"/>
      <c r="CM62" s="446"/>
      <c r="CN62" s="446"/>
      <c r="CO62" s="446"/>
      <c r="CP62" s="446"/>
      <c r="CQ62" s="446"/>
      <c r="CR62" s="446"/>
      <c r="CS62" s="446"/>
      <c r="CT62" s="446"/>
    </row>
    <row r="63" spans="1:98" ht="15" customHeight="1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  <c r="BJ63" s="446"/>
      <c r="BK63" s="446"/>
      <c r="BL63" s="446"/>
      <c r="BM63" s="446"/>
      <c r="BN63" s="446"/>
      <c r="BO63" s="446"/>
      <c r="BP63" s="446"/>
      <c r="BQ63" s="446"/>
      <c r="BR63" s="446"/>
      <c r="BS63" s="446"/>
      <c r="BT63" s="446"/>
      <c r="BU63" s="446"/>
      <c r="BV63" s="446"/>
      <c r="BW63" s="446"/>
      <c r="BX63" s="446"/>
      <c r="BY63" s="446"/>
      <c r="BZ63" s="446"/>
      <c r="CA63" s="446"/>
      <c r="CB63" s="446"/>
      <c r="CC63" s="446"/>
      <c r="CD63" s="446"/>
      <c r="CE63" s="446"/>
      <c r="CF63" s="446"/>
      <c r="CG63" s="446"/>
      <c r="CH63" s="446"/>
      <c r="CI63" s="446"/>
      <c r="CJ63" s="446"/>
      <c r="CK63" s="446"/>
      <c r="CL63" s="446"/>
      <c r="CM63" s="446"/>
      <c r="CN63" s="446"/>
      <c r="CO63" s="446"/>
      <c r="CP63" s="446"/>
      <c r="CQ63" s="446"/>
      <c r="CR63" s="446"/>
      <c r="CS63" s="446"/>
      <c r="CT63" s="446"/>
    </row>
    <row r="64" spans="1:98" ht="15" customHeight="1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  <c r="BJ64" s="446"/>
      <c r="BK64" s="446"/>
      <c r="BL64" s="446"/>
      <c r="BM64" s="446"/>
      <c r="BN64" s="446"/>
      <c r="BO64" s="446"/>
      <c r="BP64" s="446"/>
      <c r="BQ64" s="446"/>
      <c r="BR64" s="446"/>
      <c r="BS64" s="446"/>
      <c r="BT64" s="446"/>
      <c r="BU64" s="446"/>
      <c r="BV64" s="446"/>
      <c r="BW64" s="446"/>
      <c r="BX64" s="446"/>
      <c r="BY64" s="446"/>
      <c r="BZ64" s="446"/>
      <c r="CA64" s="446"/>
      <c r="CB64" s="446"/>
      <c r="CC64" s="446"/>
      <c r="CD64" s="446"/>
      <c r="CE64" s="446"/>
      <c r="CF64" s="446"/>
      <c r="CG64" s="446"/>
      <c r="CH64" s="446"/>
      <c r="CI64" s="446"/>
      <c r="CJ64" s="446"/>
      <c r="CK64" s="446"/>
      <c r="CL64" s="446"/>
      <c r="CM64" s="446"/>
      <c r="CN64" s="446"/>
      <c r="CO64" s="446"/>
      <c r="CP64" s="446"/>
      <c r="CQ64" s="446"/>
      <c r="CR64" s="446"/>
      <c r="CS64" s="446"/>
      <c r="CT64" s="446"/>
    </row>
    <row r="65" spans="1:98" ht="15" customHeight="1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  <c r="BJ65" s="446"/>
      <c r="BK65" s="446"/>
      <c r="BL65" s="446"/>
      <c r="BM65" s="446"/>
      <c r="BN65" s="446"/>
      <c r="BO65" s="446"/>
      <c r="BP65" s="446"/>
      <c r="BQ65" s="446"/>
      <c r="BR65" s="446"/>
      <c r="BS65" s="446"/>
      <c r="BT65" s="446"/>
      <c r="BU65" s="446"/>
      <c r="BV65" s="446"/>
      <c r="BW65" s="446"/>
      <c r="BX65" s="446"/>
      <c r="BY65" s="446"/>
      <c r="BZ65" s="446"/>
      <c r="CA65" s="446"/>
      <c r="CB65" s="446"/>
      <c r="CC65" s="446"/>
      <c r="CD65" s="446"/>
      <c r="CE65" s="446"/>
      <c r="CF65" s="446"/>
      <c r="CG65" s="446"/>
      <c r="CH65" s="446"/>
      <c r="CI65" s="446"/>
      <c r="CJ65" s="446"/>
      <c r="CK65" s="446"/>
      <c r="CL65" s="446"/>
      <c r="CM65" s="446"/>
      <c r="CN65" s="446"/>
      <c r="CO65" s="446"/>
      <c r="CP65" s="446"/>
      <c r="CQ65" s="446"/>
      <c r="CR65" s="446"/>
      <c r="CS65" s="446"/>
      <c r="CT65" s="446"/>
    </row>
    <row r="66" spans="1:98" ht="15" customHeight="1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  <c r="BJ66" s="446"/>
      <c r="BK66" s="446"/>
      <c r="BL66" s="446"/>
      <c r="BM66" s="446"/>
      <c r="BN66" s="446"/>
      <c r="BO66" s="446"/>
      <c r="BP66" s="446"/>
      <c r="BQ66" s="446"/>
      <c r="BR66" s="446"/>
      <c r="BS66" s="446"/>
      <c r="BT66" s="446"/>
      <c r="BU66" s="446"/>
      <c r="BV66" s="446"/>
      <c r="BW66" s="446"/>
      <c r="BX66" s="446"/>
      <c r="BY66" s="446"/>
      <c r="BZ66" s="446"/>
      <c r="CA66" s="446"/>
      <c r="CB66" s="446"/>
      <c r="CC66" s="446"/>
      <c r="CD66" s="446"/>
      <c r="CE66" s="446"/>
      <c r="CF66" s="446"/>
      <c r="CG66" s="446"/>
      <c r="CH66" s="446"/>
      <c r="CI66" s="446"/>
      <c r="CJ66" s="446"/>
      <c r="CK66" s="446"/>
      <c r="CL66" s="446"/>
      <c r="CM66" s="446"/>
      <c r="CN66" s="446"/>
      <c r="CO66" s="446"/>
      <c r="CP66" s="446"/>
      <c r="CQ66" s="446"/>
      <c r="CR66" s="446"/>
      <c r="CS66" s="446"/>
      <c r="CT66" s="446"/>
    </row>
    <row r="67" spans="1:98" ht="15" customHeight="1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  <c r="BJ67" s="446"/>
      <c r="BK67" s="446"/>
      <c r="BL67" s="446"/>
      <c r="BM67" s="446"/>
      <c r="BN67" s="446"/>
      <c r="BO67" s="446"/>
      <c r="BP67" s="446"/>
      <c r="BQ67" s="446"/>
      <c r="BR67" s="446"/>
      <c r="BS67" s="446"/>
      <c r="BT67" s="446"/>
      <c r="BU67" s="446"/>
      <c r="BV67" s="446"/>
      <c r="BW67" s="446"/>
      <c r="BX67" s="446"/>
      <c r="BY67" s="446"/>
      <c r="BZ67" s="446"/>
      <c r="CA67" s="446"/>
      <c r="CB67" s="446"/>
      <c r="CC67" s="446"/>
      <c r="CD67" s="446"/>
      <c r="CE67" s="446"/>
      <c r="CF67" s="446"/>
      <c r="CG67" s="446"/>
      <c r="CH67" s="446"/>
      <c r="CI67" s="446"/>
      <c r="CJ67" s="446"/>
      <c r="CK67" s="446"/>
      <c r="CL67" s="446"/>
      <c r="CM67" s="446"/>
      <c r="CN67" s="446"/>
      <c r="CO67" s="446"/>
      <c r="CP67" s="446"/>
      <c r="CQ67" s="446"/>
      <c r="CR67" s="446"/>
      <c r="CS67" s="446"/>
      <c r="CT67" s="446"/>
    </row>
    <row r="68" spans="1:98" ht="15" customHeight="1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  <c r="BJ68" s="446"/>
      <c r="BK68" s="446"/>
      <c r="BL68" s="446"/>
      <c r="BM68" s="446"/>
      <c r="BN68" s="446"/>
      <c r="BO68" s="446"/>
      <c r="BP68" s="446"/>
      <c r="BQ68" s="446"/>
      <c r="BR68" s="446"/>
      <c r="BS68" s="446"/>
      <c r="BT68" s="446"/>
      <c r="BU68" s="446"/>
      <c r="BV68" s="446"/>
      <c r="BW68" s="446"/>
      <c r="BX68" s="446"/>
      <c r="BY68" s="446"/>
      <c r="BZ68" s="446"/>
      <c r="CA68" s="446"/>
      <c r="CB68" s="446"/>
      <c r="CC68" s="446"/>
      <c r="CD68" s="446"/>
      <c r="CE68" s="446"/>
      <c r="CF68" s="446"/>
      <c r="CG68" s="446"/>
      <c r="CH68" s="446"/>
      <c r="CI68" s="446"/>
      <c r="CJ68" s="446"/>
      <c r="CK68" s="446"/>
      <c r="CL68" s="446"/>
      <c r="CM68" s="446"/>
      <c r="CN68" s="446"/>
      <c r="CO68" s="446"/>
      <c r="CP68" s="446"/>
      <c r="CQ68" s="446"/>
      <c r="CR68" s="446"/>
      <c r="CS68" s="446"/>
      <c r="CT68" s="446"/>
    </row>
    <row r="69" spans="1:98" ht="15" customHeight="1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  <c r="BJ69" s="446"/>
      <c r="BK69" s="446"/>
      <c r="BL69" s="446"/>
      <c r="BM69" s="446"/>
      <c r="BN69" s="446"/>
      <c r="BO69" s="446"/>
      <c r="BP69" s="446"/>
      <c r="BQ69" s="446"/>
      <c r="BR69" s="446"/>
      <c r="BS69" s="446"/>
      <c r="BT69" s="446"/>
      <c r="BU69" s="446"/>
      <c r="BV69" s="446"/>
      <c r="BW69" s="446"/>
      <c r="BX69" s="446"/>
      <c r="BY69" s="446"/>
      <c r="BZ69" s="446"/>
      <c r="CA69" s="446"/>
      <c r="CB69" s="446"/>
      <c r="CC69" s="446"/>
      <c r="CD69" s="446"/>
      <c r="CE69" s="446"/>
      <c r="CF69" s="446"/>
      <c r="CG69" s="446"/>
      <c r="CH69" s="446"/>
      <c r="CI69" s="446"/>
      <c r="CJ69" s="446"/>
      <c r="CK69" s="446"/>
      <c r="CL69" s="446"/>
      <c r="CM69" s="446"/>
      <c r="CN69" s="446"/>
      <c r="CO69" s="446"/>
      <c r="CP69" s="446"/>
      <c r="CQ69" s="446"/>
      <c r="CR69" s="446"/>
      <c r="CS69" s="446"/>
      <c r="CT69" s="446"/>
    </row>
    <row r="70" spans="1:98" ht="15" customHeight="1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  <c r="BJ70" s="446"/>
      <c r="BK70" s="446"/>
      <c r="BL70" s="446"/>
      <c r="BM70" s="446"/>
      <c r="BN70" s="446"/>
      <c r="BO70" s="446"/>
      <c r="BP70" s="446"/>
      <c r="BQ70" s="446"/>
      <c r="BR70" s="446"/>
      <c r="BS70" s="446"/>
      <c r="BT70" s="446"/>
      <c r="BU70" s="446"/>
      <c r="BV70" s="446"/>
      <c r="BW70" s="446"/>
      <c r="BX70" s="446"/>
      <c r="BY70" s="446"/>
      <c r="BZ70" s="446"/>
      <c r="CA70" s="446"/>
      <c r="CB70" s="446"/>
      <c r="CC70" s="446"/>
      <c r="CD70" s="446"/>
      <c r="CE70" s="446"/>
      <c r="CF70" s="446"/>
      <c r="CG70" s="446"/>
      <c r="CH70" s="446"/>
      <c r="CI70" s="446"/>
      <c r="CJ70" s="446"/>
      <c r="CK70" s="446"/>
      <c r="CL70" s="446"/>
      <c r="CM70" s="446"/>
      <c r="CN70" s="446"/>
      <c r="CO70" s="446"/>
      <c r="CP70" s="446"/>
      <c r="CQ70" s="446"/>
      <c r="CR70" s="446"/>
      <c r="CS70" s="446"/>
      <c r="CT70" s="446"/>
    </row>
    <row r="71" spans="1:98" ht="15" customHeight="1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  <c r="BJ71" s="446"/>
      <c r="BK71" s="446"/>
      <c r="BL71" s="446"/>
      <c r="BM71" s="446"/>
      <c r="BN71" s="446"/>
      <c r="BO71" s="446"/>
      <c r="BP71" s="446"/>
      <c r="BQ71" s="446"/>
      <c r="BR71" s="446"/>
      <c r="BS71" s="446"/>
      <c r="BT71" s="446"/>
      <c r="BU71" s="446"/>
      <c r="BV71" s="446"/>
      <c r="BW71" s="446"/>
      <c r="BX71" s="446"/>
      <c r="BY71" s="446"/>
      <c r="BZ71" s="446"/>
      <c r="CA71" s="446"/>
      <c r="CB71" s="446"/>
      <c r="CC71" s="446"/>
      <c r="CD71" s="446"/>
      <c r="CE71" s="446"/>
      <c r="CF71" s="446"/>
      <c r="CG71" s="446"/>
      <c r="CH71" s="446"/>
      <c r="CI71" s="446"/>
      <c r="CJ71" s="446"/>
      <c r="CK71" s="446"/>
      <c r="CL71" s="446"/>
      <c r="CM71" s="446"/>
      <c r="CN71" s="446"/>
      <c r="CO71" s="446"/>
      <c r="CP71" s="446"/>
      <c r="CQ71" s="446"/>
      <c r="CR71" s="446"/>
      <c r="CS71" s="446"/>
      <c r="CT71" s="446"/>
    </row>
    <row r="72" spans="1:98" ht="15" customHeight="1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  <c r="BJ72" s="446"/>
      <c r="BK72" s="446"/>
      <c r="BL72" s="446"/>
      <c r="BM72" s="446"/>
      <c r="BN72" s="446"/>
      <c r="BO72" s="446"/>
      <c r="BP72" s="446"/>
      <c r="BQ72" s="446"/>
      <c r="BR72" s="446"/>
      <c r="BS72" s="446"/>
      <c r="BT72" s="446"/>
      <c r="BU72" s="446"/>
      <c r="BV72" s="446"/>
      <c r="BW72" s="446"/>
      <c r="BX72" s="446"/>
      <c r="BY72" s="446"/>
      <c r="BZ72" s="446"/>
      <c r="CA72" s="446"/>
      <c r="CB72" s="446"/>
      <c r="CC72" s="446"/>
      <c r="CD72" s="446"/>
      <c r="CE72" s="446"/>
      <c r="CF72" s="446"/>
      <c r="CG72" s="446"/>
      <c r="CH72" s="446"/>
      <c r="CI72" s="446"/>
      <c r="CJ72" s="446"/>
      <c r="CK72" s="446"/>
      <c r="CL72" s="446"/>
      <c r="CM72" s="446"/>
      <c r="CN72" s="446"/>
      <c r="CO72" s="446"/>
      <c r="CP72" s="446"/>
      <c r="CQ72" s="446"/>
      <c r="CR72" s="446"/>
      <c r="CS72" s="446"/>
      <c r="CT72" s="446"/>
    </row>
    <row r="73" spans="1:98" ht="15" customHeight="1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  <c r="BJ73" s="446"/>
      <c r="BK73" s="446"/>
      <c r="BL73" s="446"/>
      <c r="BM73" s="446"/>
      <c r="BN73" s="446"/>
      <c r="BO73" s="446"/>
      <c r="BP73" s="446"/>
      <c r="BQ73" s="446"/>
      <c r="BR73" s="446"/>
      <c r="BS73" s="446"/>
      <c r="BT73" s="446"/>
      <c r="BU73" s="446"/>
      <c r="BV73" s="446"/>
      <c r="BW73" s="446"/>
      <c r="BX73" s="446"/>
      <c r="BY73" s="446"/>
      <c r="BZ73" s="446"/>
      <c r="CA73" s="446"/>
      <c r="CB73" s="446"/>
      <c r="CC73" s="446"/>
      <c r="CD73" s="446"/>
      <c r="CE73" s="446"/>
      <c r="CF73" s="446"/>
      <c r="CG73" s="446"/>
      <c r="CH73" s="446"/>
      <c r="CI73" s="446"/>
      <c r="CJ73" s="446"/>
      <c r="CK73" s="446"/>
      <c r="CL73" s="446"/>
      <c r="CM73" s="446"/>
      <c r="CN73" s="446"/>
      <c r="CO73" s="446"/>
      <c r="CP73" s="446"/>
      <c r="CQ73" s="446"/>
      <c r="CR73" s="446"/>
      <c r="CS73" s="446"/>
      <c r="CT73" s="446"/>
    </row>
    <row r="74" spans="1:98" ht="15" customHeight="1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  <c r="BJ74" s="446"/>
      <c r="BK74" s="446"/>
      <c r="BL74" s="446"/>
      <c r="BM74" s="446"/>
      <c r="BN74" s="446"/>
      <c r="BO74" s="446"/>
      <c r="BP74" s="446"/>
      <c r="BQ74" s="446"/>
      <c r="BR74" s="446"/>
      <c r="BS74" s="446"/>
      <c r="BT74" s="446"/>
      <c r="BU74" s="446"/>
      <c r="BV74" s="446"/>
      <c r="BW74" s="446"/>
      <c r="BX74" s="446"/>
      <c r="BY74" s="446"/>
      <c r="BZ74" s="446"/>
      <c r="CA74" s="446"/>
      <c r="CB74" s="446"/>
      <c r="CC74" s="446"/>
      <c r="CD74" s="446"/>
      <c r="CE74" s="446"/>
      <c r="CF74" s="446"/>
      <c r="CG74" s="446"/>
      <c r="CH74" s="446"/>
      <c r="CI74" s="446"/>
      <c r="CJ74" s="446"/>
      <c r="CK74" s="446"/>
      <c r="CL74" s="446"/>
      <c r="CM74" s="446"/>
      <c r="CN74" s="446"/>
      <c r="CO74" s="446"/>
      <c r="CP74" s="446"/>
      <c r="CQ74" s="446"/>
      <c r="CR74" s="446"/>
      <c r="CS74" s="446"/>
      <c r="CT74" s="446"/>
    </row>
    <row r="75" spans="1:98" ht="15" customHeight="1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  <c r="BJ75" s="446"/>
      <c r="BK75" s="446"/>
      <c r="BL75" s="446"/>
      <c r="BM75" s="446"/>
      <c r="BN75" s="446"/>
      <c r="BO75" s="446"/>
      <c r="BP75" s="446"/>
      <c r="BQ75" s="446"/>
      <c r="BR75" s="446"/>
      <c r="BS75" s="446"/>
      <c r="BT75" s="446"/>
      <c r="BU75" s="446"/>
      <c r="BV75" s="446"/>
      <c r="BW75" s="446"/>
      <c r="BX75" s="446"/>
      <c r="BY75" s="446"/>
      <c r="BZ75" s="446"/>
      <c r="CA75" s="446"/>
      <c r="CB75" s="446"/>
      <c r="CC75" s="446"/>
      <c r="CD75" s="446"/>
      <c r="CE75" s="446"/>
      <c r="CF75" s="446"/>
      <c r="CG75" s="446"/>
      <c r="CH75" s="446"/>
      <c r="CI75" s="446"/>
      <c r="CJ75" s="446"/>
      <c r="CK75" s="446"/>
      <c r="CL75" s="446"/>
      <c r="CM75" s="446"/>
      <c r="CN75" s="446"/>
      <c r="CO75" s="446"/>
      <c r="CP75" s="446"/>
      <c r="CQ75" s="446"/>
      <c r="CR75" s="446"/>
      <c r="CS75" s="446"/>
      <c r="CT75" s="446"/>
    </row>
    <row r="76" spans="1:98" ht="15" customHeight="1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  <c r="BJ76" s="446"/>
      <c r="BK76" s="446"/>
      <c r="BL76" s="446"/>
      <c r="BM76" s="446"/>
      <c r="BN76" s="446"/>
      <c r="BO76" s="446"/>
      <c r="BP76" s="446"/>
      <c r="BQ76" s="446"/>
      <c r="BR76" s="446"/>
      <c r="BS76" s="446"/>
      <c r="BT76" s="446"/>
      <c r="BU76" s="446"/>
      <c r="BV76" s="446"/>
      <c r="BW76" s="446"/>
      <c r="BX76" s="446"/>
      <c r="BY76" s="446"/>
      <c r="BZ76" s="446"/>
      <c r="CA76" s="446"/>
      <c r="CB76" s="446"/>
      <c r="CC76" s="446"/>
      <c r="CD76" s="446"/>
      <c r="CE76" s="446"/>
      <c r="CF76" s="446"/>
      <c r="CG76" s="446"/>
      <c r="CH76" s="446"/>
      <c r="CI76" s="446"/>
      <c r="CJ76" s="446"/>
      <c r="CK76" s="446"/>
      <c r="CL76" s="446"/>
      <c r="CM76" s="446"/>
      <c r="CN76" s="446"/>
      <c r="CO76" s="446"/>
      <c r="CP76" s="446"/>
      <c r="CQ76" s="446"/>
      <c r="CR76" s="446"/>
      <c r="CS76" s="446"/>
      <c r="CT76" s="446"/>
    </row>
    <row r="77" spans="1:98" ht="15" customHeight="1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  <c r="BJ77" s="446"/>
      <c r="BK77" s="446"/>
      <c r="BL77" s="446"/>
      <c r="BM77" s="446"/>
      <c r="BN77" s="446"/>
      <c r="BO77" s="446"/>
      <c r="BP77" s="446"/>
      <c r="BQ77" s="446"/>
      <c r="BR77" s="446"/>
      <c r="BS77" s="446"/>
      <c r="BT77" s="446"/>
      <c r="BU77" s="446"/>
      <c r="BV77" s="446"/>
      <c r="BW77" s="446"/>
      <c r="BX77" s="446"/>
      <c r="BY77" s="446"/>
      <c r="BZ77" s="446"/>
      <c r="CA77" s="446"/>
      <c r="CB77" s="446"/>
      <c r="CC77" s="446"/>
      <c r="CD77" s="446"/>
      <c r="CE77" s="446"/>
      <c r="CF77" s="446"/>
      <c r="CG77" s="446"/>
      <c r="CH77" s="446"/>
      <c r="CI77" s="446"/>
      <c r="CJ77" s="446"/>
      <c r="CK77" s="446"/>
      <c r="CL77" s="446"/>
      <c r="CM77" s="446"/>
      <c r="CN77" s="446"/>
      <c r="CO77" s="446"/>
      <c r="CP77" s="446"/>
      <c r="CQ77" s="446"/>
      <c r="CR77" s="446"/>
      <c r="CS77" s="446"/>
      <c r="CT77" s="446"/>
    </row>
    <row r="78" spans="1:98" ht="15" customHeight="1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  <c r="BJ78" s="446"/>
      <c r="BK78" s="446"/>
      <c r="BL78" s="446"/>
      <c r="BM78" s="446"/>
      <c r="BN78" s="446"/>
      <c r="BO78" s="446"/>
      <c r="BP78" s="446"/>
      <c r="BQ78" s="446"/>
      <c r="BR78" s="446"/>
      <c r="BS78" s="446"/>
      <c r="BT78" s="446"/>
      <c r="BU78" s="446"/>
      <c r="BV78" s="446"/>
      <c r="BW78" s="446"/>
      <c r="BX78" s="446"/>
      <c r="BY78" s="446"/>
      <c r="BZ78" s="446"/>
      <c r="CA78" s="446"/>
      <c r="CB78" s="446"/>
      <c r="CC78" s="446"/>
      <c r="CD78" s="446"/>
      <c r="CE78" s="446"/>
      <c r="CF78" s="446"/>
      <c r="CG78" s="446"/>
      <c r="CH78" s="446"/>
      <c r="CI78" s="446"/>
      <c r="CJ78" s="446"/>
      <c r="CK78" s="446"/>
      <c r="CL78" s="446"/>
      <c r="CM78" s="446"/>
      <c r="CN78" s="446"/>
      <c r="CO78" s="446"/>
      <c r="CP78" s="446"/>
      <c r="CQ78" s="446"/>
      <c r="CR78" s="446"/>
      <c r="CS78" s="446"/>
      <c r="CT78" s="446"/>
    </row>
    <row r="79" spans="1:98" ht="15" customHeight="1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  <c r="BJ79" s="446"/>
      <c r="BK79" s="446"/>
      <c r="BL79" s="446"/>
      <c r="BM79" s="446"/>
      <c r="BN79" s="446"/>
      <c r="BO79" s="446"/>
      <c r="BP79" s="446"/>
      <c r="BQ79" s="446"/>
      <c r="BR79" s="446"/>
      <c r="BS79" s="446"/>
      <c r="BT79" s="446"/>
      <c r="BU79" s="446"/>
      <c r="BV79" s="446"/>
      <c r="BW79" s="446"/>
      <c r="BX79" s="446"/>
      <c r="BY79" s="446"/>
      <c r="BZ79" s="446"/>
      <c r="CA79" s="446"/>
      <c r="CB79" s="446"/>
      <c r="CC79" s="446"/>
      <c r="CD79" s="446"/>
      <c r="CE79" s="446"/>
      <c r="CF79" s="446"/>
      <c r="CG79" s="446"/>
      <c r="CH79" s="446"/>
      <c r="CI79" s="446"/>
      <c r="CJ79" s="446"/>
      <c r="CK79" s="446"/>
      <c r="CL79" s="446"/>
      <c r="CM79" s="446"/>
      <c r="CN79" s="446"/>
      <c r="CO79" s="446"/>
      <c r="CP79" s="446"/>
      <c r="CQ79" s="446"/>
      <c r="CR79" s="446"/>
      <c r="CS79" s="446"/>
      <c r="CT79" s="446"/>
    </row>
  </sheetData>
  <mergeCells count="37">
    <mergeCell ref="E1:F1"/>
    <mergeCell ref="A3:BB3"/>
    <mergeCell ref="H4:AT4"/>
    <mergeCell ref="BB4:BB6"/>
    <mergeCell ref="AX5:AX6"/>
    <mergeCell ref="AT5:AT6"/>
    <mergeCell ref="AW5:AW6"/>
    <mergeCell ref="J5:J6"/>
    <mergeCell ref="A4:G4"/>
    <mergeCell ref="A5:A6"/>
    <mergeCell ref="B5:B6"/>
    <mergeCell ref="C5:C6"/>
    <mergeCell ref="D5:D6"/>
    <mergeCell ref="E5:E6"/>
    <mergeCell ref="F5:F6"/>
    <mergeCell ref="K5:K6"/>
    <mergeCell ref="AU26:AV26"/>
    <mergeCell ref="H5:H6"/>
    <mergeCell ref="I5:I6"/>
    <mergeCell ref="M5:M6"/>
    <mergeCell ref="AQ5:AQ6"/>
    <mergeCell ref="AG5:AM5"/>
    <mergeCell ref="AN5:AP5"/>
    <mergeCell ref="N5:S5"/>
    <mergeCell ref="T5:AB5"/>
    <mergeCell ref="AC5:AC6"/>
    <mergeCell ref="AD5:AF5"/>
    <mergeCell ref="AR5:AR6"/>
    <mergeCell ref="AY4:BA4"/>
    <mergeCell ref="AY5:AY6"/>
    <mergeCell ref="AZ5:AZ6"/>
    <mergeCell ref="BA5:BA6"/>
    <mergeCell ref="G5:G6"/>
    <mergeCell ref="AU5:AU6"/>
    <mergeCell ref="L5:L6"/>
    <mergeCell ref="AV5:AV6"/>
    <mergeCell ref="AS5:AS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273B-6307-44AA-A089-286A06173294}">
  <dimension ref="A1:P57"/>
  <sheetViews>
    <sheetView topLeftCell="A17" workbookViewId="0">
      <selection activeCell="A50" sqref="A50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20.25" customHeight="1">
      <c r="A8" s="369" t="s">
        <v>142</v>
      </c>
      <c r="B8" s="370"/>
      <c r="C8" s="371"/>
      <c r="D8" s="375" t="str">
        <f>'Infos Mensuelles'!B7</f>
        <v>EUZET</v>
      </c>
      <c r="E8" s="376"/>
      <c r="F8" s="377"/>
      <c r="G8" s="381"/>
      <c r="H8" s="382" t="s">
        <v>143</v>
      </c>
      <c r="I8" s="383"/>
      <c r="J8" s="384">
        <f>'Infos Mensuelles'!F7</f>
        <v>50209057840806</v>
      </c>
      <c r="K8" s="385"/>
      <c r="L8" s="386"/>
    </row>
    <row r="9" spans="1:12" ht="21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Mensuelles'!D7</f>
        <v>44573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21" customHeight="1">
      <c r="A11" s="369" t="s">
        <v>145</v>
      </c>
      <c r="B11" s="370"/>
      <c r="C11" s="371"/>
      <c r="D11" s="375" t="str">
        <f>'Infos Mensuelles'!C7</f>
        <v>Laurent</v>
      </c>
      <c r="E11" s="376"/>
      <c r="F11" s="377"/>
      <c r="G11" s="381"/>
      <c r="H11" s="392" t="s">
        <v>146</v>
      </c>
      <c r="I11" s="393"/>
      <c r="J11" s="396" t="str">
        <f>'Infos Mensuelles'!G7</f>
        <v>General Manager</v>
      </c>
      <c r="K11" s="397"/>
      <c r="L11" s="398"/>
    </row>
    <row r="12" spans="1:12" ht="25.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Mensuelles'!N7</f>
        <v>21</v>
      </c>
      <c r="E16" s="307" t="s">
        <v>149</v>
      </c>
      <c r="F16" s="308"/>
      <c r="G16" s="308"/>
      <c r="H16" s="69">
        <f>'Infos Mensuelles'!AG7</f>
        <v>0</v>
      </c>
      <c r="I16" s="303" t="s">
        <v>150</v>
      </c>
      <c r="J16" s="304"/>
      <c r="K16" s="304"/>
      <c r="L16" s="32">
        <f>'Infos Mensuelles'!W7</f>
        <v>0</v>
      </c>
    </row>
    <row r="17" spans="1:16">
      <c r="A17" s="305" t="s">
        <v>151</v>
      </c>
      <c r="B17" s="306"/>
      <c r="C17" s="306"/>
      <c r="D17" s="29">
        <f>'Infos Mensuelles'!P7</f>
        <v>1</v>
      </c>
      <c r="E17" s="68" t="s">
        <v>152</v>
      </c>
      <c r="F17" s="19"/>
      <c r="G17" s="19"/>
      <c r="H17" s="70">
        <f>'Infos Mensuelles'!AJ7</f>
        <v>0</v>
      </c>
      <c r="I17" s="305" t="s">
        <v>153</v>
      </c>
      <c r="J17" s="306"/>
      <c r="K17" s="306"/>
      <c r="L17" s="31">
        <f>'Infos Mensuelles'!U7</f>
        <v>0</v>
      </c>
    </row>
    <row r="18" spans="1:16">
      <c r="A18" s="305" t="s">
        <v>154</v>
      </c>
      <c r="B18" s="306"/>
      <c r="C18" s="306"/>
      <c r="D18" s="29">
        <f>'Infos Mensuelles'!O7</f>
        <v>9</v>
      </c>
      <c r="E18" s="305" t="s">
        <v>155</v>
      </c>
      <c r="F18" s="306"/>
      <c r="G18" s="306"/>
      <c r="H18" s="70">
        <f>'Infos Mensuelles'!AJ7</f>
        <v>0</v>
      </c>
      <c r="I18" s="305" t="s">
        <v>156</v>
      </c>
      <c r="J18" s="306"/>
      <c r="K18" s="306"/>
      <c r="L18" s="31">
        <f>'Infos Mensuelles'!T7</f>
        <v>0</v>
      </c>
    </row>
    <row r="19" spans="1:16">
      <c r="A19" s="305" t="s">
        <v>157</v>
      </c>
      <c r="B19" s="306"/>
      <c r="C19" s="306"/>
      <c r="D19" s="29">
        <f>'Infos Mensuelles'!R7</f>
        <v>0</v>
      </c>
      <c r="E19" s="305" t="s">
        <v>158</v>
      </c>
      <c r="F19" s="306"/>
      <c r="G19" s="306"/>
      <c r="H19" s="70">
        <f>'Infos Mensuelles'!Q7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Mensuelles'!S7</f>
        <v>31</v>
      </c>
      <c r="E20" s="346"/>
      <c r="F20" s="347"/>
      <c r="G20" s="347"/>
      <c r="H20" s="71"/>
      <c r="I20" s="346"/>
      <c r="J20" s="347"/>
      <c r="K20" s="347"/>
      <c r="L20" s="72"/>
    </row>
    <row r="21" spans="1:16">
      <c r="A21" s="402"/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4"/>
      <c r="P21" s="18"/>
    </row>
    <row r="22" spans="1:16">
      <c r="A22" s="402"/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4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Mensuelles'!H7</f>
        <v>31500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Mensuelles'!I7</f>
        <v>14000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Mensuelles'!J7</f>
        <v>2000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Mensuelles'!K7</f>
        <v>4000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Mensuelles'!L7</f>
        <v>4350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Mensuelles'!AI7</f>
        <v>0</v>
      </c>
      <c r="H32" s="284"/>
      <c r="I32" s="285"/>
      <c r="J32" s="286"/>
      <c r="K32" s="287"/>
      <c r="L32" s="288"/>
    </row>
    <row r="33" spans="1:12">
      <c r="A33" s="315" t="s">
        <v>152</v>
      </c>
      <c r="B33" s="316"/>
      <c r="C33" s="316"/>
      <c r="D33" s="316"/>
      <c r="E33" s="316"/>
      <c r="F33" s="434"/>
      <c r="G33" s="283">
        <f>'Infos Mensuelles'!AL7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Mensuelles'!AP7</f>
        <v>0</v>
      </c>
      <c r="H34" s="284"/>
      <c r="I34" s="285"/>
      <c r="J34" s="286"/>
      <c r="K34" s="287"/>
      <c r="L34" s="288"/>
    </row>
    <row r="35" spans="1:12" ht="15" customHeight="1">
      <c r="A35" s="315" t="s">
        <v>168</v>
      </c>
      <c r="B35" s="316"/>
      <c r="C35" s="316"/>
      <c r="D35" s="316"/>
      <c r="E35" s="316"/>
      <c r="F35" s="434"/>
      <c r="G35" s="283">
        <f>'Infos Mensuelles'!AS7</f>
        <v>0</v>
      </c>
      <c r="H35" s="284"/>
      <c r="I35" s="285"/>
      <c r="J35" s="286"/>
      <c r="K35" s="287"/>
      <c r="L35" s="288"/>
    </row>
    <row r="36" spans="1:12" ht="15" customHeight="1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 ht="15" customHeight="1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Mensuelles'!AU7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Mensuelles'!AV7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Mensuelles'!AW7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Mensuelles'!AA7</f>
        <v>0</v>
      </c>
      <c r="K41" s="290"/>
      <c r="L41" s="291"/>
    </row>
    <row r="42" spans="1:12">
      <c r="A42" s="435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Mensuelles'!X7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Mensuelles'!Y7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Mensuelles'!Z7</f>
        <v>0</v>
      </c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SUM(G27:I34)</f>
        <v>55850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2" ht="30.75">
      <c r="A49" s="344" t="s">
        <v>177</v>
      </c>
      <c r="B49" s="345"/>
      <c r="C49" s="345"/>
      <c r="D49" s="345"/>
      <c r="E49" s="345"/>
      <c r="F49" s="345"/>
      <c r="G49" s="280">
        <f>G46-J46</f>
        <v>55850</v>
      </c>
      <c r="H49" s="281"/>
      <c r="I49" s="281"/>
      <c r="J49" s="281"/>
      <c r="K49" s="281"/>
      <c r="L49" s="282"/>
    </row>
    <row r="50" spans="1:12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2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2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</row>
    <row r="53" spans="1:12" s="21" customFormat="1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</row>
    <row r="54" spans="1:12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2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2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2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J45:L45"/>
    <mergeCell ref="A44:F44"/>
    <mergeCell ref="G44:I44"/>
    <mergeCell ref="J44:L44"/>
    <mergeCell ref="G53:L55"/>
    <mergeCell ref="A29:F29"/>
    <mergeCell ref="G29:I29"/>
    <mergeCell ref="J29:L29"/>
    <mergeCell ref="A32:F32"/>
    <mergeCell ref="A35:F35"/>
    <mergeCell ref="G35:I35"/>
    <mergeCell ref="J35:L35"/>
    <mergeCell ref="A42:F42"/>
    <mergeCell ref="G42:I42"/>
    <mergeCell ref="J42:L42"/>
    <mergeCell ref="A33:F33"/>
    <mergeCell ref="G33:I33"/>
    <mergeCell ref="J33:L33"/>
    <mergeCell ref="A34:F34"/>
    <mergeCell ref="G34:I34"/>
    <mergeCell ref="J34:L34"/>
    <mergeCell ref="A38:F38"/>
    <mergeCell ref="G38:I38"/>
    <mergeCell ref="J38:L38"/>
    <mergeCell ref="G37:I37"/>
    <mergeCell ref="A21:L22"/>
    <mergeCell ref="I17:K17"/>
    <mergeCell ref="A23:L23"/>
    <mergeCell ref="A24:F25"/>
    <mergeCell ref="G24:I25"/>
    <mergeCell ref="J24:L25"/>
    <mergeCell ref="A27:F27"/>
    <mergeCell ref="A28:F28"/>
    <mergeCell ref="G28:I28"/>
    <mergeCell ref="J28:L28"/>
    <mergeCell ref="A26:F26"/>
    <mergeCell ref="G26:I26"/>
    <mergeCell ref="J26:L26"/>
    <mergeCell ref="G27:I27"/>
    <mergeCell ref="J27:L27"/>
    <mergeCell ref="I18:K18"/>
    <mergeCell ref="E18:G18"/>
    <mergeCell ref="A19:C19"/>
    <mergeCell ref="A20:C20"/>
    <mergeCell ref="A10:L10"/>
    <mergeCell ref="A11:C12"/>
    <mergeCell ref="D11:F12"/>
    <mergeCell ref="G11:G12"/>
    <mergeCell ref="H11:I12"/>
    <mergeCell ref="J11:L12"/>
    <mergeCell ref="A36:F36"/>
    <mergeCell ref="G36:I36"/>
    <mergeCell ref="J36:L36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56:L57"/>
    <mergeCell ref="A30:F30"/>
    <mergeCell ref="G30:I30"/>
    <mergeCell ref="J30:L30"/>
    <mergeCell ref="A31:F31"/>
    <mergeCell ref="G31:I31"/>
    <mergeCell ref="J31:L31"/>
    <mergeCell ref="A54:C54"/>
    <mergeCell ref="D54:F54"/>
    <mergeCell ref="A55:C55"/>
    <mergeCell ref="D55:F55"/>
    <mergeCell ref="A50:L52"/>
    <mergeCell ref="A53:F53"/>
    <mergeCell ref="A46:F46"/>
    <mergeCell ref="G46:I46"/>
    <mergeCell ref="J46:L46"/>
    <mergeCell ref="A47:L48"/>
    <mergeCell ref="A49:F49"/>
    <mergeCell ref="A43:F43"/>
    <mergeCell ref="G43:I43"/>
    <mergeCell ref="J43:L43"/>
    <mergeCell ref="A39:F39"/>
    <mergeCell ref="G39:I39"/>
    <mergeCell ref="J39:L39"/>
    <mergeCell ref="G49:L49"/>
    <mergeCell ref="G32:I32"/>
    <mergeCell ref="J32:L32"/>
    <mergeCell ref="J37:L37"/>
    <mergeCell ref="A45:F45"/>
    <mergeCell ref="G45:I45"/>
    <mergeCell ref="A13:L14"/>
    <mergeCell ref="A15:L15"/>
    <mergeCell ref="A16:C16"/>
    <mergeCell ref="A18:C18"/>
    <mergeCell ref="I16:K16"/>
    <mergeCell ref="E16:G16"/>
    <mergeCell ref="A40:F40"/>
    <mergeCell ref="G40:I40"/>
    <mergeCell ref="J40:L40"/>
    <mergeCell ref="A41:F41"/>
    <mergeCell ref="G41:I41"/>
    <mergeCell ref="J41:L41"/>
    <mergeCell ref="I19:K19"/>
    <mergeCell ref="E19:G19"/>
    <mergeCell ref="A17:C17"/>
    <mergeCell ref="I20:K20"/>
    <mergeCell ref="E20:G20"/>
    <mergeCell ref="A37:F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26ED-66B3-43BD-9267-6B0E4B9B4B30}">
  <dimension ref="A1:P57"/>
  <sheetViews>
    <sheetView topLeftCell="A10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Mensuelles'!B8</f>
        <v>ELKASIER</v>
      </c>
      <c r="E8" s="376"/>
      <c r="F8" s="377"/>
      <c r="G8" s="381"/>
      <c r="H8" s="382" t="s">
        <v>143</v>
      </c>
      <c r="I8" s="383"/>
      <c r="J8" s="384" t="str">
        <f>'Infos Mensuelles'!F8</f>
        <v>_00102049605328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Mensuelles'!D8</f>
        <v>45182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Mensuelles'!C8</f>
        <v>Mohamed</v>
      </c>
      <c r="E11" s="376"/>
      <c r="F11" s="377"/>
      <c r="G11" s="381"/>
      <c r="H11" s="392" t="s">
        <v>146</v>
      </c>
      <c r="I11" s="393"/>
      <c r="J11" s="396" t="str">
        <f>'Infos Mensuelles'!G8</f>
        <v>Public relations Officer "Corporate Service Manager"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Mensuelles'!N8</f>
        <v>20</v>
      </c>
      <c r="E16" s="307" t="s">
        <v>149</v>
      </c>
      <c r="F16" s="308"/>
      <c r="G16" s="308"/>
      <c r="H16" s="69">
        <f>'Infos Mensuelles'!AG8</f>
        <v>0</v>
      </c>
      <c r="I16" s="303" t="s">
        <v>150</v>
      </c>
      <c r="J16" s="304"/>
      <c r="K16" s="304"/>
      <c r="L16" s="32">
        <f>'Infos Mensuelles'!W8</f>
        <v>0</v>
      </c>
    </row>
    <row r="17" spans="1:16">
      <c r="A17" s="305" t="s">
        <v>151</v>
      </c>
      <c r="B17" s="306"/>
      <c r="C17" s="306"/>
      <c r="D17" s="29">
        <f>'Infos Mensuelles'!P8</f>
        <v>0</v>
      </c>
      <c r="E17" s="68" t="s">
        <v>152</v>
      </c>
      <c r="F17" s="19"/>
      <c r="G17" s="19"/>
      <c r="H17" s="70">
        <f>'Infos Mensuelles'!AJ8</f>
        <v>0</v>
      </c>
      <c r="I17" s="305" t="s">
        <v>153</v>
      </c>
      <c r="J17" s="306"/>
      <c r="K17" s="306"/>
      <c r="L17" s="31">
        <f>'Infos Mensuelles'!U8</f>
        <v>0</v>
      </c>
    </row>
    <row r="18" spans="1:16">
      <c r="A18" s="305" t="s">
        <v>154</v>
      </c>
      <c r="B18" s="306"/>
      <c r="C18" s="306"/>
      <c r="D18" s="29">
        <f>'Infos Mensuelles'!O8</f>
        <v>7</v>
      </c>
      <c r="E18" s="305" t="s">
        <v>155</v>
      </c>
      <c r="F18" s="306"/>
      <c r="G18" s="306"/>
      <c r="H18" s="70">
        <f>'Infos Mensuelles'!AJ8</f>
        <v>0</v>
      </c>
      <c r="I18" s="305" t="s">
        <v>156</v>
      </c>
      <c r="J18" s="306"/>
      <c r="K18" s="306"/>
      <c r="L18" s="31">
        <f>'Infos Mensuelles'!T8</f>
        <v>0</v>
      </c>
    </row>
    <row r="19" spans="1:16">
      <c r="A19" s="305" t="s">
        <v>157</v>
      </c>
      <c r="B19" s="306"/>
      <c r="C19" s="306"/>
      <c r="D19" s="29">
        <f>'Infos Mensuelles'!R8</f>
        <v>0</v>
      </c>
      <c r="E19" s="305" t="s">
        <v>158</v>
      </c>
      <c r="F19" s="306"/>
      <c r="G19" s="306"/>
      <c r="H19" s="70">
        <f>'Infos Mensuelles'!Q8</f>
        <v>4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Mensuelles'!S8</f>
        <v>31</v>
      </c>
      <c r="E20" s="346"/>
      <c r="F20" s="347"/>
      <c r="G20" s="347"/>
      <c r="H20" s="71"/>
      <c r="I20" s="346"/>
      <c r="J20" s="347"/>
      <c r="K20" s="347"/>
      <c r="L20" s="72"/>
    </row>
    <row r="21" spans="1:16">
      <c r="A21" s="402"/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4"/>
      <c r="P21" s="18"/>
    </row>
    <row r="22" spans="1:16">
      <c r="A22" s="402"/>
      <c r="B22" s="403"/>
      <c r="C22" s="403"/>
      <c r="D22" s="403"/>
      <c r="E22" s="403"/>
      <c r="F22" s="403"/>
      <c r="G22" s="403"/>
      <c r="H22" s="403"/>
      <c r="I22" s="403"/>
      <c r="J22" s="403"/>
      <c r="K22" s="403"/>
      <c r="L22" s="404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Mensuelles'!H8</f>
        <v>8800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Mensuelles'!I8</f>
        <v>3600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Mensuelles'!J8</f>
        <v>3600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Mensuelles'!K8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Mensuelles'!L8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Mensuelles'!AI8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Mensuelles'!AL8</f>
        <v>0</v>
      </c>
      <c r="H33" s="284"/>
      <c r="I33" s="285"/>
      <c r="J33" s="286"/>
      <c r="K33" s="287"/>
      <c r="L33" s="288"/>
    </row>
    <row r="34" spans="1:12">
      <c r="A34" s="315" t="s">
        <v>26</v>
      </c>
      <c r="B34" s="316"/>
      <c r="C34" s="316"/>
      <c r="D34" s="316"/>
      <c r="E34" s="316"/>
      <c r="F34" s="434"/>
      <c r="G34" s="283">
        <f>'Infos Mensuelles'!AP8</f>
        <v>0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Mensuelles'!AS8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Mensuelles'!AU8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Mensuelles'!AV8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Mensuelles'!AW8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Mensuelles'!AA8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Mensuelles'!X8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Mensuelles'!Y8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Mensuelles'!Z8</f>
        <v>0</v>
      </c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SUM(G27:I34)</f>
        <v>16000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16000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18:C18"/>
    <mergeCell ref="I19:K19"/>
    <mergeCell ref="I18:K18"/>
    <mergeCell ref="A19:C19"/>
    <mergeCell ref="A20:C20"/>
    <mergeCell ref="I20:K20"/>
    <mergeCell ref="A21:L22"/>
    <mergeCell ref="E19:G19"/>
    <mergeCell ref="E20:G20"/>
    <mergeCell ref="E18:G18"/>
    <mergeCell ref="A27:F27"/>
    <mergeCell ref="G27:I27"/>
    <mergeCell ref="J27:L27"/>
    <mergeCell ref="A28:F28"/>
    <mergeCell ref="G28:I28"/>
    <mergeCell ref="J28:L28"/>
    <mergeCell ref="A23:L23"/>
    <mergeCell ref="A24:F25"/>
    <mergeCell ref="G24:I25"/>
    <mergeCell ref="J24:L25"/>
    <mergeCell ref="A26:F26"/>
    <mergeCell ref="G26:I26"/>
    <mergeCell ref="J26:L26"/>
    <mergeCell ref="A30:F30"/>
    <mergeCell ref="G30:I30"/>
    <mergeCell ref="J30:L30"/>
    <mergeCell ref="A31:F31"/>
    <mergeCell ref="G31:I31"/>
    <mergeCell ref="J31:L31"/>
    <mergeCell ref="A29:F29"/>
    <mergeCell ref="G29:I29"/>
    <mergeCell ref="J29:L29"/>
    <mergeCell ref="G39:I39"/>
    <mergeCell ref="J39:L39"/>
    <mergeCell ref="A42:F42"/>
    <mergeCell ref="G42:I42"/>
    <mergeCell ref="A32:F32"/>
    <mergeCell ref="G32:I32"/>
    <mergeCell ref="J32:L32"/>
    <mergeCell ref="A33:F33"/>
    <mergeCell ref="G33:I33"/>
    <mergeCell ref="J33:L33"/>
    <mergeCell ref="J42:L42"/>
    <mergeCell ref="A34:F34"/>
    <mergeCell ref="G34:I34"/>
    <mergeCell ref="J34:L34"/>
    <mergeCell ref="A35:F35"/>
    <mergeCell ref="G35:I35"/>
    <mergeCell ref="J35:L35"/>
    <mergeCell ref="A38:F38"/>
    <mergeCell ref="G38:I38"/>
    <mergeCell ref="J38:L38"/>
    <mergeCell ref="A36:F36"/>
    <mergeCell ref="G36:I36"/>
    <mergeCell ref="J36:L36"/>
    <mergeCell ref="A37:F37"/>
    <mergeCell ref="G37:I37"/>
    <mergeCell ref="J37:L37"/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  <mergeCell ref="A45:F45"/>
    <mergeCell ref="G45:I45"/>
    <mergeCell ref="J45:L45"/>
    <mergeCell ref="A44:F44"/>
    <mergeCell ref="G44:I44"/>
    <mergeCell ref="J44:L44"/>
    <mergeCell ref="A39:F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F7F-2A54-46AA-9CED-C4EE8FD6F673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Mensuelles'!B9</f>
        <v>LAIJO FRANCIS</v>
      </c>
      <c r="E8" s="376"/>
      <c r="F8" s="377"/>
      <c r="G8" s="381"/>
      <c r="H8" s="382" t="s">
        <v>143</v>
      </c>
      <c r="I8" s="383"/>
      <c r="J8" s="384">
        <f>'Infos Mensuelles'!F9</f>
        <v>10013018976198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Mensuelles'!D9</f>
        <v>44942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Mensuelles'!C9</f>
        <v>Fancy</v>
      </c>
      <c r="E11" s="376"/>
      <c r="F11" s="377"/>
      <c r="G11" s="381"/>
      <c r="H11" s="392" t="s">
        <v>146</v>
      </c>
      <c r="I11" s="393"/>
      <c r="J11" s="396" t="str">
        <f>'Infos Mensuelles'!G9</f>
        <v>Accountant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Mensuelles'!N9</f>
        <v>7</v>
      </c>
      <c r="E16" s="307" t="s">
        <v>149</v>
      </c>
      <c r="F16" s="308"/>
      <c r="G16" s="308"/>
      <c r="H16" s="28">
        <f>'Infos Mensuelles'!AG9</f>
        <v>0</v>
      </c>
      <c r="I16" s="303" t="s">
        <v>150</v>
      </c>
      <c r="J16" s="304"/>
      <c r="K16" s="304"/>
      <c r="L16" s="32">
        <f>'Infos Mensuelles'!W9</f>
        <v>0</v>
      </c>
    </row>
    <row r="17" spans="1:16">
      <c r="A17" s="305" t="s">
        <v>151</v>
      </c>
      <c r="B17" s="306"/>
      <c r="C17" s="306"/>
      <c r="D17" s="29">
        <f>'Infos Mensuelles'!P9</f>
        <v>1</v>
      </c>
      <c r="E17" s="68" t="s">
        <v>152</v>
      </c>
      <c r="F17" s="19"/>
      <c r="G17" s="19"/>
      <c r="H17" s="70">
        <f>'Infos Mensuelles'!AJ9</f>
        <v>0</v>
      </c>
      <c r="I17" s="305" t="s">
        <v>153</v>
      </c>
      <c r="J17" s="306"/>
      <c r="K17" s="306"/>
      <c r="L17" s="31">
        <f>'Infos Mensuelles'!U9</f>
        <v>0</v>
      </c>
    </row>
    <row r="18" spans="1:16">
      <c r="A18" s="305" t="s">
        <v>154</v>
      </c>
      <c r="B18" s="306"/>
      <c r="C18" s="306"/>
      <c r="D18" s="29">
        <f>'Infos Mensuelles'!O9</f>
        <v>3</v>
      </c>
      <c r="E18" s="305" t="s">
        <v>155</v>
      </c>
      <c r="F18" s="306"/>
      <c r="G18" s="306"/>
      <c r="H18" s="70">
        <f>'Infos Mensuelles'!AJ9</f>
        <v>0</v>
      </c>
      <c r="I18" s="305" t="s">
        <v>156</v>
      </c>
      <c r="J18" s="306"/>
      <c r="K18" s="306"/>
      <c r="L18" s="31">
        <f>'Infos Mensuelles'!T9</f>
        <v>0</v>
      </c>
    </row>
    <row r="19" spans="1:16">
      <c r="A19" s="305" t="s">
        <v>157</v>
      </c>
      <c r="B19" s="306"/>
      <c r="C19" s="306"/>
      <c r="D19" s="29">
        <f>'Infos Mensuelles'!R9</f>
        <v>0</v>
      </c>
      <c r="E19" s="305" t="s">
        <v>158</v>
      </c>
      <c r="F19" s="306"/>
      <c r="G19" s="306"/>
      <c r="H19" s="70">
        <f>'Infos Mensuelles'!Q9</f>
        <v>20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Mensuelles'!S9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Mensuelles'!H9</f>
        <v>3600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Mensuelles'!I9</f>
        <v>1200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Mensuelles'!J9</f>
        <v>1200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Mensuelles'!K9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Mensuelles'!L9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Mensuelles'!AI9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Mensuelles'!AL9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Mensuelles'!AP9</f>
        <v>0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Mensuelles'!AS9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Mensuelles'!AU9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Mensuelles'!AV9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Mensuelles'!AW9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Mensuelles'!AA9</f>
        <v>0</v>
      </c>
      <c r="K41" s="290"/>
      <c r="L41" s="291"/>
    </row>
    <row r="42" spans="1:12">
      <c r="A42" s="435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Mensuelles'!X9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Mensuelles'!Y9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6000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>
      <c r="A48" s="294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6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6000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5" customHeight="1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20:C20"/>
    <mergeCell ref="E20:G20"/>
    <mergeCell ref="I20:K20"/>
    <mergeCell ref="A21:L22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I18:K18"/>
    <mergeCell ref="E19:G19"/>
    <mergeCell ref="I19:K19"/>
    <mergeCell ref="A10:L10"/>
    <mergeCell ref="A11:C12"/>
    <mergeCell ref="D11:F12"/>
    <mergeCell ref="G11:G12"/>
    <mergeCell ref="H11:I12"/>
    <mergeCell ref="J11:L12"/>
    <mergeCell ref="A18:C18"/>
    <mergeCell ref="A19:C19"/>
    <mergeCell ref="A13:L14"/>
    <mergeCell ref="A15:L15"/>
    <mergeCell ref="A17:C17"/>
    <mergeCell ref="A16:C16"/>
    <mergeCell ref="E16:G16"/>
    <mergeCell ref="I16:K16"/>
    <mergeCell ref="I17:K17"/>
    <mergeCell ref="E18:G18"/>
    <mergeCell ref="A28:F28"/>
    <mergeCell ref="G28:I28"/>
    <mergeCell ref="J28:L28"/>
    <mergeCell ref="G26:I26"/>
    <mergeCell ref="J26:L26"/>
    <mergeCell ref="A27:F27"/>
    <mergeCell ref="G27:I27"/>
    <mergeCell ref="J27:L27"/>
    <mergeCell ref="A26:F26"/>
    <mergeCell ref="A31:F31"/>
    <mergeCell ref="G31:I31"/>
    <mergeCell ref="J31:L31"/>
    <mergeCell ref="A32:F32"/>
    <mergeCell ref="G32:I32"/>
    <mergeCell ref="J32:L32"/>
    <mergeCell ref="A30:F30"/>
    <mergeCell ref="G30:I30"/>
    <mergeCell ref="J30:L30"/>
    <mergeCell ref="A35:F35"/>
    <mergeCell ref="G35:I35"/>
    <mergeCell ref="J35:L35"/>
    <mergeCell ref="A37:F37"/>
    <mergeCell ref="G37:I37"/>
    <mergeCell ref="J37:L37"/>
    <mergeCell ref="A39:F39"/>
    <mergeCell ref="G39:I39"/>
    <mergeCell ref="J39:L39"/>
    <mergeCell ref="A36:F36"/>
    <mergeCell ref="G36:I36"/>
    <mergeCell ref="J36:L36"/>
    <mergeCell ref="A38:F38"/>
    <mergeCell ref="G38:I38"/>
    <mergeCell ref="J38:L38"/>
    <mergeCell ref="A43:F43"/>
    <mergeCell ref="G43:I43"/>
    <mergeCell ref="J43:L43"/>
    <mergeCell ref="A42:F42"/>
    <mergeCell ref="G42:I42"/>
    <mergeCell ref="J42:L42"/>
    <mergeCell ref="A40:F40"/>
    <mergeCell ref="G40:I40"/>
    <mergeCell ref="J40:L40"/>
    <mergeCell ref="A41:F41"/>
    <mergeCell ref="G41:I41"/>
    <mergeCell ref="J41:L41"/>
    <mergeCell ref="A44:F44"/>
    <mergeCell ref="G44:I44"/>
    <mergeCell ref="J44:L44"/>
    <mergeCell ref="A45:F45"/>
    <mergeCell ref="G45:I45"/>
    <mergeCell ref="J45:L45"/>
    <mergeCell ref="A50:L52"/>
    <mergeCell ref="A53:F53"/>
    <mergeCell ref="G53:L55"/>
    <mergeCell ref="A23:L23"/>
    <mergeCell ref="A24:F25"/>
    <mergeCell ref="G24:I25"/>
    <mergeCell ref="J24:L25"/>
    <mergeCell ref="A34:F34"/>
    <mergeCell ref="G34:I34"/>
    <mergeCell ref="J34:L34"/>
    <mergeCell ref="A56:L57"/>
    <mergeCell ref="A33:F33"/>
    <mergeCell ref="G33:I33"/>
    <mergeCell ref="J33:L33"/>
    <mergeCell ref="A29:F29"/>
    <mergeCell ref="G29:I29"/>
    <mergeCell ref="J29:L29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</mergeCells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3418-71FC-4542-BBC3-C66868FEF247}">
  <sheetPr>
    <pageSetUpPr fitToPage="1"/>
  </sheetPr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Mensuelles'!B10</f>
        <v>VATTAMKANDATHIL JOSEPH AUGUSTIN</v>
      </c>
      <c r="E8" s="376"/>
      <c r="F8" s="377"/>
      <c r="G8" s="381"/>
      <c r="H8" s="382" t="s">
        <v>143</v>
      </c>
      <c r="I8" s="383"/>
      <c r="J8" s="384">
        <f>'Infos Mensuelles'!F10</f>
        <v>10020057573094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Mensuelles'!D10</f>
        <v>41768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Mensuelles'!C10</f>
        <v>Binumon</v>
      </c>
      <c r="E11" s="376"/>
      <c r="F11" s="377"/>
      <c r="G11" s="381"/>
      <c r="H11" s="392" t="s">
        <v>146</v>
      </c>
      <c r="I11" s="393"/>
      <c r="J11" s="396" t="str">
        <f>'Infos Mensuelles'!G10</f>
        <v>Operation Manager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Mensuelles'!N10</f>
        <v>25</v>
      </c>
      <c r="E16" s="307" t="s">
        <v>149</v>
      </c>
      <c r="F16" s="308"/>
      <c r="G16" s="308"/>
      <c r="H16" s="69">
        <f>'Infos Mensuelles'!AG10</f>
        <v>0</v>
      </c>
      <c r="I16" s="303" t="s">
        <v>150</v>
      </c>
      <c r="J16" s="304"/>
      <c r="K16" s="304"/>
      <c r="L16" s="32">
        <f>'Infos Mensuelles'!W10</f>
        <v>0</v>
      </c>
    </row>
    <row r="17" spans="1:16">
      <c r="A17" s="305" t="s">
        <v>151</v>
      </c>
      <c r="B17" s="306"/>
      <c r="C17" s="306"/>
      <c r="D17" s="29">
        <f>'Infos Mensuelles'!P10</f>
        <v>1</v>
      </c>
      <c r="E17" s="68" t="s">
        <v>152</v>
      </c>
      <c r="F17" s="19"/>
      <c r="G17" s="19"/>
      <c r="H17" s="70">
        <f>'Infos Mensuelles'!AJ10</f>
        <v>0</v>
      </c>
      <c r="I17" s="305" t="s">
        <v>153</v>
      </c>
      <c r="J17" s="306"/>
      <c r="K17" s="306"/>
      <c r="L17" s="31">
        <f>'Infos Mensuelles'!U10</f>
        <v>0</v>
      </c>
    </row>
    <row r="18" spans="1:16">
      <c r="A18" s="305" t="s">
        <v>154</v>
      </c>
      <c r="B18" s="306"/>
      <c r="C18" s="306"/>
      <c r="D18" s="29">
        <f>'Infos Mensuelles'!O10</f>
        <v>5</v>
      </c>
      <c r="E18" s="305" t="s">
        <v>155</v>
      </c>
      <c r="F18" s="306"/>
      <c r="G18" s="306"/>
      <c r="H18" s="70">
        <f>'Infos Mensuelles'!AJ10</f>
        <v>0</v>
      </c>
      <c r="I18" s="305" t="s">
        <v>156</v>
      </c>
      <c r="J18" s="306"/>
      <c r="K18" s="306"/>
      <c r="L18" s="31">
        <f>'Infos Mensuelles'!T10</f>
        <v>0</v>
      </c>
    </row>
    <row r="19" spans="1:16">
      <c r="A19" s="305" t="s">
        <v>157</v>
      </c>
      <c r="B19" s="306"/>
      <c r="C19" s="306"/>
      <c r="D19" s="29">
        <f>'Infos Mensuelles'!R10</f>
        <v>0</v>
      </c>
      <c r="E19" s="305" t="s">
        <v>158</v>
      </c>
      <c r="F19" s="306"/>
      <c r="G19" s="306"/>
      <c r="H19" s="70">
        <f>'Infos Mensuelles'!Q10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Mensuelles'!S10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Mensuelles'!H10</f>
        <v>5100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Mensuelles'!I10</f>
        <v>1700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Mensuelles'!J10</f>
        <v>1700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Mensuelles'!K10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Mensuelles'!L10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Mensuelles'!AI10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Mensuelles'!AL10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Mensuelles'!AP10</f>
        <v>279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Mensuelles'!AS10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Mensuelles'!AU10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Mensuelles'!AV10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Mensuelles'!AW10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Mensuelles'!AA10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Mensuelles'!X10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Mensuelles'!Y10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8779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8779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G31:I31"/>
    <mergeCell ref="J31:L31"/>
    <mergeCell ref="A18:C18"/>
    <mergeCell ref="I17:K17"/>
    <mergeCell ref="G26:I26"/>
    <mergeCell ref="J26:L26"/>
    <mergeCell ref="A27:F27"/>
    <mergeCell ref="G27:I27"/>
    <mergeCell ref="J27:L27"/>
    <mergeCell ref="I18:K18"/>
    <mergeCell ref="E19:G19"/>
    <mergeCell ref="I19:K19"/>
    <mergeCell ref="A21:L22"/>
    <mergeCell ref="A23:L23"/>
    <mergeCell ref="A24:F25"/>
    <mergeCell ref="G24:I25"/>
    <mergeCell ref="J24:L25"/>
    <mergeCell ref="E18:G18"/>
    <mergeCell ref="J29:L29"/>
    <mergeCell ref="A30:F30"/>
    <mergeCell ref="G30:I30"/>
    <mergeCell ref="J30:L30"/>
    <mergeCell ref="A31:F31"/>
    <mergeCell ref="A1:L1"/>
    <mergeCell ref="A2:L2"/>
    <mergeCell ref="A3:L3"/>
    <mergeCell ref="A4:L4"/>
    <mergeCell ref="A13:L14"/>
    <mergeCell ref="A15:L15"/>
    <mergeCell ref="E16:G16"/>
    <mergeCell ref="I16:K16"/>
    <mergeCell ref="A17:C17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J33:L33"/>
    <mergeCell ref="A56:L57"/>
    <mergeCell ref="A43:F43"/>
    <mergeCell ref="G43:I43"/>
    <mergeCell ref="J43:L43"/>
    <mergeCell ref="A54:C54"/>
    <mergeCell ref="D54:F54"/>
    <mergeCell ref="J44:L44"/>
    <mergeCell ref="A55:C55"/>
    <mergeCell ref="D55:F55"/>
    <mergeCell ref="A47:L48"/>
    <mergeCell ref="A49:F49"/>
    <mergeCell ref="G49:L49"/>
    <mergeCell ref="A45:F45"/>
    <mergeCell ref="A42:F42"/>
    <mergeCell ref="G42:I42"/>
    <mergeCell ref="J42:L42"/>
    <mergeCell ref="G38:I38"/>
    <mergeCell ref="J38:L38"/>
    <mergeCell ref="A44:F44"/>
    <mergeCell ref="G44:I44"/>
    <mergeCell ref="A16:C16"/>
    <mergeCell ref="A26:F26"/>
    <mergeCell ref="A19:C19"/>
    <mergeCell ref="G35:I35"/>
    <mergeCell ref="J35:L35"/>
    <mergeCell ref="A20:C20"/>
    <mergeCell ref="E20:G20"/>
    <mergeCell ref="I20:K20"/>
    <mergeCell ref="A34:F34"/>
    <mergeCell ref="G34:I34"/>
    <mergeCell ref="J34:L34"/>
    <mergeCell ref="A35:F35"/>
    <mergeCell ref="A28:F28"/>
    <mergeCell ref="G28:I28"/>
    <mergeCell ref="J28:L28"/>
    <mergeCell ref="A29:F29"/>
    <mergeCell ref="G29:I29"/>
    <mergeCell ref="A32:F32"/>
    <mergeCell ref="G32:I32"/>
    <mergeCell ref="J32:L32"/>
    <mergeCell ref="A33:F33"/>
    <mergeCell ref="G33:I33"/>
    <mergeCell ref="A50:L52"/>
    <mergeCell ref="A53:F53"/>
    <mergeCell ref="G53:L55"/>
    <mergeCell ref="J36:L36"/>
    <mergeCell ref="A37:F37"/>
    <mergeCell ref="A40:F40"/>
    <mergeCell ref="G40:I40"/>
    <mergeCell ref="J40:L40"/>
    <mergeCell ref="A36:F36"/>
    <mergeCell ref="G39:I39"/>
    <mergeCell ref="J39:L39"/>
    <mergeCell ref="G36:I36"/>
    <mergeCell ref="A39:F39"/>
    <mergeCell ref="G37:I37"/>
    <mergeCell ref="J37:L37"/>
    <mergeCell ref="G45:I45"/>
    <mergeCell ref="J45:L45"/>
    <mergeCell ref="A46:F46"/>
    <mergeCell ref="G46:I46"/>
    <mergeCell ref="J46:L46"/>
    <mergeCell ref="A38:F38"/>
    <mergeCell ref="A41:F41"/>
    <mergeCell ref="G41:I41"/>
    <mergeCell ref="J41:L41"/>
  </mergeCells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D2B4-B5B2-4AA3-864A-2F71DFC1587F}"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7" width="9.140625" style="17"/>
    <col min="8" max="8" width="13.140625" style="17" bestFit="1" customWidth="1"/>
    <col min="9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Mensuelles'!B11</f>
        <v>SASIDHARAN PUTHENAYATHIL RAGHAVAN</v>
      </c>
      <c r="E8" s="376"/>
      <c r="F8" s="377"/>
      <c r="G8" s="381"/>
      <c r="H8" s="382" t="s">
        <v>143</v>
      </c>
      <c r="I8" s="383"/>
      <c r="J8" s="384">
        <f>'Infos Mensuelles'!F11</f>
        <v>10012127956935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Mensuelles'!D11</f>
        <v>43002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Mensuelles'!C11</f>
        <v>Anoop</v>
      </c>
      <c r="E11" s="376"/>
      <c r="F11" s="377"/>
      <c r="G11" s="381"/>
      <c r="H11" s="392" t="s">
        <v>146</v>
      </c>
      <c r="I11" s="393"/>
      <c r="J11" s="396" t="str">
        <f>'Infos Mensuelles'!G11</f>
        <v>Archiev clerk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Mensuelles'!N11</f>
        <v>26</v>
      </c>
      <c r="E16" s="307" t="s">
        <v>149</v>
      </c>
      <c r="F16" s="308"/>
      <c r="G16" s="308"/>
      <c r="H16" s="69">
        <f>'Infos Mensuelles'!AG11</f>
        <v>0</v>
      </c>
      <c r="I16" s="303" t="s">
        <v>150</v>
      </c>
      <c r="J16" s="304"/>
      <c r="K16" s="304"/>
      <c r="L16" s="32">
        <f>'Infos Mensuelles'!W11</f>
        <v>0</v>
      </c>
    </row>
    <row r="17" spans="1:16">
      <c r="A17" s="305" t="s">
        <v>151</v>
      </c>
      <c r="B17" s="306"/>
      <c r="C17" s="306"/>
      <c r="D17" s="29">
        <f>'Infos Mensuelles'!P11</f>
        <v>1</v>
      </c>
      <c r="E17" s="68" t="s">
        <v>152</v>
      </c>
      <c r="F17" s="19"/>
      <c r="G17" s="19"/>
      <c r="H17" s="70">
        <f>'Infos Mensuelles'!AJ11</f>
        <v>0</v>
      </c>
      <c r="I17" s="305" t="s">
        <v>153</v>
      </c>
      <c r="J17" s="306"/>
      <c r="K17" s="306"/>
      <c r="L17" s="31">
        <f>'Infos Mensuelles'!U11</f>
        <v>0</v>
      </c>
    </row>
    <row r="18" spans="1:16">
      <c r="A18" s="305" t="s">
        <v>154</v>
      </c>
      <c r="B18" s="306"/>
      <c r="C18" s="306"/>
      <c r="D18" s="29">
        <f>'Infos Mensuelles'!O11</f>
        <v>4</v>
      </c>
      <c r="E18" s="305" t="s">
        <v>155</v>
      </c>
      <c r="F18" s="306"/>
      <c r="G18" s="306"/>
      <c r="H18" s="70">
        <f>'Infos Mensuelles'!AJ11</f>
        <v>0</v>
      </c>
      <c r="I18" s="305" t="s">
        <v>156</v>
      </c>
      <c r="J18" s="306"/>
      <c r="K18" s="306"/>
      <c r="L18" s="31">
        <f>'Infos Mensuelles'!T11</f>
        <v>0</v>
      </c>
    </row>
    <row r="19" spans="1:16">
      <c r="A19" s="305" t="s">
        <v>157</v>
      </c>
      <c r="B19" s="306"/>
      <c r="C19" s="306"/>
      <c r="D19" s="29">
        <f>'Infos Mensuelles'!R11</f>
        <v>0</v>
      </c>
      <c r="E19" s="305" t="s">
        <v>158</v>
      </c>
      <c r="F19" s="306"/>
      <c r="G19" s="306"/>
      <c r="H19" s="70">
        <f>'Infos Mensuelles'!Q11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Mensuelles'!S11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Mensuelles'!H11</f>
        <v>3900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Mensuelles'!I11</f>
        <v>1300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Mensuelles'!J11</f>
        <v>1300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Mensuelles'!K11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Mensuelles'!L11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Mensuelles'!AI11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Mensuelles'!AL11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Mensuelles'!AP11</f>
        <v>214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Mensuelles'!AS11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Mensuelles'!AU11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Mensuelles'!AV11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Mensuelles'!AW11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Mensuelles'!AA11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Mensuelles'!X11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Mensuelles'!Y11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6714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6714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28:F28"/>
    <mergeCell ref="G28:I28"/>
    <mergeCell ref="J28:L28"/>
    <mergeCell ref="A29:F29"/>
    <mergeCell ref="G29:I29"/>
    <mergeCell ref="J29:L29"/>
    <mergeCell ref="A38:F38"/>
    <mergeCell ref="G38:I38"/>
    <mergeCell ref="J38:L38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36:F36"/>
    <mergeCell ref="G36:I36"/>
    <mergeCell ref="J36:L36"/>
    <mergeCell ref="H8:I8"/>
    <mergeCell ref="J8:L8"/>
    <mergeCell ref="H9:I9"/>
    <mergeCell ref="J9:L9"/>
    <mergeCell ref="A10:L10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I17:K17"/>
    <mergeCell ref="I18:K18"/>
    <mergeCell ref="E19:G19"/>
    <mergeCell ref="I19:K19"/>
    <mergeCell ref="A11:C12"/>
    <mergeCell ref="D11:F12"/>
    <mergeCell ref="G11:G12"/>
    <mergeCell ref="H11:I12"/>
    <mergeCell ref="J11:L12"/>
    <mergeCell ref="A13:L14"/>
    <mergeCell ref="A15:L15"/>
    <mergeCell ref="A16:C16"/>
    <mergeCell ref="A17:C17"/>
    <mergeCell ref="A18:C18"/>
    <mergeCell ref="E16:G16"/>
    <mergeCell ref="I16:K16"/>
    <mergeCell ref="A19:C19"/>
    <mergeCell ref="E18:G18"/>
    <mergeCell ref="A26:F26"/>
    <mergeCell ref="G26:I26"/>
    <mergeCell ref="J26:L26"/>
    <mergeCell ref="A27:F27"/>
    <mergeCell ref="G27:I27"/>
    <mergeCell ref="J27:L27"/>
    <mergeCell ref="E20:G20"/>
    <mergeCell ref="I20:K20"/>
    <mergeCell ref="A21:L22"/>
    <mergeCell ref="A23:L23"/>
    <mergeCell ref="A24:F25"/>
    <mergeCell ref="G24:I25"/>
    <mergeCell ref="J24:L25"/>
    <mergeCell ref="A20:C20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55:C55"/>
    <mergeCell ref="D55:F55"/>
    <mergeCell ref="A56:L57"/>
    <mergeCell ref="A54:C54"/>
    <mergeCell ref="D54:F54"/>
    <mergeCell ref="A53:F53"/>
    <mergeCell ref="G53:L55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2C5-F358-4F2D-A4E6-3E914E62CD23}">
  <dimension ref="A1:P57"/>
  <sheetViews>
    <sheetView topLeftCell="A6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Mensuelles'!B12</f>
        <v>SHAREEQ MOHAMMED YUSUF ISMAIL</v>
      </c>
      <c r="E8" s="376"/>
      <c r="F8" s="377"/>
      <c r="G8" s="381"/>
      <c r="H8" s="382" t="s">
        <v>143</v>
      </c>
      <c r="I8" s="383"/>
      <c r="J8" s="384">
        <f>'Infos Mensuelles'!F12</f>
        <v>10027039033676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Mensuelles'!D12</f>
        <v>44243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Mensuelles'!C12</f>
        <v>Azeem</v>
      </c>
      <c r="E11" s="376"/>
      <c r="F11" s="377"/>
      <c r="G11" s="381"/>
      <c r="H11" s="392" t="s">
        <v>146</v>
      </c>
      <c r="I11" s="393"/>
      <c r="J11" s="396" t="str">
        <f>'Infos Mensuelles'!G12</f>
        <v>Filing clerk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Mensuelles'!N12</f>
        <v>25</v>
      </c>
      <c r="E16" s="307" t="s">
        <v>149</v>
      </c>
      <c r="F16" s="308"/>
      <c r="G16" s="308"/>
      <c r="H16" s="69">
        <f>'Infos Mensuelles'!AG12</f>
        <v>8</v>
      </c>
      <c r="I16" s="303" t="s">
        <v>150</v>
      </c>
      <c r="J16" s="304"/>
      <c r="K16" s="304"/>
      <c r="L16" s="32">
        <f>'Infos Mensuelles'!W12</f>
        <v>0</v>
      </c>
    </row>
    <row r="17" spans="1:16">
      <c r="A17" s="305" t="s">
        <v>151</v>
      </c>
      <c r="B17" s="306"/>
      <c r="C17" s="306"/>
      <c r="D17" s="29">
        <f>'Infos Mensuelles'!P12</f>
        <v>1</v>
      </c>
      <c r="E17" s="68" t="s">
        <v>152</v>
      </c>
      <c r="F17" s="19"/>
      <c r="G17" s="19"/>
      <c r="H17" s="70">
        <f>'Infos Mensuelles'!AJ12</f>
        <v>0</v>
      </c>
      <c r="I17" s="305" t="s">
        <v>153</v>
      </c>
      <c r="J17" s="306"/>
      <c r="K17" s="306"/>
      <c r="L17" s="31">
        <f>'Infos Mensuelles'!U12</f>
        <v>0</v>
      </c>
    </row>
    <row r="18" spans="1:16">
      <c r="A18" s="305" t="s">
        <v>154</v>
      </c>
      <c r="B18" s="306"/>
      <c r="C18" s="306"/>
      <c r="D18" s="29">
        <f>'Infos Mensuelles'!O12</f>
        <v>5</v>
      </c>
      <c r="E18" s="305" t="s">
        <v>155</v>
      </c>
      <c r="F18" s="306"/>
      <c r="G18" s="306"/>
      <c r="H18" s="70">
        <f>'Infos Mensuelles'!AJ12</f>
        <v>0</v>
      </c>
      <c r="I18" s="305" t="s">
        <v>156</v>
      </c>
      <c r="J18" s="306"/>
      <c r="K18" s="306"/>
      <c r="L18" s="31">
        <f>'Infos Mensuelles'!T12</f>
        <v>0</v>
      </c>
    </row>
    <row r="19" spans="1:16">
      <c r="A19" s="305" t="s">
        <v>157</v>
      </c>
      <c r="B19" s="306"/>
      <c r="C19" s="306"/>
      <c r="D19" s="29">
        <f>'Infos Mensuelles'!R12</f>
        <v>0</v>
      </c>
      <c r="E19" s="305" t="s">
        <v>158</v>
      </c>
      <c r="F19" s="306"/>
      <c r="G19" s="306"/>
      <c r="H19" s="70">
        <f>'Infos Mensuelles'!Q12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Mensuelles'!S12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Mensuelles'!H12</f>
        <v>3600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Mensuelles'!I12</f>
        <v>1200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Mensuelles'!J12</f>
        <v>1200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Mensuelles'!K12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Mensuelles'!L12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Mensuelles'!AI12</f>
        <v>128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Mensuelles'!AL12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Mensuelles'!AP12</f>
        <v>197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Mensuelles'!AS12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Mensuelles'!AU12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Mensuelles'!AV12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Mensuelles'!AW12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Mensuelles'!AA12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Mensuelles'!X12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Mensuelles'!Y12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6325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6325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1:L1"/>
    <mergeCell ref="A2:L2"/>
    <mergeCell ref="A3:L3"/>
    <mergeCell ref="A4:L4"/>
    <mergeCell ref="A5:L5"/>
    <mergeCell ref="H8:I8"/>
    <mergeCell ref="J8:L8"/>
    <mergeCell ref="H9:I9"/>
    <mergeCell ref="J9:L9"/>
    <mergeCell ref="E19:G19"/>
    <mergeCell ref="I19:K19"/>
    <mergeCell ref="A20:C20"/>
    <mergeCell ref="E20:G20"/>
    <mergeCell ref="I20:K20"/>
    <mergeCell ref="A6:L7"/>
    <mergeCell ref="A8:C9"/>
    <mergeCell ref="D8:F9"/>
    <mergeCell ref="G8:G9"/>
    <mergeCell ref="A55:C55"/>
    <mergeCell ref="D55:F55"/>
    <mergeCell ref="A56:L57"/>
    <mergeCell ref="A54:C54"/>
    <mergeCell ref="D54:F54"/>
    <mergeCell ref="A53:F53"/>
    <mergeCell ref="G53:L5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I17:K17"/>
    <mergeCell ref="A18:C18"/>
    <mergeCell ref="E18:G18"/>
    <mergeCell ref="I18:K18"/>
    <mergeCell ref="A19:C19"/>
    <mergeCell ref="A21:L22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A28:F28"/>
    <mergeCell ref="G28:I28"/>
    <mergeCell ref="J28:L28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33:F33"/>
    <mergeCell ref="G33:I33"/>
    <mergeCell ref="J33:L33"/>
    <mergeCell ref="A34:F34"/>
    <mergeCell ref="G34:I34"/>
    <mergeCell ref="J34:L34"/>
    <mergeCell ref="A35:F35"/>
    <mergeCell ref="G35:I35"/>
    <mergeCell ref="J35:L35"/>
    <mergeCell ref="A36:F36"/>
    <mergeCell ref="G36:I36"/>
    <mergeCell ref="J36:L36"/>
    <mergeCell ref="G46:I46"/>
    <mergeCell ref="A37:F37"/>
    <mergeCell ref="G37:I37"/>
    <mergeCell ref="J37:L37"/>
    <mergeCell ref="A38:F38"/>
    <mergeCell ref="G38:I38"/>
    <mergeCell ref="J38:L38"/>
    <mergeCell ref="A39:F39"/>
    <mergeCell ref="G39:I39"/>
    <mergeCell ref="J39:L39"/>
    <mergeCell ref="J46:L46"/>
    <mergeCell ref="A50:L52"/>
    <mergeCell ref="A40:F40"/>
    <mergeCell ref="G40:I40"/>
    <mergeCell ref="J40:L40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7:L48"/>
    <mergeCell ref="A49:F49"/>
    <mergeCell ref="G49:L49"/>
    <mergeCell ref="A44:F44"/>
    <mergeCell ref="G44:I44"/>
    <mergeCell ref="J44:L44"/>
    <mergeCell ref="A45:F45"/>
    <mergeCell ref="G45:I45"/>
    <mergeCell ref="J45:L45"/>
    <mergeCell ref="A46:F46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9CF-32F0-4FD3-B710-BB26271C0873}">
  <dimension ref="A1:P57"/>
  <sheetViews>
    <sheetView topLeftCell="A15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Mensuelles'!B13</f>
        <v>MOHAMED KASSIM</v>
      </c>
      <c r="E8" s="376"/>
      <c r="F8" s="377"/>
      <c r="G8" s="381"/>
      <c r="H8" s="382" t="s">
        <v>143</v>
      </c>
      <c r="I8" s="383"/>
      <c r="J8" s="384">
        <f>'Infos Mensuelles'!F13</f>
        <v>10025128665320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Mensuelles'!D13</f>
        <v>45231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Mensuelles'!C13</f>
        <v xml:space="preserve">Maideen </v>
      </c>
      <c r="E11" s="376"/>
      <c r="F11" s="377"/>
      <c r="G11" s="381"/>
      <c r="H11" s="392" t="s">
        <v>146</v>
      </c>
      <c r="I11" s="393"/>
      <c r="J11" s="396" t="str">
        <f>'Infos Mensuelles'!G13</f>
        <v>Messenger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Mensuelles'!N13</f>
        <v>24</v>
      </c>
      <c r="E16" s="307" t="s">
        <v>149</v>
      </c>
      <c r="F16" s="308"/>
      <c r="G16" s="308"/>
      <c r="H16" s="69">
        <f>'Infos Mensuelles'!AG13</f>
        <v>0</v>
      </c>
      <c r="I16" s="303" t="s">
        <v>150</v>
      </c>
      <c r="J16" s="304"/>
      <c r="K16" s="304"/>
      <c r="L16" s="32">
        <f>'Infos Mensuelles'!W13</f>
        <v>0</v>
      </c>
    </row>
    <row r="17" spans="1:16">
      <c r="A17" s="305" t="s">
        <v>151</v>
      </c>
      <c r="B17" s="306"/>
      <c r="C17" s="306"/>
      <c r="D17" s="29">
        <f>'Infos Mensuelles'!P13</f>
        <v>0</v>
      </c>
      <c r="E17" s="68" t="s">
        <v>152</v>
      </c>
      <c r="F17" s="19"/>
      <c r="G17" s="19"/>
      <c r="H17" s="70">
        <f>'Infos Mensuelles'!AJ13</f>
        <v>0</v>
      </c>
      <c r="I17" s="305" t="s">
        <v>153</v>
      </c>
      <c r="J17" s="306"/>
      <c r="K17" s="306"/>
      <c r="L17" s="31">
        <f>'Infos Mensuelles'!U13</f>
        <v>0</v>
      </c>
    </row>
    <row r="18" spans="1:16">
      <c r="A18" s="305" t="s">
        <v>154</v>
      </c>
      <c r="B18" s="306"/>
      <c r="C18" s="306"/>
      <c r="D18" s="29">
        <f>'Infos Mensuelles'!O13</f>
        <v>5</v>
      </c>
      <c r="E18" s="305" t="s">
        <v>155</v>
      </c>
      <c r="F18" s="306"/>
      <c r="G18" s="306"/>
      <c r="H18" s="70">
        <f>'Infos Mensuelles'!AJ13</f>
        <v>0</v>
      </c>
      <c r="I18" s="305" t="s">
        <v>156</v>
      </c>
      <c r="J18" s="306"/>
      <c r="K18" s="306"/>
      <c r="L18" s="31">
        <f>'Infos Mensuelles'!T13</f>
        <v>0</v>
      </c>
    </row>
    <row r="19" spans="1:16">
      <c r="A19" s="305" t="s">
        <v>157</v>
      </c>
      <c r="B19" s="306"/>
      <c r="C19" s="306"/>
      <c r="D19" s="29">
        <f>'Infos Mensuelles'!R13</f>
        <v>0</v>
      </c>
      <c r="E19" s="305" t="s">
        <v>158</v>
      </c>
      <c r="F19" s="306"/>
      <c r="G19" s="306"/>
      <c r="H19" s="70">
        <f>'Infos Mensuelles'!Q13</f>
        <v>2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Mensuelles'!S13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ht="16.5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  <c r="M24" s="20"/>
      <c r="N24" s="20"/>
      <c r="O24" s="20"/>
      <c r="P24" s="20"/>
    </row>
    <row r="25" spans="1:16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M25" s="20"/>
      <c r="N25" s="20"/>
      <c r="P25" s="20"/>
    </row>
    <row r="26" spans="1:16" s="20" customFormat="1" ht="14.45" customHeight="1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 s="20" customFormat="1" ht="16.5">
      <c r="A27" s="315" t="s">
        <v>165</v>
      </c>
      <c r="B27" s="316"/>
      <c r="C27" s="316"/>
      <c r="D27" s="316"/>
      <c r="E27" s="316"/>
      <c r="F27" s="316"/>
      <c r="G27" s="283">
        <f>'Infos Mensuelles'!H13</f>
        <v>3000</v>
      </c>
      <c r="H27" s="284"/>
      <c r="I27" s="284"/>
      <c r="J27" s="286"/>
      <c r="K27" s="287"/>
      <c r="L27" s="288"/>
      <c r="M27" s="17"/>
      <c r="N27" s="17"/>
      <c r="O27" s="17"/>
      <c r="P27" s="17"/>
    </row>
    <row r="28" spans="1:16" s="20" customFormat="1" ht="16.5">
      <c r="A28" s="315" t="s">
        <v>16</v>
      </c>
      <c r="B28" s="316"/>
      <c r="C28" s="316"/>
      <c r="D28" s="316"/>
      <c r="E28" s="316"/>
      <c r="F28" s="316"/>
      <c r="G28" s="283">
        <f>'Infos Mensuelles'!I13</f>
        <v>1000</v>
      </c>
      <c r="H28" s="284"/>
      <c r="I28" s="284"/>
      <c r="J28" s="286"/>
      <c r="K28" s="287"/>
      <c r="L28" s="288"/>
      <c r="M28" s="17"/>
      <c r="N28" s="17"/>
      <c r="O28" s="17"/>
      <c r="P28" s="17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Mensuelles'!J13</f>
        <v>1000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Mensuelles'!K13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Mensuelles'!L13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Mensuelles'!AI13</f>
        <v>0</v>
      </c>
      <c r="H32" s="284"/>
      <c r="I32" s="285"/>
      <c r="J32" s="286"/>
      <c r="K32" s="287"/>
      <c r="L32" s="288"/>
    </row>
    <row r="33" spans="1:12">
      <c r="A33" s="315" t="s">
        <v>152</v>
      </c>
      <c r="B33" s="316"/>
      <c r="C33" s="316"/>
      <c r="D33" s="316"/>
      <c r="E33" s="316"/>
      <c r="F33" s="434"/>
      <c r="G33" s="283">
        <f>'Infos Mensuelles'!AL13</f>
        <v>0</v>
      </c>
      <c r="H33" s="284"/>
      <c r="I33" s="285"/>
      <c r="J33" s="286"/>
      <c r="K33" s="287"/>
      <c r="L33" s="288"/>
    </row>
    <row r="34" spans="1:12">
      <c r="A34" s="315" t="s">
        <v>26</v>
      </c>
      <c r="B34" s="316"/>
      <c r="C34" s="316"/>
      <c r="D34" s="316"/>
      <c r="E34" s="316"/>
      <c r="F34" s="434"/>
      <c r="G34" s="283">
        <f>'Infos Mensuelles'!AP13</f>
        <v>0</v>
      </c>
      <c r="H34" s="284"/>
      <c r="I34" s="285"/>
      <c r="J34" s="286"/>
      <c r="K34" s="287"/>
      <c r="L34" s="288"/>
    </row>
    <row r="35" spans="1:12" ht="15" customHeight="1">
      <c r="A35" s="315" t="s">
        <v>168</v>
      </c>
      <c r="B35" s="316"/>
      <c r="C35" s="316"/>
      <c r="D35" s="316"/>
      <c r="E35" s="316"/>
      <c r="F35" s="434"/>
      <c r="G35" s="283">
        <f>'Infos Mensuelles'!AS13</f>
        <v>0</v>
      </c>
      <c r="H35" s="284"/>
      <c r="I35" s="285"/>
      <c r="J35" s="286"/>
      <c r="K35" s="287"/>
      <c r="L35" s="288"/>
    </row>
    <row r="36" spans="1:12" ht="15" customHeight="1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Mensuelles'!AU13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Mensuelles'!AV13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Mensuelles'!AW13</f>
        <v>1925.7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Mensuelles'!AA13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Mensuelles'!X13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Mensuelles'!Y13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5000</v>
      </c>
      <c r="H46" s="339"/>
      <c r="I46" s="340"/>
      <c r="J46" s="338">
        <f>SUM(J40:L45)</f>
        <v>1925.7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3074.3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30:F30"/>
    <mergeCell ref="G30:I30"/>
    <mergeCell ref="J30:L30"/>
    <mergeCell ref="A31:F31"/>
    <mergeCell ref="A40:F40"/>
    <mergeCell ref="G40:I40"/>
    <mergeCell ref="J40:L40"/>
    <mergeCell ref="A28:F28"/>
    <mergeCell ref="G28:I28"/>
    <mergeCell ref="J28:L28"/>
    <mergeCell ref="A29:F29"/>
    <mergeCell ref="G29:I29"/>
    <mergeCell ref="J29:L29"/>
    <mergeCell ref="G31:I31"/>
    <mergeCell ref="J31:L31"/>
    <mergeCell ref="A32:F32"/>
    <mergeCell ref="G32:I32"/>
    <mergeCell ref="J32:L32"/>
    <mergeCell ref="A36:F36"/>
    <mergeCell ref="G36:I36"/>
    <mergeCell ref="J36:L36"/>
    <mergeCell ref="A39:F39"/>
    <mergeCell ref="G39:I39"/>
    <mergeCell ref="J39:L39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A35:F35"/>
    <mergeCell ref="G35:I35"/>
    <mergeCell ref="J35:L35"/>
    <mergeCell ref="A33:F33"/>
    <mergeCell ref="G33:I33"/>
    <mergeCell ref="J33:L33"/>
    <mergeCell ref="A34:F34"/>
    <mergeCell ref="G34:I34"/>
    <mergeCell ref="J34:L34"/>
    <mergeCell ref="A13:L14"/>
    <mergeCell ref="A18:C18"/>
    <mergeCell ref="A19:C19"/>
    <mergeCell ref="E18:G18"/>
    <mergeCell ref="I18:K18"/>
    <mergeCell ref="E19:G19"/>
    <mergeCell ref="I19:K19"/>
    <mergeCell ref="A20:C20"/>
    <mergeCell ref="I20:K20"/>
    <mergeCell ref="A41:F41"/>
    <mergeCell ref="G41:I41"/>
    <mergeCell ref="J41:L41"/>
    <mergeCell ref="A37:F37"/>
    <mergeCell ref="G37:I37"/>
    <mergeCell ref="J37:L37"/>
    <mergeCell ref="A38:F38"/>
    <mergeCell ref="G38:I38"/>
    <mergeCell ref="J38:L38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56:L57"/>
    <mergeCell ref="A54:C54"/>
    <mergeCell ref="D54:F54"/>
    <mergeCell ref="A55:C55"/>
    <mergeCell ref="D55:F55"/>
    <mergeCell ref="G53:L55"/>
    <mergeCell ref="A46:F46"/>
    <mergeCell ref="G46:I46"/>
    <mergeCell ref="J46:L46"/>
    <mergeCell ref="A47:L48"/>
    <mergeCell ref="A49:F49"/>
    <mergeCell ref="G49:L49"/>
    <mergeCell ref="A50:L52"/>
    <mergeCell ref="A53:F53"/>
    <mergeCell ref="A26:F26"/>
    <mergeCell ref="G26:I26"/>
    <mergeCell ref="J26:L26"/>
    <mergeCell ref="A27:F27"/>
    <mergeCell ref="G27:I27"/>
    <mergeCell ref="J27:L27"/>
    <mergeCell ref="A15:L15"/>
    <mergeCell ref="A16:C16"/>
    <mergeCell ref="E16:G16"/>
    <mergeCell ref="I16:K16"/>
    <mergeCell ref="A17:C17"/>
    <mergeCell ref="I17:K17"/>
    <mergeCell ref="E20:G20"/>
    <mergeCell ref="A21:L22"/>
    <mergeCell ref="A23:L23"/>
    <mergeCell ref="A24:F25"/>
    <mergeCell ref="G24:I25"/>
    <mergeCell ref="J24:L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9B5-3110-4B9A-B585-BD2A00642075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Mensuelles'!B14</f>
        <v>SIVARAMAN GOPINATH</v>
      </c>
      <c r="E8" s="376"/>
      <c r="F8" s="377"/>
      <c r="G8" s="381"/>
      <c r="H8" s="382" t="s">
        <v>143</v>
      </c>
      <c r="I8" s="383"/>
      <c r="J8" s="384">
        <f>'Infos Mensuelles'!F14</f>
        <v>10021048238840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Mensuelles'!D14</f>
        <v>44606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Mensuelles'!C14</f>
        <v>Prince</v>
      </c>
      <c r="E11" s="376"/>
      <c r="F11" s="377"/>
      <c r="G11" s="381"/>
      <c r="H11" s="392" t="s">
        <v>146</v>
      </c>
      <c r="I11" s="393"/>
      <c r="J11" s="396" t="str">
        <f>'Infos Mensuelles'!G14</f>
        <v>Archiev clerk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Mensuelles'!N14</f>
        <v>26</v>
      </c>
      <c r="E16" s="307" t="s">
        <v>149</v>
      </c>
      <c r="F16" s="308"/>
      <c r="G16" s="308"/>
      <c r="H16" s="69">
        <f>'Infos Mensuelles'!AG14</f>
        <v>0</v>
      </c>
      <c r="I16" s="303" t="s">
        <v>150</v>
      </c>
      <c r="J16" s="304"/>
      <c r="K16" s="304"/>
      <c r="L16" s="32">
        <f>'Infos Mensuelles'!W14</f>
        <v>0</v>
      </c>
    </row>
    <row r="17" spans="1:16">
      <c r="A17" s="305" t="s">
        <v>151</v>
      </c>
      <c r="B17" s="306"/>
      <c r="C17" s="306"/>
      <c r="D17" s="29">
        <f>'Infos Mensuelles'!P14</f>
        <v>1</v>
      </c>
      <c r="E17" s="68" t="s">
        <v>152</v>
      </c>
      <c r="F17" s="19"/>
      <c r="G17" s="19"/>
      <c r="H17" s="70">
        <f>'Infos Mensuelles'!AJ14</f>
        <v>0</v>
      </c>
      <c r="I17" s="305" t="s">
        <v>153</v>
      </c>
      <c r="J17" s="306"/>
      <c r="K17" s="306"/>
      <c r="L17" s="31">
        <f>'Infos Mensuelles'!U14</f>
        <v>0</v>
      </c>
    </row>
    <row r="18" spans="1:16">
      <c r="A18" s="305" t="s">
        <v>154</v>
      </c>
      <c r="B18" s="306"/>
      <c r="C18" s="306"/>
      <c r="D18" s="29">
        <f>'Infos Mensuelles'!O14</f>
        <v>4</v>
      </c>
      <c r="E18" s="305" t="s">
        <v>155</v>
      </c>
      <c r="F18" s="306"/>
      <c r="G18" s="306"/>
      <c r="H18" s="70">
        <f>'Infos Mensuelles'!AJ14</f>
        <v>0</v>
      </c>
      <c r="I18" s="305" t="s">
        <v>156</v>
      </c>
      <c r="J18" s="306"/>
      <c r="K18" s="306"/>
      <c r="L18" s="31">
        <f>'Infos Mensuelles'!T14</f>
        <v>0</v>
      </c>
    </row>
    <row r="19" spans="1:16">
      <c r="A19" s="305" t="s">
        <v>157</v>
      </c>
      <c r="B19" s="306"/>
      <c r="C19" s="306"/>
      <c r="D19" s="29">
        <f>'Infos Mensuelles'!R14</f>
        <v>0</v>
      </c>
      <c r="E19" s="305" t="s">
        <v>158</v>
      </c>
      <c r="F19" s="306"/>
      <c r="G19" s="306"/>
      <c r="H19" s="70">
        <f>'Infos Mensuelles'!Q14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Mensuelles'!S14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Mensuelles'!H14</f>
        <v>3600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Mensuelles'!I14</f>
        <v>1200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Mensuelles'!J14</f>
        <v>1200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Mensuelles'!K14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Mensuelles'!L14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Mensuelles'!AI14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Mensuelles'!AL14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Mensuelles'!AP14</f>
        <v>197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Mensuelles'!AS14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Mensuelles'!AU14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Mensuelles'!AV14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Mensuelles'!AW14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Mensuelles'!AA14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Mensuelles'!X14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Mensuelles'!Y14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6197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6197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5" customHeight="1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13:L14"/>
    <mergeCell ref="A15:L15"/>
    <mergeCell ref="A17:C17"/>
    <mergeCell ref="A16:C16"/>
    <mergeCell ref="E16:G16"/>
    <mergeCell ref="I16:K16"/>
    <mergeCell ref="I17:K17"/>
    <mergeCell ref="A20:C20"/>
    <mergeCell ref="A19:C19"/>
    <mergeCell ref="A18:C18"/>
    <mergeCell ref="I18:K18"/>
    <mergeCell ref="E19:G19"/>
    <mergeCell ref="I19:K19"/>
    <mergeCell ref="E20:G20"/>
    <mergeCell ref="E18:G18"/>
    <mergeCell ref="A10:L10"/>
    <mergeCell ref="A11:C12"/>
    <mergeCell ref="D11:F12"/>
    <mergeCell ref="G11:G12"/>
    <mergeCell ref="H11:I12"/>
    <mergeCell ref="J11:L12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J28:L28"/>
    <mergeCell ref="A29:F29"/>
    <mergeCell ref="G29:I29"/>
    <mergeCell ref="J29:L29"/>
    <mergeCell ref="A30:F30"/>
    <mergeCell ref="G30:I30"/>
    <mergeCell ref="J30:L30"/>
    <mergeCell ref="I20:K20"/>
    <mergeCell ref="A21:L22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A28:F28"/>
    <mergeCell ref="G28:I2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45:F45"/>
    <mergeCell ref="G45:I45"/>
    <mergeCell ref="J45:L45"/>
    <mergeCell ref="A46:F46"/>
    <mergeCell ref="G46:I46"/>
    <mergeCell ref="J46:L46"/>
    <mergeCell ref="A40:F40"/>
    <mergeCell ref="G40:I40"/>
    <mergeCell ref="J40:L40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56:L57"/>
    <mergeCell ref="A54:C54"/>
    <mergeCell ref="D54:F54"/>
    <mergeCell ref="A55:C55"/>
    <mergeCell ref="D55:F55"/>
    <mergeCell ref="A50:L52"/>
    <mergeCell ref="A53:F53"/>
    <mergeCell ref="G53:L55"/>
    <mergeCell ref="A47:L48"/>
    <mergeCell ref="A49:F49"/>
    <mergeCell ref="G49:L49"/>
  </mergeCells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CD6C-9E35-432B-9976-562D41ED1456}">
  <dimension ref="A1:P57"/>
  <sheetViews>
    <sheetView topLeftCell="A12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Mensuelles'!B15</f>
        <v>RAHMAN PATTUVAM</v>
      </c>
      <c r="E8" s="376"/>
      <c r="F8" s="377"/>
      <c r="G8" s="381"/>
      <c r="H8" s="382" t="s">
        <v>143</v>
      </c>
      <c r="I8" s="383"/>
      <c r="J8" s="384">
        <f>'Infos Mensuelles'!F15</f>
        <v>10030039360020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Mensuelles'!D15</f>
        <v>45260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Mensuelles'!C15</f>
        <v>Sajub</v>
      </c>
      <c r="E11" s="376"/>
      <c r="F11" s="377"/>
      <c r="G11" s="381"/>
      <c r="H11" s="392" t="s">
        <v>146</v>
      </c>
      <c r="I11" s="393"/>
      <c r="J11" s="396" t="str">
        <f>'Infos Mensuelles'!G15</f>
        <v>Messenger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Mensuelles'!N15</f>
        <v>26</v>
      </c>
      <c r="E16" s="307" t="s">
        <v>149</v>
      </c>
      <c r="F16" s="308"/>
      <c r="G16" s="308"/>
      <c r="H16" s="69">
        <f>'Infos Mensuelles'!AG15</f>
        <v>25</v>
      </c>
      <c r="I16" s="303" t="s">
        <v>150</v>
      </c>
      <c r="J16" s="304"/>
      <c r="K16" s="304"/>
      <c r="L16" s="32">
        <f>'Infos Mensuelles'!W15</f>
        <v>0</v>
      </c>
    </row>
    <row r="17" spans="1:16">
      <c r="A17" s="305" t="s">
        <v>151</v>
      </c>
      <c r="B17" s="306"/>
      <c r="C17" s="306"/>
      <c r="D17" s="29">
        <f>'Infos Mensuelles'!P15</f>
        <v>1</v>
      </c>
      <c r="E17" s="68" t="s">
        <v>152</v>
      </c>
      <c r="F17" s="19"/>
      <c r="G17" s="19"/>
      <c r="H17" s="70">
        <f>'Infos Mensuelles'!AJ15</f>
        <v>0</v>
      </c>
      <c r="I17" s="305" t="s">
        <v>153</v>
      </c>
      <c r="J17" s="306"/>
      <c r="K17" s="306"/>
      <c r="L17" s="31">
        <f>'Infos Mensuelles'!U15</f>
        <v>0</v>
      </c>
    </row>
    <row r="18" spans="1:16">
      <c r="A18" s="305" t="s">
        <v>154</v>
      </c>
      <c r="B18" s="306"/>
      <c r="C18" s="306"/>
      <c r="D18" s="29">
        <f>'Infos Mensuelles'!O15</f>
        <v>4</v>
      </c>
      <c r="E18" s="305" t="s">
        <v>155</v>
      </c>
      <c r="F18" s="306"/>
      <c r="G18" s="306"/>
      <c r="H18" s="70">
        <f>'Infos Mensuelles'!AJ15</f>
        <v>0</v>
      </c>
      <c r="I18" s="305" t="s">
        <v>156</v>
      </c>
      <c r="J18" s="306"/>
      <c r="K18" s="306"/>
      <c r="L18" s="31">
        <f>'Infos Mensuelles'!T15</f>
        <v>0</v>
      </c>
    </row>
    <row r="19" spans="1:16">
      <c r="A19" s="305" t="s">
        <v>157</v>
      </c>
      <c r="B19" s="306"/>
      <c r="C19" s="306"/>
      <c r="D19" s="29">
        <f>'Infos Mensuelles'!R15</f>
        <v>0</v>
      </c>
      <c r="E19" s="305" t="s">
        <v>158</v>
      </c>
      <c r="F19" s="306"/>
      <c r="G19" s="306"/>
      <c r="H19" s="70">
        <f>'Infos Mensuelles'!Q15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Mensuelles'!S15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Mensuelles'!H15</f>
        <v>3300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Mensuelles'!I15</f>
        <v>1100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Mensuelles'!J15</f>
        <v>1100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Mensuelles'!K15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Mensuelles'!L15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Mensuelles'!AI15</f>
        <v>375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Mensuelles'!AL15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Mensuelles'!AP15</f>
        <v>181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Mensuelles'!AS15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Mensuelles'!AU15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Mensuelles'!AV15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Mensuelles'!AW15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Mensuelles'!AA15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Mensuelles'!X15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Mensuelles'!Y15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6056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6056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1:L1"/>
    <mergeCell ref="A2:L2"/>
    <mergeCell ref="A3:L3"/>
    <mergeCell ref="A4:L4"/>
    <mergeCell ref="A10:L10"/>
    <mergeCell ref="A11:C12"/>
    <mergeCell ref="D11:F12"/>
    <mergeCell ref="G11:G12"/>
    <mergeCell ref="H11:I12"/>
    <mergeCell ref="J11:L12"/>
    <mergeCell ref="A15:L15"/>
    <mergeCell ref="E16:G16"/>
    <mergeCell ref="I16:K16"/>
    <mergeCell ref="I17:K17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6:C16"/>
    <mergeCell ref="A17:C17"/>
    <mergeCell ref="A13:L14"/>
    <mergeCell ref="I18:K18"/>
    <mergeCell ref="E19:G19"/>
    <mergeCell ref="I19:K19"/>
    <mergeCell ref="E20:G20"/>
    <mergeCell ref="I20:K20"/>
    <mergeCell ref="A21:L22"/>
    <mergeCell ref="A20:C20"/>
    <mergeCell ref="A18:C18"/>
    <mergeCell ref="A19:C19"/>
    <mergeCell ref="E18:G18"/>
    <mergeCell ref="A34:F34"/>
    <mergeCell ref="G34:I34"/>
    <mergeCell ref="J34:L34"/>
    <mergeCell ref="A35:F35"/>
    <mergeCell ref="G35:I35"/>
    <mergeCell ref="J35:L35"/>
    <mergeCell ref="A23:L23"/>
    <mergeCell ref="A24:F25"/>
    <mergeCell ref="G24:I25"/>
    <mergeCell ref="J24:L25"/>
    <mergeCell ref="G26:I26"/>
    <mergeCell ref="J26:L26"/>
    <mergeCell ref="A26:F26"/>
    <mergeCell ref="A27:F27"/>
    <mergeCell ref="G27:I27"/>
    <mergeCell ref="J27:L27"/>
    <mergeCell ref="A28:F28"/>
    <mergeCell ref="G28:I28"/>
    <mergeCell ref="J28:L28"/>
    <mergeCell ref="A29:F29"/>
    <mergeCell ref="G29:I29"/>
    <mergeCell ref="J29:L29"/>
    <mergeCell ref="A32:F32"/>
    <mergeCell ref="G32:I32"/>
    <mergeCell ref="A39:F39"/>
    <mergeCell ref="G39:I39"/>
    <mergeCell ref="J39:L39"/>
    <mergeCell ref="A40:F40"/>
    <mergeCell ref="G40:I40"/>
    <mergeCell ref="J40:L40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46:F46"/>
    <mergeCell ref="G46:I46"/>
    <mergeCell ref="J46:L46"/>
    <mergeCell ref="A47:L48"/>
    <mergeCell ref="A50:L52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55:C55"/>
    <mergeCell ref="D55:F55"/>
    <mergeCell ref="A56:L57"/>
    <mergeCell ref="A54:C54"/>
    <mergeCell ref="D54:F54"/>
    <mergeCell ref="A53:F53"/>
    <mergeCell ref="G53:L55"/>
    <mergeCell ref="A49:F49"/>
    <mergeCell ref="G49:L49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B3BE-EC70-41E3-A35A-37A8995172B4}">
  <sheetPr>
    <pageSetUpPr fitToPage="1"/>
  </sheetPr>
  <dimension ref="A1:P57"/>
  <sheetViews>
    <sheetView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Mensuelles'!B16</f>
        <v>VAYAMBATHODY KUNHIMOIDU</v>
      </c>
      <c r="E8" s="376"/>
      <c r="F8" s="377"/>
      <c r="G8" s="381"/>
      <c r="H8" s="382" t="s">
        <v>143</v>
      </c>
      <c r="I8" s="383"/>
      <c r="J8" s="384">
        <f>'Infos Mensuelles'!F16</f>
        <v>10025047761962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Mensuelles'!D16</f>
        <v>41912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Mensuelles'!C16</f>
        <v>Shanavas</v>
      </c>
      <c r="E11" s="376"/>
      <c r="F11" s="377"/>
      <c r="G11" s="381"/>
      <c r="H11" s="392" t="s">
        <v>146</v>
      </c>
      <c r="I11" s="393"/>
      <c r="J11" s="396" t="str">
        <f>'Infos Mensuelles'!G16</f>
        <v>Follow up clerk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Mensuelles'!N16</f>
        <v>21</v>
      </c>
      <c r="E16" s="307" t="s">
        <v>149</v>
      </c>
      <c r="F16" s="308"/>
      <c r="G16" s="308"/>
      <c r="H16" s="69">
        <f>'Infos Mensuelles'!AG16</f>
        <v>0</v>
      </c>
      <c r="I16" s="303" t="s">
        <v>150</v>
      </c>
      <c r="J16" s="304"/>
      <c r="K16" s="304"/>
      <c r="L16" s="32">
        <f>'Infos Mensuelles'!W16</f>
        <v>0</v>
      </c>
    </row>
    <row r="17" spans="1:16">
      <c r="A17" s="305" t="s">
        <v>151</v>
      </c>
      <c r="B17" s="306"/>
      <c r="C17" s="306"/>
      <c r="D17" s="29">
        <f>'Infos Mensuelles'!P16</f>
        <v>1</v>
      </c>
      <c r="E17" s="68" t="s">
        <v>152</v>
      </c>
      <c r="F17" s="19"/>
      <c r="G17" s="19"/>
      <c r="H17" s="70">
        <f>'Infos Mensuelles'!AJ16</f>
        <v>0</v>
      </c>
      <c r="I17" s="305" t="s">
        <v>153</v>
      </c>
      <c r="J17" s="306"/>
      <c r="K17" s="306"/>
      <c r="L17" s="31">
        <f>'Infos Mensuelles'!U16</f>
        <v>0</v>
      </c>
    </row>
    <row r="18" spans="1:16">
      <c r="A18" s="305" t="s">
        <v>154</v>
      </c>
      <c r="B18" s="306"/>
      <c r="C18" s="306"/>
      <c r="D18" s="29">
        <f>'Infos Mensuelles'!O16</f>
        <v>4</v>
      </c>
      <c r="E18" s="305" t="s">
        <v>155</v>
      </c>
      <c r="F18" s="306"/>
      <c r="G18" s="306"/>
      <c r="H18" s="70">
        <f>'Infos Mensuelles'!AJ16</f>
        <v>0</v>
      </c>
      <c r="I18" s="305" t="s">
        <v>156</v>
      </c>
      <c r="J18" s="306"/>
      <c r="K18" s="306"/>
      <c r="L18" s="31">
        <f>'Infos Mensuelles'!T16</f>
        <v>0</v>
      </c>
    </row>
    <row r="19" spans="1:16">
      <c r="A19" s="305" t="s">
        <v>157</v>
      </c>
      <c r="B19" s="306"/>
      <c r="C19" s="306"/>
      <c r="D19" s="29">
        <f>'Infos Mensuelles'!R16</f>
        <v>0</v>
      </c>
      <c r="E19" s="305" t="s">
        <v>158</v>
      </c>
      <c r="F19" s="306"/>
      <c r="G19" s="306"/>
      <c r="H19" s="70">
        <f>'Infos Mensuelles'!Q16</f>
        <v>5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Mensuelles'!S16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Mensuelles'!H16</f>
        <v>5100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Mensuelles'!I16</f>
        <v>1700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Mensuelles'!J16</f>
        <v>1700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Mensuelles'!K16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Mensuelles'!L16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Mensuelles'!AI16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Mensuelles'!AL16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Mensuelles'!AP16</f>
        <v>279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Mensuelles'!AS16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Mensuelles'!AU16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Mensuelles'!AV16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Mensuelles'!AW16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Mensuelles'!AA16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Mensuelles'!X16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Mensuelles'!Y16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8779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8779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21:L22"/>
    <mergeCell ref="A28:F28"/>
    <mergeCell ref="G28:I28"/>
    <mergeCell ref="A38:F38"/>
    <mergeCell ref="G38:I38"/>
    <mergeCell ref="J38:L38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J28:L28"/>
    <mergeCell ref="A29:F29"/>
    <mergeCell ref="G29:I29"/>
    <mergeCell ref="J29:L29"/>
    <mergeCell ref="A30:F30"/>
    <mergeCell ref="G30:I30"/>
    <mergeCell ref="J30:L30"/>
    <mergeCell ref="A37:F37"/>
    <mergeCell ref="I17:K17"/>
    <mergeCell ref="A18:C18"/>
    <mergeCell ref="A19:C19"/>
    <mergeCell ref="I18:K18"/>
    <mergeCell ref="E19:G19"/>
    <mergeCell ref="I19:K19"/>
    <mergeCell ref="A20:C20"/>
    <mergeCell ref="E20:G20"/>
    <mergeCell ref="I20:K20"/>
    <mergeCell ref="E18:G18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H11:I12"/>
    <mergeCell ref="J11:L12"/>
    <mergeCell ref="A13:L14"/>
    <mergeCell ref="A15:L15"/>
    <mergeCell ref="A16:C16"/>
    <mergeCell ref="A17:C17"/>
    <mergeCell ref="E16:G16"/>
    <mergeCell ref="I16:K16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G37:I37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</mergeCells>
  <pageMargins left="0.7" right="0.7" top="0.75" bottom="0.75" header="0.3" footer="0.3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2BDE-DB75-4B86-AF25-D77E1E6FF972}">
  <dimension ref="A1:P57"/>
  <sheetViews>
    <sheetView workbookViewId="0">
      <selection sqref="A1:XFD1048576"/>
    </sheetView>
  </sheetViews>
  <sheetFormatPr defaultRowHeight="15"/>
  <cols>
    <col min="4" max="4" width="13.140625" bestFit="1" customWidth="1"/>
    <col min="12" max="12" width="13.140625" bestFit="1" customWidth="1"/>
  </cols>
  <sheetData>
    <row r="1" spans="1:16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  <c r="M1" s="17"/>
      <c r="N1" s="17"/>
      <c r="O1" s="17"/>
      <c r="P1" s="17"/>
    </row>
    <row r="2" spans="1:16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  <c r="M2" s="17"/>
      <c r="N2" s="17"/>
      <c r="O2" s="17"/>
      <c r="P2" s="17"/>
    </row>
    <row r="3" spans="1:16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  <c r="M3" s="17"/>
      <c r="N3" s="17"/>
      <c r="O3" s="17"/>
      <c r="P3" s="17"/>
    </row>
    <row r="4" spans="1:16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  <c r="M4" s="17"/>
      <c r="N4" s="17"/>
      <c r="O4" s="17"/>
      <c r="P4" s="17"/>
    </row>
    <row r="5" spans="1:16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  <c r="M5" s="17"/>
      <c r="N5" s="17"/>
      <c r="O5" s="17"/>
      <c r="P5" s="17"/>
    </row>
    <row r="6" spans="1:16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  <c r="M6" s="17"/>
      <c r="N6" s="17"/>
      <c r="O6" s="17"/>
      <c r="P6" s="17"/>
    </row>
    <row r="7" spans="1:16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  <c r="M7" s="17"/>
      <c r="N7" s="17"/>
      <c r="O7" s="17"/>
      <c r="P7" s="17"/>
    </row>
    <row r="8" spans="1:16" ht="19.5">
      <c r="A8" s="369" t="s">
        <v>142</v>
      </c>
      <c r="B8" s="370"/>
      <c r="C8" s="371"/>
      <c r="D8" s="375" t="str">
        <f>'Infos Mensuelles'!B17</f>
        <v>NIEVA</v>
      </c>
      <c r="E8" s="376"/>
      <c r="F8" s="377"/>
      <c r="G8" s="381"/>
      <c r="H8" s="382" t="s">
        <v>143</v>
      </c>
      <c r="I8" s="383"/>
      <c r="J8" s="384">
        <f>'Infos Mensuelles'!F17</f>
        <v>30404129679881</v>
      </c>
      <c r="K8" s="385"/>
      <c r="L8" s="386"/>
      <c r="M8" s="17"/>
      <c r="N8" s="17"/>
      <c r="O8" s="17"/>
      <c r="P8" s="17"/>
    </row>
    <row r="9" spans="1:16" ht="19.5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Mensuelles'!D17</f>
        <v>45985</v>
      </c>
      <c r="K9" s="390"/>
      <c r="L9" s="391"/>
      <c r="M9" s="17"/>
      <c r="N9" s="17"/>
      <c r="O9" s="17"/>
      <c r="P9" s="17"/>
    </row>
    <row r="10" spans="1:16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  <c r="M10" s="17"/>
      <c r="N10" s="17"/>
      <c r="O10" s="17"/>
      <c r="P10" s="17"/>
    </row>
    <row r="11" spans="1:16">
      <c r="A11" s="369" t="s">
        <v>145</v>
      </c>
      <c r="B11" s="370"/>
      <c r="C11" s="371"/>
      <c r="D11" s="375" t="str">
        <f>'Infos Mensuelles'!C17</f>
        <v>Raiza</v>
      </c>
      <c r="E11" s="376"/>
      <c r="F11" s="377"/>
      <c r="G11" s="381"/>
      <c r="H11" s="392" t="s">
        <v>146</v>
      </c>
      <c r="I11" s="393"/>
      <c r="J11" s="396" t="str">
        <f>'Infos Mensuelles'!G17</f>
        <v>Back office officer</v>
      </c>
      <c r="K11" s="397"/>
      <c r="L11" s="398"/>
      <c r="M11" s="17"/>
      <c r="N11" s="17"/>
      <c r="O11" s="17"/>
      <c r="P11" s="17"/>
    </row>
    <row r="12" spans="1:16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  <c r="M12" s="17"/>
      <c r="N12" s="17"/>
      <c r="O12" s="17"/>
      <c r="P12" s="17"/>
    </row>
    <row r="13" spans="1:16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  <c r="M13" s="17"/>
      <c r="N13" s="17"/>
      <c r="O13" s="17"/>
      <c r="P13" s="17"/>
    </row>
    <row r="14" spans="1:16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  <c r="M14" s="17"/>
      <c r="N14" s="17"/>
      <c r="O14" s="17"/>
      <c r="P14" s="17"/>
    </row>
    <row r="15" spans="1:16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  <c r="M15" s="17"/>
      <c r="N15" s="17"/>
      <c r="O15" s="17"/>
      <c r="P15" s="17"/>
    </row>
    <row r="16" spans="1:16">
      <c r="A16" s="303" t="s">
        <v>148</v>
      </c>
      <c r="B16" s="304"/>
      <c r="C16" s="304"/>
      <c r="D16" s="28">
        <f>'Infos Mensuelles'!N17</f>
        <v>26</v>
      </c>
      <c r="E16" s="307" t="s">
        <v>149</v>
      </c>
      <c r="F16" s="308"/>
      <c r="G16" s="308"/>
      <c r="H16" s="69">
        <f>'Infos Mensuelles'!AG17</f>
        <v>0</v>
      </c>
      <c r="I16" s="303" t="s">
        <v>150</v>
      </c>
      <c r="J16" s="304"/>
      <c r="K16" s="304"/>
      <c r="L16" s="32">
        <f>'Infos Mensuelles'!W17</f>
        <v>0</v>
      </c>
      <c r="M16" s="17"/>
      <c r="N16" s="17"/>
      <c r="O16" s="17"/>
      <c r="P16" s="17"/>
    </row>
    <row r="17" spans="1:16">
      <c r="A17" s="305" t="s">
        <v>151</v>
      </c>
      <c r="B17" s="306"/>
      <c r="C17" s="306"/>
      <c r="D17" s="29">
        <f>'Infos Mensuelles'!P17</f>
        <v>1</v>
      </c>
      <c r="E17" s="68" t="s">
        <v>152</v>
      </c>
      <c r="F17" s="19"/>
      <c r="G17" s="19"/>
      <c r="H17" s="70">
        <f>'Infos Mensuelles'!AJ17</f>
        <v>0</v>
      </c>
      <c r="I17" s="305" t="s">
        <v>183</v>
      </c>
      <c r="J17" s="306"/>
      <c r="K17" s="306"/>
      <c r="L17" s="31">
        <f>'Infos Mensuelles'!U17</f>
        <v>0</v>
      </c>
      <c r="M17" s="17"/>
      <c r="N17" s="17"/>
      <c r="O17" s="17"/>
      <c r="P17" s="17"/>
    </row>
    <row r="18" spans="1:16">
      <c r="A18" s="305" t="s">
        <v>154</v>
      </c>
      <c r="B18" s="306"/>
      <c r="C18" s="306"/>
      <c r="D18" s="29">
        <f>'Infos Mensuelles'!O17</f>
        <v>4</v>
      </c>
      <c r="E18" s="305" t="s">
        <v>155</v>
      </c>
      <c r="F18" s="306"/>
      <c r="G18" s="306"/>
      <c r="H18" s="70">
        <f>'Infos Mensuelles'!AN17</f>
        <v>0</v>
      </c>
      <c r="I18" s="305" t="s">
        <v>184</v>
      </c>
      <c r="J18" s="306"/>
      <c r="K18" s="306"/>
      <c r="L18" s="31">
        <f>'Infos Mensuelles'!T17</f>
        <v>0</v>
      </c>
      <c r="M18" s="17"/>
      <c r="N18" s="17"/>
      <c r="O18" s="17"/>
      <c r="P18" s="17"/>
    </row>
    <row r="19" spans="1:16">
      <c r="A19" s="305" t="s">
        <v>157</v>
      </c>
      <c r="B19" s="306"/>
      <c r="C19" s="306"/>
      <c r="D19" s="29">
        <f>'Infos Mensuelles'!R17</f>
        <v>0</v>
      </c>
      <c r="E19" s="305" t="s">
        <v>158</v>
      </c>
      <c r="F19" s="306"/>
      <c r="G19" s="306"/>
      <c r="H19" s="70">
        <f>'Infos Mensuelles'!Q17</f>
        <v>0</v>
      </c>
      <c r="I19" s="305"/>
      <c r="J19" s="306"/>
      <c r="K19" s="306"/>
      <c r="L19" s="31"/>
      <c r="M19" s="17"/>
      <c r="N19" s="17"/>
      <c r="O19" s="17"/>
      <c r="P19" s="17"/>
    </row>
    <row r="20" spans="1:16">
      <c r="A20" s="346" t="s">
        <v>159</v>
      </c>
      <c r="B20" s="347"/>
      <c r="C20" s="347"/>
      <c r="D20" s="30">
        <f>'Infos Mensuelles'!S17</f>
        <v>31</v>
      </c>
      <c r="E20" s="346"/>
      <c r="F20" s="347"/>
      <c r="G20" s="347"/>
      <c r="H20" s="71"/>
      <c r="I20" s="346"/>
      <c r="J20" s="347"/>
      <c r="K20" s="347"/>
      <c r="L20" s="72"/>
      <c r="M20" s="17"/>
      <c r="N20" s="17"/>
      <c r="O20" s="17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M21" s="17"/>
      <c r="N21" s="17"/>
      <c r="O21" s="17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  <c r="M22" s="17"/>
      <c r="N22" s="17"/>
      <c r="O22" s="17"/>
      <c r="P22" s="17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  <c r="M23" s="17"/>
      <c r="N23" s="17"/>
      <c r="O23" s="17"/>
      <c r="P23" s="17"/>
    </row>
    <row r="24" spans="1:16" ht="16.5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  <c r="M24" s="20"/>
      <c r="N24" s="20"/>
      <c r="O24" s="20"/>
      <c r="P24" s="20"/>
    </row>
    <row r="25" spans="1:16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M25" s="20"/>
      <c r="N25" s="20"/>
      <c r="O25" s="17"/>
      <c r="P25" s="20"/>
    </row>
    <row r="26" spans="1:16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M26" s="20"/>
      <c r="N26" s="20"/>
      <c r="O26" s="17"/>
      <c r="P26" s="2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Mensuelles'!H17</f>
        <v>2400</v>
      </c>
      <c r="H27" s="284"/>
      <c r="I27" s="284"/>
      <c r="J27" s="286"/>
      <c r="K27" s="287"/>
      <c r="L27" s="288"/>
      <c r="M27" s="17"/>
      <c r="N27" s="17"/>
      <c r="O27" s="17"/>
      <c r="P27" s="17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Mensuelles'!I17</f>
        <v>800</v>
      </c>
      <c r="H28" s="284"/>
      <c r="I28" s="284"/>
      <c r="J28" s="286"/>
      <c r="K28" s="287"/>
      <c r="L28" s="288"/>
      <c r="M28" s="17"/>
      <c r="N28" s="17"/>
      <c r="O28" s="17"/>
      <c r="P28" s="17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Mensuelles'!J17</f>
        <v>800</v>
      </c>
      <c r="H29" s="284"/>
      <c r="I29" s="284"/>
      <c r="J29" s="286"/>
      <c r="K29" s="287"/>
      <c r="L29" s="288"/>
      <c r="M29" s="17"/>
      <c r="N29" s="17"/>
      <c r="O29" s="17"/>
      <c r="P29" s="17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Mensuelles'!K17</f>
        <v>0</v>
      </c>
      <c r="H30" s="284"/>
      <c r="I30" s="284"/>
      <c r="J30" s="286"/>
      <c r="K30" s="287"/>
      <c r="L30" s="288"/>
      <c r="M30" s="17"/>
      <c r="N30" s="17"/>
      <c r="O30" s="17"/>
      <c r="P30" s="17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Mensuelles'!L17</f>
        <v>0</v>
      </c>
      <c r="H31" s="284"/>
      <c r="I31" s="284"/>
      <c r="J31" s="286"/>
      <c r="K31" s="287"/>
      <c r="L31" s="288"/>
      <c r="M31" s="17"/>
      <c r="N31" s="17"/>
      <c r="O31" s="17"/>
      <c r="P31" s="17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Mensuelles'!AI17</f>
        <v>0</v>
      </c>
      <c r="H32" s="284"/>
      <c r="I32" s="285"/>
      <c r="J32" s="286"/>
      <c r="K32" s="287"/>
      <c r="L32" s="288"/>
      <c r="M32" s="17"/>
      <c r="N32" s="17"/>
      <c r="O32" s="17"/>
      <c r="P32" s="17"/>
    </row>
    <row r="33" spans="1:16">
      <c r="A33" s="315" t="s">
        <v>152</v>
      </c>
      <c r="B33" s="316"/>
      <c r="C33" s="316"/>
      <c r="D33" s="316"/>
      <c r="E33" s="316"/>
      <c r="F33" s="434"/>
      <c r="G33" s="283">
        <f>'Infos Mensuelles'!AL17</f>
        <v>0</v>
      </c>
      <c r="H33" s="284"/>
      <c r="I33" s="285"/>
      <c r="J33" s="286"/>
      <c r="K33" s="287"/>
      <c r="L33" s="288"/>
      <c r="M33" s="17"/>
      <c r="N33" s="17"/>
      <c r="O33" s="17"/>
      <c r="P33" s="17"/>
    </row>
    <row r="34" spans="1:16">
      <c r="A34" s="315" t="s">
        <v>26</v>
      </c>
      <c r="B34" s="316"/>
      <c r="C34" s="316"/>
      <c r="D34" s="316"/>
      <c r="E34" s="316"/>
      <c r="F34" s="434"/>
      <c r="G34" s="283">
        <f>'Infos Mensuelles'!AP17</f>
        <v>0</v>
      </c>
      <c r="H34" s="284"/>
      <c r="I34" s="285"/>
      <c r="J34" s="286"/>
      <c r="K34" s="287"/>
      <c r="L34" s="288"/>
      <c r="M34" s="17"/>
      <c r="N34" s="17"/>
      <c r="O34" s="17"/>
      <c r="P34" s="17"/>
    </row>
    <row r="35" spans="1:16">
      <c r="A35" s="315" t="s">
        <v>168</v>
      </c>
      <c r="B35" s="316"/>
      <c r="C35" s="316"/>
      <c r="D35" s="316"/>
      <c r="E35" s="316"/>
      <c r="F35" s="434"/>
      <c r="G35" s="283">
        <f>'Infos Mensuelles'!AS17</f>
        <v>0</v>
      </c>
      <c r="H35" s="284"/>
      <c r="I35" s="285"/>
      <c r="J35" s="286"/>
      <c r="K35" s="287"/>
      <c r="L35" s="288"/>
      <c r="M35" s="17"/>
      <c r="N35" s="17"/>
      <c r="O35" s="17"/>
      <c r="P35" s="17"/>
    </row>
    <row r="36" spans="1:16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  <c r="M36" s="17"/>
      <c r="N36" s="17"/>
      <c r="O36" s="17"/>
      <c r="P36" s="17"/>
    </row>
    <row r="37" spans="1:16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  <c r="M37" s="17"/>
      <c r="N37" s="17"/>
      <c r="O37" s="17"/>
      <c r="P37" s="17"/>
    </row>
    <row r="38" spans="1:16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v>0</v>
      </c>
      <c r="K38" s="290"/>
      <c r="L38" s="291"/>
      <c r="M38" s="17"/>
      <c r="N38" s="17"/>
      <c r="O38" s="17"/>
      <c r="P38" s="17"/>
    </row>
    <row r="39" spans="1:16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Mensuelles'!AV17</f>
        <v>0</v>
      </c>
      <c r="K39" s="290"/>
      <c r="L39" s="291"/>
      <c r="M39" s="17"/>
      <c r="N39" s="17"/>
      <c r="O39" s="17"/>
      <c r="P39" s="17"/>
    </row>
    <row r="40" spans="1:16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Mensuelles'!AW17</f>
        <v>0</v>
      </c>
      <c r="K40" s="290"/>
      <c r="L40" s="291"/>
      <c r="M40" s="17"/>
      <c r="N40" s="17"/>
      <c r="O40" s="17"/>
      <c r="P40" s="17"/>
    </row>
    <row r="41" spans="1:16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Mensuelles'!AA17</f>
        <v>0</v>
      </c>
      <c r="K41" s="290"/>
      <c r="L41" s="291"/>
      <c r="M41" s="17"/>
      <c r="N41" s="17"/>
      <c r="O41" s="17"/>
      <c r="P41" s="17"/>
    </row>
    <row r="42" spans="1:16">
      <c r="A42" s="435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Mensuelles'!X17</f>
        <v>0</v>
      </c>
      <c r="K42" s="290"/>
      <c r="L42" s="291"/>
      <c r="M42" s="17"/>
      <c r="N42" s="17"/>
      <c r="O42" s="17"/>
      <c r="P42" s="17"/>
    </row>
    <row r="43" spans="1:16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Mensuelles'!Y17</f>
        <v>0</v>
      </c>
      <c r="K43" s="290"/>
      <c r="L43" s="291"/>
      <c r="M43" s="17"/>
      <c r="N43" s="17"/>
      <c r="O43" s="17"/>
      <c r="P43" s="17"/>
    </row>
    <row r="44" spans="1:16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Mensuelles'!Z17</f>
        <v>0</v>
      </c>
      <c r="K44" s="290"/>
      <c r="L44" s="291"/>
      <c r="M44" s="17"/>
      <c r="N44" s="17"/>
      <c r="O44" s="17"/>
      <c r="P44" s="17"/>
    </row>
    <row r="45" spans="1:16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  <c r="M45" s="17"/>
      <c r="N45" s="17"/>
      <c r="O45" s="17"/>
      <c r="P45" s="17"/>
    </row>
    <row r="46" spans="1:16">
      <c r="A46" s="335" t="s">
        <v>176</v>
      </c>
      <c r="B46" s="336"/>
      <c r="C46" s="336"/>
      <c r="D46" s="336"/>
      <c r="E46" s="336"/>
      <c r="F46" s="337"/>
      <c r="G46" s="338">
        <f>SUM(G27:I35)</f>
        <v>4000</v>
      </c>
      <c r="H46" s="339"/>
      <c r="I46" s="340"/>
      <c r="J46" s="338">
        <f>SUM(J40:L45)</f>
        <v>0</v>
      </c>
      <c r="K46" s="339"/>
      <c r="L46" s="340"/>
      <c r="M46" s="17"/>
      <c r="N46" s="17"/>
      <c r="O46" s="17"/>
      <c r="P46" s="17"/>
    </row>
    <row r="47" spans="1:16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  <c r="M47" s="17"/>
      <c r="N47" s="17"/>
      <c r="O47" s="17"/>
      <c r="P47" s="17"/>
    </row>
    <row r="48" spans="1:16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  <c r="M48" s="17"/>
      <c r="N48" s="17"/>
      <c r="O48" s="17"/>
      <c r="P48" s="17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4000</v>
      </c>
      <c r="H49" s="281"/>
      <c r="I49" s="281"/>
      <c r="J49" s="281"/>
      <c r="K49" s="281"/>
      <c r="L49" s="282"/>
      <c r="M49" s="17"/>
      <c r="N49" s="17"/>
      <c r="O49" s="17"/>
      <c r="P49" s="17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7"/>
      <c r="N50" s="17"/>
      <c r="O50" s="17"/>
      <c r="P50" s="17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  <c r="M51" s="17"/>
      <c r="N51" s="17"/>
      <c r="O51" s="17"/>
      <c r="P51" s="17"/>
    </row>
    <row r="52" spans="1:16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5" customHeight="1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  <c r="M54" s="17"/>
      <c r="N54" s="17"/>
      <c r="O54" s="17"/>
      <c r="P54" s="17"/>
    </row>
    <row r="55" spans="1:16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  <c r="M55" s="17"/>
      <c r="N55" s="17"/>
      <c r="O55" s="17"/>
      <c r="P55" s="17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  <c r="M56" s="17"/>
      <c r="N56" s="17"/>
      <c r="O56" s="17"/>
      <c r="P56" s="17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  <c r="M57" s="17"/>
      <c r="N57" s="17"/>
      <c r="O57" s="17"/>
      <c r="P57" s="17"/>
    </row>
  </sheetData>
  <mergeCells count="114"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20:C20"/>
    <mergeCell ref="E20:G20"/>
    <mergeCell ref="I20:K20"/>
    <mergeCell ref="A21:L22"/>
    <mergeCell ref="A23:L23"/>
    <mergeCell ref="A24:F25"/>
    <mergeCell ref="G24:I25"/>
    <mergeCell ref="J24:L25"/>
    <mergeCell ref="I18:K18"/>
    <mergeCell ref="A19:C19"/>
    <mergeCell ref="E19:G19"/>
    <mergeCell ref="I19:K19"/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8:C18"/>
    <mergeCell ref="E18:G18"/>
    <mergeCell ref="A13:L14"/>
    <mergeCell ref="A15:L15"/>
    <mergeCell ref="A16:C16"/>
    <mergeCell ref="E16:G16"/>
    <mergeCell ref="I16:K16"/>
    <mergeCell ref="A17:C17"/>
    <mergeCell ref="I17:K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3495-D2E3-4DFD-B5EC-934FE7364A73}">
  <dimension ref="A1:P57"/>
  <sheetViews>
    <sheetView workbookViewId="0">
      <selection activeCell="A50" sqref="A50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Mensuelles'!B18</f>
        <v>THAZHUTHARINTAVIDA</v>
      </c>
      <c r="E8" s="376"/>
      <c r="F8" s="377"/>
      <c r="G8" s="381"/>
      <c r="H8" s="382" t="s">
        <v>143</v>
      </c>
      <c r="I8" s="383"/>
      <c r="J8" s="384">
        <f>'Infos Mensuelles'!F18</f>
        <v>10005068743230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Mensuelles'!D18</f>
        <v>46012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Mensuelles'!C18</f>
        <v>Loshin</v>
      </c>
      <c r="E11" s="376"/>
      <c r="F11" s="377"/>
      <c r="G11" s="381"/>
      <c r="H11" s="392" t="s">
        <v>146</v>
      </c>
      <c r="I11" s="393"/>
      <c r="J11" s="396">
        <f>'Infos Mensuelles'!G18</f>
        <v>0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Mensuelles'!N18</f>
        <v>26</v>
      </c>
      <c r="E16" s="307" t="s">
        <v>149</v>
      </c>
      <c r="F16" s="308"/>
      <c r="G16" s="308"/>
      <c r="H16" s="69">
        <f>'Infos Mensuelles'!AG18</f>
        <v>26</v>
      </c>
      <c r="I16" s="303" t="s">
        <v>150</v>
      </c>
      <c r="J16" s="304"/>
      <c r="K16" s="304"/>
      <c r="L16" s="32">
        <f>'Infos Mensuelles'!W18</f>
        <v>0</v>
      </c>
    </row>
    <row r="17" spans="1:16">
      <c r="A17" s="305" t="s">
        <v>151</v>
      </c>
      <c r="B17" s="306"/>
      <c r="C17" s="306"/>
      <c r="D17" s="29">
        <f>'Infos Mensuelles'!P18</f>
        <v>1</v>
      </c>
      <c r="E17" s="68" t="s">
        <v>152</v>
      </c>
      <c r="F17" s="19"/>
      <c r="G17" s="19"/>
      <c r="H17" s="70">
        <f>'Infos Mensuelles'!AJ18</f>
        <v>0</v>
      </c>
      <c r="I17" s="305" t="s">
        <v>183</v>
      </c>
      <c r="J17" s="306"/>
      <c r="K17" s="306"/>
      <c r="L17" s="31">
        <f>'Infos Mensuelles'!U18</f>
        <v>0</v>
      </c>
    </row>
    <row r="18" spans="1:16">
      <c r="A18" s="305" t="s">
        <v>154</v>
      </c>
      <c r="B18" s="306"/>
      <c r="C18" s="306"/>
      <c r="D18" s="29">
        <f>'Infos Mensuelles'!O18</f>
        <v>4</v>
      </c>
      <c r="E18" s="305" t="s">
        <v>155</v>
      </c>
      <c r="F18" s="306"/>
      <c r="G18" s="306"/>
      <c r="H18" s="70">
        <f>'Infos Mensuelles'!AN18</f>
        <v>1</v>
      </c>
      <c r="I18" s="305" t="s">
        <v>184</v>
      </c>
      <c r="J18" s="306"/>
      <c r="K18" s="306"/>
      <c r="L18" s="31">
        <f>'Infos Mensuelles'!T18</f>
        <v>0</v>
      </c>
    </row>
    <row r="19" spans="1:16">
      <c r="A19" s="305" t="s">
        <v>157</v>
      </c>
      <c r="B19" s="306"/>
      <c r="C19" s="306"/>
      <c r="D19" s="29">
        <f>'Infos Mensuelles'!R18</f>
        <v>0</v>
      </c>
      <c r="E19" s="305" t="s">
        <v>158</v>
      </c>
      <c r="F19" s="306"/>
      <c r="G19" s="306"/>
      <c r="H19" s="70">
        <f>'Infos Mensuelles'!Q18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Mensuelles'!S18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Mensuelles'!H18</f>
        <v>3000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Mensuelles'!I18</f>
        <v>1000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Mensuelles'!J18</f>
        <v>1000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Mensuelles'!K18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Mensuelles'!L18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Mensuelles'!AI18</f>
        <v>364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Mensuelles'!AL18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Mensuelles'!AP18</f>
        <v>164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Mensuelles'!AS18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Mensuelles'!AV18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Mensuelles'!AW18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Mensuelles'!AA18</f>
        <v>0</v>
      </c>
      <c r="K41" s="290"/>
      <c r="L41" s="291"/>
    </row>
    <row r="42" spans="1:12">
      <c r="A42" s="435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Mensuelles'!X18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Mensuelles'!Y18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Mensuelles'!Z18</f>
        <v>0</v>
      </c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5528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5528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5" customHeight="1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21:L22"/>
    <mergeCell ref="A28:F28"/>
    <mergeCell ref="G28:I28"/>
    <mergeCell ref="A38:F38"/>
    <mergeCell ref="G38:I38"/>
    <mergeCell ref="J38:L38"/>
    <mergeCell ref="A23:L23"/>
    <mergeCell ref="A24:F25"/>
    <mergeCell ref="G24:I25"/>
    <mergeCell ref="J24:L25"/>
    <mergeCell ref="A26:F26"/>
    <mergeCell ref="G26:I26"/>
    <mergeCell ref="J26:L26"/>
    <mergeCell ref="A27:F27"/>
    <mergeCell ref="G27:I27"/>
    <mergeCell ref="J27:L27"/>
    <mergeCell ref="J28:L28"/>
    <mergeCell ref="A29:F29"/>
    <mergeCell ref="G29:I29"/>
    <mergeCell ref="J29:L29"/>
    <mergeCell ref="A30:F30"/>
    <mergeCell ref="G30:I30"/>
    <mergeCell ref="J30:L30"/>
    <mergeCell ref="A37:F37"/>
    <mergeCell ref="I17:K17"/>
    <mergeCell ref="A18:C18"/>
    <mergeCell ref="A19:C19"/>
    <mergeCell ref="I18:K18"/>
    <mergeCell ref="E19:G19"/>
    <mergeCell ref="I19:K19"/>
    <mergeCell ref="A20:C20"/>
    <mergeCell ref="E20:G20"/>
    <mergeCell ref="I20:K20"/>
    <mergeCell ref="E18:G18"/>
    <mergeCell ref="A1:L1"/>
    <mergeCell ref="A2:L2"/>
    <mergeCell ref="A3:L3"/>
    <mergeCell ref="A4:L4"/>
    <mergeCell ref="A5:L5"/>
    <mergeCell ref="A6:L7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H11:I12"/>
    <mergeCell ref="J11:L12"/>
    <mergeCell ref="A13:L14"/>
    <mergeCell ref="A15:L15"/>
    <mergeCell ref="A16:C16"/>
    <mergeCell ref="A17:C17"/>
    <mergeCell ref="E16:G16"/>
    <mergeCell ref="I16:K16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G37:I37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56:L57"/>
    <mergeCell ref="A54:C54"/>
    <mergeCell ref="D54:F54"/>
    <mergeCell ref="A55:C55"/>
    <mergeCell ref="D55:F55"/>
    <mergeCell ref="A50:L52"/>
    <mergeCell ref="A53:F53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3A3A-EE57-4DDB-A9A2-F7F0E63FE381}">
  <dimension ref="A1:P57"/>
  <sheetViews>
    <sheetView topLeftCell="A10" workbookViewId="0">
      <selection activeCell="A50" sqref="A50:P57"/>
    </sheetView>
  </sheetViews>
  <sheetFormatPr defaultRowHeight="15"/>
  <cols>
    <col min="1" max="3" width="9.140625" style="17"/>
    <col min="4" max="4" width="13.140625" style="17" bestFit="1" customWidth="1"/>
    <col min="5" max="11" width="9.140625" style="17"/>
    <col min="12" max="12" width="13.140625" style="17" bestFit="1" customWidth="1"/>
    <col min="13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Mensuelles'!B19</f>
        <v xml:space="preserve">PADAMANATHAN </v>
      </c>
      <c r="E8" s="376"/>
      <c r="F8" s="377"/>
      <c r="G8" s="381"/>
      <c r="H8" s="382" t="s">
        <v>143</v>
      </c>
      <c r="I8" s="383"/>
      <c r="J8" s="384">
        <f>'Infos Mensuelles'!F19</f>
        <v>10022016768789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Mensuelles'!D19</f>
        <v>44095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Mensuelles'!C19</f>
        <v>Ramu</v>
      </c>
      <c r="E11" s="376"/>
      <c r="F11" s="377"/>
      <c r="G11" s="381"/>
      <c r="H11" s="392" t="s">
        <v>146</v>
      </c>
      <c r="I11" s="393"/>
      <c r="J11" s="396" t="str">
        <f>'Infos Mensuelles'!G19</f>
        <v>Cleaner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Mensuelles'!N19</f>
        <v>25</v>
      </c>
      <c r="E16" s="307" t="s">
        <v>149</v>
      </c>
      <c r="F16" s="308"/>
      <c r="G16" s="308"/>
      <c r="H16" s="69">
        <f>'Infos Mensuelles'!AG19</f>
        <v>0</v>
      </c>
      <c r="I16" s="303" t="s">
        <v>150</v>
      </c>
      <c r="J16" s="304"/>
      <c r="K16" s="304"/>
      <c r="L16" s="32">
        <f>'Infos Mensuelles'!W19</f>
        <v>0</v>
      </c>
    </row>
    <row r="17" spans="1:16">
      <c r="A17" s="305" t="s">
        <v>151</v>
      </c>
      <c r="B17" s="306"/>
      <c r="C17" s="306"/>
      <c r="D17" s="29">
        <f>'Infos Mensuelles'!P19</f>
        <v>1</v>
      </c>
      <c r="E17" s="68" t="s">
        <v>152</v>
      </c>
      <c r="F17" s="19"/>
      <c r="G17" s="19"/>
      <c r="H17" s="70">
        <f>'Infos Mensuelles'!AJ19</f>
        <v>0</v>
      </c>
      <c r="I17" s="305" t="s">
        <v>153</v>
      </c>
      <c r="J17" s="306"/>
      <c r="K17" s="306"/>
      <c r="L17" s="31">
        <f>'Infos Mensuelles'!U19</f>
        <v>0</v>
      </c>
    </row>
    <row r="18" spans="1:16">
      <c r="A18" s="305" t="s">
        <v>154</v>
      </c>
      <c r="B18" s="306"/>
      <c r="C18" s="306"/>
      <c r="D18" s="29">
        <f>'Infos Mensuelles'!O19</f>
        <v>5</v>
      </c>
      <c r="E18" s="305" t="s">
        <v>155</v>
      </c>
      <c r="F18" s="306"/>
      <c r="G18" s="306"/>
      <c r="H18" s="70">
        <f>'Infos Mensuelles'!AJ19</f>
        <v>0</v>
      </c>
      <c r="I18" s="305" t="s">
        <v>156</v>
      </c>
      <c r="J18" s="306"/>
      <c r="K18" s="306"/>
      <c r="L18" s="31">
        <f>'Infos Mensuelles'!T19</f>
        <v>0</v>
      </c>
    </row>
    <row r="19" spans="1:16">
      <c r="A19" s="305" t="s">
        <v>157</v>
      </c>
      <c r="B19" s="306"/>
      <c r="C19" s="306"/>
      <c r="D19" s="29">
        <f>'Infos Mensuelles'!R19</f>
        <v>0</v>
      </c>
      <c r="E19" s="305" t="s">
        <v>158</v>
      </c>
      <c r="F19" s="306"/>
      <c r="G19" s="306"/>
      <c r="H19" s="70">
        <f>'Infos Mensuelles'!Q19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Mensuelles'!S19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Mensuelles'!H19</f>
        <v>2160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Mensuelles'!I19</f>
        <v>720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Mensuelles'!J19</f>
        <v>720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Mensuelles'!K19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Mensuelles'!L19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Mensuelles'!AI19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Mensuelles'!AL19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Mensuelles'!AP19</f>
        <v>115</v>
      </c>
      <c r="H34" s="284"/>
      <c r="I34" s="285"/>
      <c r="J34" s="286"/>
      <c r="K34" s="287"/>
      <c r="L34" s="288"/>
    </row>
    <row r="35" spans="1:12">
      <c r="A35" s="315" t="s">
        <v>168</v>
      </c>
      <c r="B35" s="316"/>
      <c r="C35" s="316"/>
      <c r="D35" s="316"/>
      <c r="E35" s="316"/>
      <c r="F35" s="434"/>
      <c r="G35" s="283">
        <f>'Infos Mensuelles'!AS19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Mensuelles'!AU19</f>
        <v>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Mensuelles'!AV19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Mensuelles'!AW19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Mensuelles'!AA19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Mensuelles'!X19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Mensuelles'!Y19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/>
      <c r="K44" s="290"/>
      <c r="L44" s="291"/>
    </row>
    <row r="45" spans="1:12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3715</v>
      </c>
      <c r="H46" s="339"/>
      <c r="I46" s="340"/>
      <c r="J46" s="338">
        <f>SUM(J40:L45)</f>
        <v>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3715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E18:G18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0CEC-C600-4364-8687-25D6BBA5B659}">
  <dimension ref="A1:P57"/>
  <sheetViews>
    <sheetView workbookViewId="0">
      <selection activeCell="J45" sqref="J45:L45"/>
    </sheetView>
  </sheetViews>
  <sheetFormatPr defaultRowHeight="15"/>
  <cols>
    <col min="4" max="4" width="13.140625" bestFit="1" customWidth="1"/>
    <col min="12" max="12" width="13.140625" bestFit="1" customWidth="1"/>
  </cols>
  <sheetData>
    <row r="1" spans="1:16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  <c r="M1" s="17"/>
      <c r="N1" s="17"/>
      <c r="O1" s="17"/>
      <c r="P1" s="17"/>
    </row>
    <row r="2" spans="1:16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  <c r="M2" s="17"/>
      <c r="N2" s="17"/>
      <c r="O2" s="17"/>
      <c r="P2" s="17"/>
    </row>
    <row r="3" spans="1:16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  <c r="M3" s="17"/>
      <c r="N3" s="17"/>
      <c r="O3" s="17"/>
      <c r="P3" s="17"/>
    </row>
    <row r="4" spans="1:16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  <c r="M4" s="17"/>
      <c r="N4" s="17"/>
      <c r="O4" s="17"/>
      <c r="P4" s="17"/>
    </row>
    <row r="5" spans="1:16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  <c r="M5" s="17"/>
      <c r="N5" s="17"/>
      <c r="O5" s="17"/>
      <c r="P5" s="17"/>
    </row>
    <row r="6" spans="1:16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  <c r="M6" s="17"/>
      <c r="N6" s="17"/>
      <c r="O6" s="17"/>
      <c r="P6" s="17"/>
    </row>
    <row r="7" spans="1:16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  <c r="M7" s="17"/>
      <c r="N7" s="17"/>
      <c r="O7" s="17"/>
      <c r="P7" s="17"/>
    </row>
    <row r="8" spans="1:16" ht="19.5">
      <c r="A8" s="369" t="s">
        <v>142</v>
      </c>
      <c r="B8" s="370"/>
      <c r="C8" s="371"/>
      <c r="D8" s="375" t="str">
        <f>'Infos Mensuelles'!B20</f>
        <v>YAKKOOB</v>
      </c>
      <c r="E8" s="376"/>
      <c r="F8" s="377"/>
      <c r="G8" s="381"/>
      <c r="H8" s="382" t="s">
        <v>143</v>
      </c>
      <c r="I8" s="383"/>
      <c r="J8" s="384">
        <f>'Infos Mensuelles'!F20</f>
        <v>10007018981824</v>
      </c>
      <c r="K8" s="385"/>
      <c r="L8" s="386"/>
      <c r="M8" s="17"/>
      <c r="N8" s="17"/>
      <c r="O8" s="17"/>
      <c r="P8" s="17"/>
    </row>
    <row r="9" spans="1:16" ht="19.5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Mensuelles'!D20</f>
        <v>45955</v>
      </c>
      <c r="K9" s="390"/>
      <c r="L9" s="391"/>
      <c r="M9" s="17"/>
      <c r="N9" s="17"/>
      <c r="O9" s="17"/>
      <c r="P9" s="17"/>
    </row>
    <row r="10" spans="1:16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  <c r="M10" s="17"/>
      <c r="N10" s="17"/>
      <c r="O10" s="17"/>
      <c r="P10" s="17"/>
    </row>
    <row r="11" spans="1:16">
      <c r="A11" s="369" t="s">
        <v>145</v>
      </c>
      <c r="B11" s="370"/>
      <c r="C11" s="371"/>
      <c r="D11" s="375" t="str">
        <f>'Infos Mensuelles'!C20</f>
        <v>Rather</v>
      </c>
      <c r="E11" s="376"/>
      <c r="F11" s="377"/>
      <c r="G11" s="381"/>
      <c r="H11" s="392" t="s">
        <v>146</v>
      </c>
      <c r="I11" s="393"/>
      <c r="J11" s="396" t="str">
        <f>'Infos Mensuelles'!G20</f>
        <v>Cleaner</v>
      </c>
      <c r="K11" s="397"/>
      <c r="L11" s="398"/>
      <c r="M11" s="17"/>
      <c r="N11" s="17"/>
      <c r="O11" s="17"/>
      <c r="P11" s="17"/>
    </row>
    <row r="12" spans="1:16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  <c r="M12" s="17"/>
      <c r="N12" s="17"/>
      <c r="O12" s="17"/>
      <c r="P12" s="17"/>
    </row>
    <row r="13" spans="1:16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  <c r="M13" s="17"/>
      <c r="N13" s="17"/>
      <c r="O13" s="17"/>
      <c r="P13" s="17"/>
    </row>
    <row r="14" spans="1:16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  <c r="M14" s="17"/>
      <c r="N14" s="17"/>
      <c r="O14" s="17"/>
      <c r="P14" s="17"/>
    </row>
    <row r="15" spans="1:16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  <c r="M15" s="17"/>
      <c r="N15" s="17"/>
      <c r="O15" s="17"/>
      <c r="P15" s="17"/>
    </row>
    <row r="16" spans="1:16">
      <c r="A16" s="303" t="s">
        <v>148</v>
      </c>
      <c r="B16" s="304"/>
      <c r="C16" s="304"/>
      <c r="D16" s="28">
        <f>'Infos Mensuelles'!N20</f>
        <v>25</v>
      </c>
      <c r="E16" s="307" t="s">
        <v>149</v>
      </c>
      <c r="F16" s="308"/>
      <c r="G16" s="308"/>
      <c r="H16" s="69">
        <f>'Infos Mensuelles'!AG20</f>
        <v>0</v>
      </c>
      <c r="I16" s="303" t="s">
        <v>150</v>
      </c>
      <c r="J16" s="304"/>
      <c r="K16" s="304"/>
      <c r="L16" s="32">
        <f>'Infos Mensuelles'!W20</f>
        <v>0</v>
      </c>
      <c r="M16" s="17"/>
      <c r="N16" s="17"/>
      <c r="O16" s="17"/>
      <c r="P16" s="17"/>
    </row>
    <row r="17" spans="1:16">
      <c r="A17" s="305" t="s">
        <v>151</v>
      </c>
      <c r="B17" s="306"/>
      <c r="C17" s="306"/>
      <c r="D17" s="29">
        <f>'Infos Mensuelles'!P20</f>
        <v>1</v>
      </c>
      <c r="E17" s="68" t="s">
        <v>152</v>
      </c>
      <c r="F17" s="19"/>
      <c r="G17" s="19"/>
      <c r="H17" s="70">
        <f>'Infos Mensuelles'!AJ20</f>
        <v>0</v>
      </c>
      <c r="I17" s="305" t="s">
        <v>183</v>
      </c>
      <c r="J17" s="306"/>
      <c r="K17" s="306"/>
      <c r="L17" s="31">
        <f>'Infos Mensuelles'!U20</f>
        <v>0</v>
      </c>
      <c r="M17" s="17"/>
      <c r="N17" s="17"/>
      <c r="O17" s="17"/>
      <c r="P17" s="17"/>
    </row>
    <row r="18" spans="1:16">
      <c r="A18" s="305" t="s">
        <v>154</v>
      </c>
      <c r="B18" s="306"/>
      <c r="C18" s="306"/>
      <c r="D18" s="29">
        <f>'Infos Mensuelles'!O20</f>
        <v>5</v>
      </c>
      <c r="E18" s="305" t="s">
        <v>155</v>
      </c>
      <c r="F18" s="306"/>
      <c r="G18" s="306"/>
      <c r="H18" s="70">
        <f>'Infos Mensuelles'!AN20</f>
        <v>1</v>
      </c>
      <c r="I18" s="305" t="s">
        <v>184</v>
      </c>
      <c r="J18" s="306"/>
      <c r="K18" s="306"/>
      <c r="L18" s="31">
        <f>'Infos Mensuelles'!T20</f>
        <v>0</v>
      </c>
      <c r="M18" s="17"/>
      <c r="N18" s="17"/>
      <c r="O18" s="17"/>
      <c r="P18" s="17"/>
    </row>
    <row r="19" spans="1:16">
      <c r="A19" s="305" t="s">
        <v>157</v>
      </c>
      <c r="B19" s="306"/>
      <c r="C19" s="306"/>
      <c r="D19" s="29">
        <f>'Infos Mensuelles'!R20</f>
        <v>0</v>
      </c>
      <c r="E19" s="305" t="s">
        <v>158</v>
      </c>
      <c r="F19" s="306"/>
      <c r="G19" s="306"/>
      <c r="H19" s="70">
        <f>'Infos Mensuelles'!Q20</f>
        <v>0</v>
      </c>
      <c r="I19" s="305"/>
      <c r="J19" s="306"/>
      <c r="K19" s="306"/>
      <c r="L19" s="31"/>
      <c r="M19" s="17"/>
      <c r="N19" s="17"/>
      <c r="O19" s="17"/>
      <c r="P19" s="17"/>
    </row>
    <row r="20" spans="1:16">
      <c r="A20" s="346" t="s">
        <v>159</v>
      </c>
      <c r="B20" s="347"/>
      <c r="C20" s="347"/>
      <c r="D20" s="30">
        <f>'Infos Mensuelles'!S20</f>
        <v>31</v>
      </c>
      <c r="E20" s="346"/>
      <c r="F20" s="347"/>
      <c r="G20" s="347"/>
      <c r="H20" s="71"/>
      <c r="I20" s="346"/>
      <c r="J20" s="347"/>
      <c r="K20" s="347"/>
      <c r="L20" s="72"/>
      <c r="M20" s="17"/>
      <c r="N20" s="17"/>
      <c r="O20" s="17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M21" s="17"/>
      <c r="N21" s="17"/>
      <c r="O21" s="17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  <c r="M22" s="17"/>
      <c r="N22" s="17"/>
      <c r="O22" s="17"/>
      <c r="P22" s="17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  <c r="M23" s="17"/>
      <c r="N23" s="17"/>
      <c r="O23" s="17"/>
      <c r="P23" s="17"/>
    </row>
    <row r="24" spans="1:16" ht="16.5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  <c r="M24" s="20"/>
      <c r="N24" s="20"/>
      <c r="O24" s="20"/>
      <c r="P24" s="20"/>
    </row>
    <row r="25" spans="1:16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M25" s="20"/>
      <c r="N25" s="20"/>
      <c r="O25" s="17"/>
      <c r="P25" s="20"/>
    </row>
    <row r="26" spans="1:16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M26" s="20"/>
      <c r="N26" s="20"/>
      <c r="O26" s="17"/>
      <c r="P26" s="2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Mensuelles'!H20</f>
        <v>1800</v>
      </c>
      <c r="H27" s="284"/>
      <c r="I27" s="284"/>
      <c r="J27" s="286"/>
      <c r="K27" s="287"/>
      <c r="L27" s="288"/>
      <c r="M27" s="17"/>
      <c r="N27" s="17"/>
      <c r="O27" s="17"/>
      <c r="P27" s="17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Mensuelles'!I20</f>
        <v>600</v>
      </c>
      <c r="H28" s="284"/>
      <c r="I28" s="284"/>
      <c r="J28" s="286"/>
      <c r="K28" s="287"/>
      <c r="L28" s="288"/>
      <c r="M28" s="17"/>
      <c r="N28" s="17"/>
      <c r="O28" s="17"/>
      <c r="P28" s="17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Mensuelles'!J20</f>
        <v>600</v>
      </c>
      <c r="H29" s="284"/>
      <c r="I29" s="284"/>
      <c r="J29" s="286"/>
      <c r="K29" s="287"/>
      <c r="L29" s="288"/>
      <c r="M29" s="17"/>
      <c r="N29" s="17"/>
      <c r="O29" s="17"/>
      <c r="P29" s="17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Mensuelles'!K20</f>
        <v>0</v>
      </c>
      <c r="H30" s="284"/>
      <c r="I30" s="284"/>
      <c r="J30" s="286"/>
      <c r="K30" s="287"/>
      <c r="L30" s="288"/>
      <c r="M30" s="17"/>
      <c r="N30" s="17"/>
      <c r="O30" s="17"/>
      <c r="P30" s="17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Mensuelles'!L20</f>
        <v>0</v>
      </c>
      <c r="H31" s="284"/>
      <c r="I31" s="284"/>
      <c r="J31" s="286"/>
      <c r="K31" s="287"/>
      <c r="L31" s="288"/>
      <c r="M31" s="17"/>
      <c r="N31" s="17"/>
      <c r="O31" s="17"/>
      <c r="P31" s="17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Mensuelles'!AI20</f>
        <v>0</v>
      </c>
      <c r="H32" s="284"/>
      <c r="I32" s="285"/>
      <c r="J32" s="286"/>
      <c r="K32" s="287"/>
      <c r="L32" s="288"/>
      <c r="M32" s="17"/>
      <c r="N32" s="17"/>
      <c r="O32" s="17"/>
      <c r="P32" s="17"/>
    </row>
    <row r="33" spans="1:16">
      <c r="A33" s="315" t="s">
        <v>152</v>
      </c>
      <c r="B33" s="316"/>
      <c r="C33" s="316"/>
      <c r="D33" s="316"/>
      <c r="E33" s="316"/>
      <c r="F33" s="434"/>
      <c r="G33" s="283">
        <f>'Infos Mensuelles'!AL20</f>
        <v>0</v>
      </c>
      <c r="H33" s="284"/>
      <c r="I33" s="285"/>
      <c r="J33" s="286"/>
      <c r="K33" s="287"/>
      <c r="L33" s="288"/>
      <c r="M33" s="17"/>
      <c r="N33" s="17"/>
      <c r="O33" s="17"/>
      <c r="P33" s="17"/>
    </row>
    <row r="34" spans="1:16">
      <c r="A34" s="315" t="s">
        <v>26</v>
      </c>
      <c r="B34" s="316"/>
      <c r="C34" s="316"/>
      <c r="D34" s="316"/>
      <c r="E34" s="316"/>
      <c r="F34" s="434"/>
      <c r="G34" s="283">
        <f>'Infos Mensuelles'!AP20</f>
        <v>99</v>
      </c>
      <c r="H34" s="284"/>
      <c r="I34" s="285"/>
      <c r="J34" s="286"/>
      <c r="K34" s="287"/>
      <c r="L34" s="288"/>
      <c r="M34" s="17"/>
      <c r="N34" s="17"/>
      <c r="O34" s="17"/>
      <c r="P34" s="17"/>
    </row>
    <row r="35" spans="1:16">
      <c r="A35" s="315" t="s">
        <v>168</v>
      </c>
      <c r="B35" s="316"/>
      <c r="C35" s="316"/>
      <c r="D35" s="316"/>
      <c r="E35" s="316"/>
      <c r="F35" s="434"/>
      <c r="G35" s="283">
        <f>'Infos Mensuelles'!AS20</f>
        <v>0</v>
      </c>
      <c r="H35" s="284"/>
      <c r="I35" s="285"/>
      <c r="J35" s="286"/>
      <c r="K35" s="287"/>
      <c r="L35" s="288"/>
      <c r="M35" s="17"/>
      <c r="N35" s="17"/>
      <c r="O35" s="17"/>
      <c r="P35" s="17"/>
    </row>
    <row r="36" spans="1:16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  <c r="M36" s="17"/>
      <c r="N36" s="17"/>
      <c r="O36" s="17"/>
      <c r="P36" s="17"/>
    </row>
    <row r="37" spans="1:16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  <c r="M37" s="17"/>
      <c r="N37" s="17"/>
      <c r="O37" s="17"/>
      <c r="P37" s="17"/>
    </row>
    <row r="38" spans="1:16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v>0</v>
      </c>
      <c r="K38" s="290"/>
      <c r="L38" s="291"/>
      <c r="M38" s="17"/>
      <c r="N38" s="17"/>
      <c r="O38" s="17"/>
      <c r="P38" s="17"/>
    </row>
    <row r="39" spans="1:16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Mensuelles'!AV20</f>
        <v>0</v>
      </c>
      <c r="K39" s="290"/>
      <c r="L39" s="291"/>
      <c r="M39" s="17"/>
      <c r="N39" s="17"/>
      <c r="O39" s="17"/>
      <c r="P39" s="17"/>
    </row>
    <row r="40" spans="1:16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Mensuelles'!AW20</f>
        <v>0</v>
      </c>
      <c r="K40" s="290"/>
      <c r="L40" s="291"/>
      <c r="M40" s="17"/>
      <c r="N40" s="17"/>
      <c r="O40" s="17"/>
      <c r="P40" s="17"/>
    </row>
    <row r="41" spans="1:16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Mensuelles'!AA20</f>
        <v>0</v>
      </c>
      <c r="K41" s="290"/>
      <c r="L41" s="291"/>
      <c r="M41" s="17"/>
      <c r="N41" s="17"/>
      <c r="O41" s="17"/>
      <c r="P41" s="17"/>
    </row>
    <row r="42" spans="1:16">
      <c r="A42" s="435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Mensuelles'!X20</f>
        <v>0</v>
      </c>
      <c r="K42" s="290"/>
      <c r="L42" s="291"/>
      <c r="M42" s="17"/>
      <c r="N42" s="17"/>
      <c r="O42" s="17"/>
      <c r="P42" s="17"/>
    </row>
    <row r="43" spans="1:16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Mensuelles'!Y20</f>
        <v>0</v>
      </c>
      <c r="K43" s="290"/>
      <c r="L43" s="291"/>
      <c r="M43" s="17"/>
      <c r="N43" s="17"/>
      <c r="O43" s="17"/>
      <c r="P43" s="17"/>
    </row>
    <row r="44" spans="1:16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Mensuelles'!Z20</f>
        <v>0</v>
      </c>
      <c r="K44" s="290"/>
      <c r="L44" s="291"/>
      <c r="M44" s="17"/>
      <c r="N44" s="17"/>
      <c r="O44" s="17"/>
      <c r="P44" s="17"/>
    </row>
    <row r="45" spans="1:16">
      <c r="A45" s="292"/>
      <c r="B45" s="293"/>
      <c r="C45" s="293"/>
      <c r="D45" s="293"/>
      <c r="E45" s="293"/>
      <c r="F45" s="293"/>
      <c r="G45" s="286"/>
      <c r="H45" s="287"/>
      <c r="I45" s="288"/>
      <c r="J45" s="286"/>
      <c r="K45" s="287"/>
      <c r="L45" s="288"/>
      <c r="M45" s="17"/>
      <c r="N45" s="17"/>
      <c r="O45" s="17"/>
      <c r="P45" s="17"/>
    </row>
    <row r="46" spans="1:16">
      <c r="A46" s="335" t="s">
        <v>176</v>
      </c>
      <c r="B46" s="336"/>
      <c r="C46" s="336"/>
      <c r="D46" s="336"/>
      <c r="E46" s="336"/>
      <c r="F46" s="337"/>
      <c r="G46" s="338">
        <f>SUM(G27:I35)</f>
        <v>3099</v>
      </c>
      <c r="H46" s="339"/>
      <c r="I46" s="340"/>
      <c r="J46" s="338">
        <f>SUM(J38:L45)</f>
        <v>0</v>
      </c>
      <c r="K46" s="339"/>
      <c r="L46" s="340"/>
      <c r="M46" s="17"/>
      <c r="N46" s="17"/>
      <c r="O46" s="17"/>
      <c r="P46" s="17"/>
    </row>
    <row r="47" spans="1:16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  <c r="M47" s="17"/>
      <c r="N47" s="17"/>
      <c r="O47" s="17"/>
      <c r="P47" s="17"/>
    </row>
    <row r="48" spans="1:16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  <c r="M48" s="17"/>
      <c r="N48" s="17"/>
      <c r="O48" s="17"/>
      <c r="P48" s="17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3099</v>
      </c>
      <c r="H49" s="281"/>
      <c r="I49" s="281"/>
      <c r="J49" s="281"/>
      <c r="K49" s="281"/>
      <c r="L49" s="282"/>
      <c r="M49" s="17"/>
      <c r="N49" s="17"/>
      <c r="O49" s="17"/>
      <c r="P49" s="17"/>
    </row>
    <row r="50" spans="1:16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7"/>
      <c r="N50" s="17"/>
      <c r="O50" s="17"/>
      <c r="P50" s="17"/>
    </row>
    <row r="51" spans="1:16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  <c r="M51" s="17"/>
      <c r="N51" s="17"/>
      <c r="O51" s="17"/>
      <c r="P51" s="17"/>
    </row>
    <row r="52" spans="1:16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  <c r="M54" s="17"/>
      <c r="N54" s="17"/>
      <c r="O54" s="17"/>
      <c r="P54" s="17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  <c r="M55" s="17"/>
      <c r="N55" s="17"/>
      <c r="O55" s="17"/>
      <c r="P55" s="17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  <c r="M56" s="17"/>
      <c r="N56" s="17"/>
      <c r="O56" s="17"/>
      <c r="P56" s="17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  <c r="M57" s="17"/>
      <c r="N57" s="17"/>
      <c r="O57" s="17"/>
      <c r="P57" s="17"/>
    </row>
  </sheetData>
  <mergeCells count="114">
    <mergeCell ref="A56:L57"/>
    <mergeCell ref="A50:L52"/>
    <mergeCell ref="A53:F53"/>
    <mergeCell ref="G53:L55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1A48-906A-4D54-86B1-F8384F84F60A}">
  <sheetPr>
    <pageSetUpPr fitToPage="1"/>
  </sheetPr>
  <dimension ref="A1:P57"/>
  <sheetViews>
    <sheetView workbookViewId="0">
      <selection activeCell="A50" sqref="A50:P57"/>
    </sheetView>
  </sheetViews>
  <sheetFormatPr defaultRowHeight="15"/>
  <sheetData>
    <row r="1" spans="1:16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  <c r="M1" s="17"/>
      <c r="N1" s="17"/>
      <c r="O1" s="17"/>
      <c r="P1" s="17"/>
    </row>
    <row r="2" spans="1:16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  <c r="M2" s="17"/>
      <c r="N2" s="17"/>
      <c r="O2" s="17"/>
      <c r="P2" s="17"/>
    </row>
    <row r="3" spans="1:16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  <c r="M3" s="17"/>
      <c r="N3" s="17"/>
      <c r="O3" s="17"/>
      <c r="P3" s="17"/>
    </row>
    <row r="4" spans="1:16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  <c r="M4" s="17"/>
      <c r="N4" s="17"/>
      <c r="O4" s="17"/>
      <c r="P4" s="17"/>
    </row>
    <row r="5" spans="1:16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  <c r="M5" s="17"/>
      <c r="N5" s="17"/>
      <c r="O5" s="17"/>
      <c r="P5" s="17"/>
    </row>
    <row r="6" spans="1:16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  <c r="M6" s="17"/>
      <c r="N6" s="17"/>
      <c r="O6" s="17"/>
      <c r="P6" s="17"/>
    </row>
    <row r="7" spans="1:16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  <c r="M7" s="17"/>
      <c r="N7" s="17"/>
      <c r="O7" s="17"/>
      <c r="P7" s="17"/>
    </row>
    <row r="8" spans="1:16" ht="19.5">
      <c r="A8" s="369" t="s">
        <v>142</v>
      </c>
      <c r="B8" s="370"/>
      <c r="C8" s="371"/>
      <c r="D8" s="375" t="str">
        <f>'Infos Mensuelles'!B21</f>
        <v>ALZAABI</v>
      </c>
      <c r="E8" s="376"/>
      <c r="F8" s="377"/>
      <c r="G8" s="381"/>
      <c r="H8" s="382" t="s">
        <v>143</v>
      </c>
      <c r="I8" s="383"/>
      <c r="J8" s="384" t="str">
        <f>'Infos Mensuelles'!F21</f>
        <v>_02120129566913</v>
      </c>
      <c r="K8" s="385"/>
      <c r="L8" s="386"/>
      <c r="M8" s="17"/>
      <c r="N8" s="17"/>
      <c r="O8" s="17"/>
      <c r="P8" s="17"/>
    </row>
    <row r="9" spans="1:16" ht="19.5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Mensuelles'!D21</f>
        <v>45600</v>
      </c>
      <c r="K9" s="390"/>
      <c r="L9" s="391"/>
      <c r="M9" s="17"/>
      <c r="N9" s="17"/>
      <c r="O9" s="17"/>
      <c r="P9" s="17"/>
    </row>
    <row r="10" spans="1:16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  <c r="M10" s="17"/>
      <c r="N10" s="17"/>
      <c r="O10" s="17"/>
      <c r="P10" s="17"/>
    </row>
    <row r="11" spans="1:16">
      <c r="A11" s="369" t="s">
        <v>145</v>
      </c>
      <c r="B11" s="370"/>
      <c r="C11" s="371"/>
      <c r="D11" s="375" t="str">
        <f>'Infos Mensuelles'!C21</f>
        <v xml:space="preserve">Mariam </v>
      </c>
      <c r="E11" s="376"/>
      <c r="F11" s="377"/>
      <c r="G11" s="381"/>
      <c r="H11" s="392" t="s">
        <v>146</v>
      </c>
      <c r="I11" s="393"/>
      <c r="J11" s="396" t="str">
        <f>'Infos Mensuelles'!G21</f>
        <v>Operations Coordinator (Remote)</v>
      </c>
      <c r="K11" s="397"/>
      <c r="L11" s="398"/>
      <c r="M11" s="17"/>
      <c r="N11" s="17"/>
      <c r="O11" s="17"/>
      <c r="P11" s="17"/>
    </row>
    <row r="12" spans="1:16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  <c r="M12" s="17"/>
      <c r="N12" s="17"/>
      <c r="O12" s="17"/>
      <c r="P12" s="17"/>
    </row>
    <row r="13" spans="1:16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  <c r="M13" s="17"/>
      <c r="N13" s="17"/>
      <c r="O13" s="17"/>
      <c r="P13" s="17"/>
    </row>
    <row r="14" spans="1:16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  <c r="M14" s="17"/>
      <c r="N14" s="17"/>
      <c r="O14" s="17"/>
      <c r="P14" s="17"/>
    </row>
    <row r="15" spans="1:16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  <c r="M15" s="17"/>
      <c r="N15" s="17"/>
      <c r="O15" s="17"/>
      <c r="P15" s="17"/>
    </row>
    <row r="16" spans="1:16">
      <c r="A16" s="303" t="s">
        <v>148</v>
      </c>
      <c r="B16" s="304"/>
      <c r="C16" s="304"/>
      <c r="D16" s="28">
        <f>'Infos Mensuelles'!N21</f>
        <v>21</v>
      </c>
      <c r="E16" s="307" t="s">
        <v>149</v>
      </c>
      <c r="F16" s="308"/>
      <c r="G16" s="308"/>
      <c r="H16" s="69">
        <f>'Infos Mensuelles'!AG21</f>
        <v>0</v>
      </c>
      <c r="I16" s="303" t="s">
        <v>150</v>
      </c>
      <c r="J16" s="304"/>
      <c r="K16" s="304"/>
      <c r="L16" s="32">
        <f>'Infos Mensuelles'!W21</f>
        <v>0</v>
      </c>
      <c r="M16" s="17"/>
      <c r="N16" s="17"/>
      <c r="O16" s="17"/>
      <c r="P16" s="17"/>
    </row>
    <row r="17" spans="1:16">
      <c r="A17" s="305" t="s">
        <v>151</v>
      </c>
      <c r="B17" s="306"/>
      <c r="C17" s="306"/>
      <c r="D17" s="29">
        <f>'Infos Mensuelles'!P21</f>
        <v>1</v>
      </c>
      <c r="E17" s="68" t="s">
        <v>152</v>
      </c>
      <c r="F17" s="19"/>
      <c r="G17" s="19"/>
      <c r="H17" s="70">
        <f>'Infos Mensuelles'!AJ21</f>
        <v>0</v>
      </c>
      <c r="I17" s="305" t="s">
        <v>153</v>
      </c>
      <c r="J17" s="306"/>
      <c r="K17" s="306"/>
      <c r="L17" s="31">
        <f>'Infos Mensuelles'!U21</f>
        <v>0</v>
      </c>
      <c r="M17" s="17"/>
      <c r="N17" s="17"/>
      <c r="O17" s="17"/>
      <c r="P17" s="17"/>
    </row>
    <row r="18" spans="1:16">
      <c r="A18" s="305" t="s">
        <v>154</v>
      </c>
      <c r="B18" s="306"/>
      <c r="C18" s="306"/>
      <c r="D18" s="29">
        <f>'Infos Mensuelles'!O21</f>
        <v>9</v>
      </c>
      <c r="E18" s="305" t="s">
        <v>155</v>
      </c>
      <c r="F18" s="306"/>
      <c r="G18" s="306"/>
      <c r="H18" s="70">
        <f>'Infos Mensuelles'!AJ21</f>
        <v>0</v>
      </c>
      <c r="I18" s="305" t="s">
        <v>156</v>
      </c>
      <c r="J18" s="306"/>
      <c r="K18" s="306"/>
      <c r="L18" s="31">
        <f>'Infos Mensuelles'!T21</f>
        <v>0</v>
      </c>
      <c r="M18" s="17"/>
      <c r="N18" s="17"/>
      <c r="O18" s="17"/>
      <c r="P18" s="17"/>
    </row>
    <row r="19" spans="1:16">
      <c r="A19" s="305" t="s">
        <v>157</v>
      </c>
      <c r="B19" s="306"/>
      <c r="C19" s="306"/>
      <c r="D19" s="29">
        <f>'Infos Mensuelles'!R21</f>
        <v>0</v>
      </c>
      <c r="E19" s="305" t="s">
        <v>158</v>
      </c>
      <c r="F19" s="306"/>
      <c r="G19" s="306"/>
      <c r="H19" s="70">
        <f>'Infos Mensuelles'!Q21</f>
        <v>0</v>
      </c>
      <c r="I19" s="305"/>
      <c r="J19" s="306"/>
      <c r="K19" s="306"/>
      <c r="L19" s="31"/>
      <c r="M19" s="17"/>
      <c r="N19" s="17"/>
      <c r="O19" s="17"/>
      <c r="P19" s="17"/>
    </row>
    <row r="20" spans="1:16">
      <c r="A20" s="346" t="s">
        <v>159</v>
      </c>
      <c r="B20" s="347"/>
      <c r="C20" s="347"/>
      <c r="D20" s="30">
        <f>'Infos Mensuelles'!S21</f>
        <v>31</v>
      </c>
      <c r="E20" s="346"/>
      <c r="F20" s="347"/>
      <c r="G20" s="347"/>
      <c r="H20" s="71"/>
      <c r="I20" s="346"/>
      <c r="J20" s="347"/>
      <c r="K20" s="347"/>
      <c r="L20" s="72"/>
      <c r="M20" s="17"/>
      <c r="N20" s="17"/>
      <c r="O20" s="17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M21" s="17"/>
      <c r="N21" s="17"/>
      <c r="O21" s="17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  <c r="M22" s="17"/>
      <c r="N22" s="17"/>
      <c r="O22" s="17"/>
      <c r="P22" s="17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  <c r="M23" s="17"/>
      <c r="N23" s="17"/>
      <c r="O23" s="17"/>
      <c r="P23" s="17"/>
    </row>
    <row r="24" spans="1:16" ht="16.5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  <c r="M24" s="20"/>
      <c r="N24" s="20"/>
      <c r="O24" s="20"/>
      <c r="P24" s="20"/>
    </row>
    <row r="25" spans="1:16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M25" s="20"/>
      <c r="N25" s="20"/>
      <c r="O25" s="17"/>
      <c r="P25" s="20"/>
    </row>
    <row r="26" spans="1:16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M26" s="20"/>
      <c r="N26" s="20"/>
      <c r="O26" s="17"/>
      <c r="P26" s="2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Mensuelles'!H21</f>
        <v>3000</v>
      </c>
      <c r="H27" s="284"/>
      <c r="I27" s="284"/>
      <c r="J27" s="286"/>
      <c r="K27" s="287"/>
      <c r="L27" s="288"/>
      <c r="M27" s="17"/>
      <c r="N27" s="17"/>
      <c r="O27" s="17"/>
      <c r="P27" s="17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Mensuelles'!I21</f>
        <v>1000</v>
      </c>
      <c r="H28" s="284"/>
      <c r="I28" s="284"/>
      <c r="J28" s="286"/>
      <c r="K28" s="287"/>
      <c r="L28" s="288"/>
      <c r="M28" s="17"/>
      <c r="N28" s="17"/>
      <c r="O28" s="17"/>
      <c r="P28" s="17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Mensuelles'!J21</f>
        <v>1000</v>
      </c>
      <c r="H29" s="284"/>
      <c r="I29" s="284"/>
      <c r="J29" s="286"/>
      <c r="K29" s="287"/>
      <c r="L29" s="288"/>
      <c r="M29" s="17"/>
      <c r="N29" s="17"/>
      <c r="O29" s="17"/>
      <c r="P29" s="17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Mensuelles'!K21</f>
        <v>0</v>
      </c>
      <c r="H30" s="284"/>
      <c r="I30" s="284"/>
      <c r="J30" s="286"/>
      <c r="K30" s="287"/>
      <c r="L30" s="288"/>
      <c r="M30" s="17"/>
      <c r="N30" s="17"/>
      <c r="O30" s="17"/>
      <c r="P30" s="17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Mensuelles'!L21</f>
        <v>0</v>
      </c>
      <c r="H31" s="284"/>
      <c r="I31" s="284"/>
      <c r="J31" s="286"/>
      <c r="K31" s="287"/>
      <c r="L31" s="288"/>
      <c r="M31" s="17"/>
      <c r="N31" s="17"/>
      <c r="O31" s="17"/>
      <c r="P31" s="17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Mensuelles'!AI21</f>
        <v>0</v>
      </c>
      <c r="H32" s="284"/>
      <c r="I32" s="285"/>
      <c r="J32" s="286"/>
      <c r="K32" s="287"/>
      <c r="L32" s="288"/>
      <c r="M32" s="17"/>
      <c r="N32" s="17"/>
      <c r="O32" s="17"/>
      <c r="P32" s="17"/>
    </row>
    <row r="33" spans="1:16">
      <c r="A33" s="315" t="s">
        <v>152</v>
      </c>
      <c r="B33" s="316"/>
      <c r="C33" s="316"/>
      <c r="D33" s="316"/>
      <c r="E33" s="316"/>
      <c r="F33" s="434"/>
      <c r="G33" s="283">
        <f>'Infos Mensuelles'!AL21</f>
        <v>0</v>
      </c>
      <c r="H33" s="284"/>
      <c r="I33" s="285"/>
      <c r="J33" s="286"/>
      <c r="K33" s="287"/>
      <c r="L33" s="288"/>
      <c r="M33" s="17"/>
      <c r="N33" s="17"/>
      <c r="O33" s="17"/>
      <c r="P33" s="17"/>
    </row>
    <row r="34" spans="1:16">
      <c r="A34" s="315" t="s">
        <v>26</v>
      </c>
      <c r="B34" s="316"/>
      <c r="C34" s="316"/>
      <c r="D34" s="316"/>
      <c r="E34" s="316"/>
      <c r="F34" s="434"/>
      <c r="G34" s="283">
        <f>'Infos Mensuelles'!AP21</f>
        <v>0</v>
      </c>
      <c r="H34" s="284"/>
      <c r="I34" s="285"/>
      <c r="J34" s="286"/>
      <c r="K34" s="287"/>
      <c r="L34" s="288"/>
      <c r="M34" s="17"/>
      <c r="N34" s="17"/>
      <c r="O34" s="17"/>
      <c r="P34" s="17"/>
    </row>
    <row r="35" spans="1:16">
      <c r="A35" s="315" t="s">
        <v>185</v>
      </c>
      <c r="B35" s="316"/>
      <c r="C35" s="316"/>
      <c r="D35" s="316"/>
      <c r="E35" s="316"/>
      <c r="F35" s="434"/>
      <c r="G35" s="283">
        <f>'Infos Mensuelles'!AS21</f>
        <v>0</v>
      </c>
      <c r="H35" s="284"/>
      <c r="I35" s="285"/>
      <c r="J35" s="286"/>
      <c r="K35" s="287"/>
      <c r="L35" s="288"/>
      <c r="M35" s="17"/>
      <c r="N35" s="17"/>
      <c r="O35" s="17"/>
      <c r="P35" s="17"/>
    </row>
    <row r="36" spans="1:16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  <c r="M36" s="17"/>
      <c r="N36" s="17"/>
      <c r="O36" s="17"/>
      <c r="P36" s="17"/>
    </row>
    <row r="37" spans="1:16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  <c r="M37" s="17"/>
      <c r="N37" s="17"/>
      <c r="O37" s="17"/>
      <c r="P37" s="17"/>
    </row>
    <row r="38" spans="1:16">
      <c r="A38" s="315" t="s">
        <v>186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Mensuelles'!AU21</f>
        <v>550</v>
      </c>
      <c r="K38" s="290"/>
      <c r="L38" s="291"/>
      <c r="M38" s="17"/>
      <c r="N38" s="17"/>
      <c r="O38" s="17"/>
      <c r="P38" s="17"/>
    </row>
    <row r="39" spans="1:16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Mensuelles'!AV21</f>
        <v>0</v>
      </c>
      <c r="K39" s="290"/>
      <c r="L39" s="291"/>
      <c r="M39" s="17"/>
      <c r="N39" s="17"/>
      <c r="O39" s="17"/>
      <c r="P39" s="17"/>
    </row>
    <row r="40" spans="1:16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Mensuelles'!AW21</f>
        <v>0</v>
      </c>
      <c r="K40" s="290"/>
      <c r="L40" s="291"/>
      <c r="M40" s="17"/>
      <c r="N40" s="17"/>
      <c r="O40" s="17"/>
      <c r="P40" s="17"/>
    </row>
    <row r="41" spans="1:16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Mensuelles'!AA21</f>
        <v>0</v>
      </c>
      <c r="K41" s="290"/>
      <c r="L41" s="291"/>
      <c r="M41" s="17"/>
      <c r="N41" s="17"/>
      <c r="O41" s="17"/>
      <c r="P41" s="17"/>
    </row>
    <row r="42" spans="1:16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Mensuelles'!X21</f>
        <v>0</v>
      </c>
      <c r="K42" s="290"/>
      <c r="L42" s="291"/>
      <c r="M42" s="17"/>
      <c r="N42" s="17"/>
      <c r="O42" s="17"/>
      <c r="P42" s="17"/>
    </row>
    <row r="43" spans="1:16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Mensuelles'!Y21</f>
        <v>0</v>
      </c>
      <c r="K43" s="290"/>
      <c r="L43" s="291"/>
      <c r="M43" s="17"/>
      <c r="N43" s="17"/>
      <c r="O43" s="17"/>
      <c r="P43" s="17"/>
    </row>
    <row r="44" spans="1:16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Mensuelles'!Z21</f>
        <v>0</v>
      </c>
      <c r="K44" s="290"/>
      <c r="L44" s="291"/>
      <c r="M44" s="17"/>
      <c r="N44" s="17"/>
      <c r="O44" s="17"/>
      <c r="P44" s="17"/>
    </row>
    <row r="45" spans="1:16">
      <c r="A45" s="444" t="s">
        <v>187</v>
      </c>
      <c r="B45" s="445"/>
      <c r="C45" s="445"/>
      <c r="D45" s="445"/>
      <c r="E45" s="445"/>
      <c r="F45" s="445"/>
      <c r="G45" s="286"/>
      <c r="H45" s="287"/>
      <c r="I45" s="288"/>
      <c r="J45" s="289">
        <f>'Infos Mensuelles'!Z48</f>
        <v>0</v>
      </c>
      <c r="K45" s="290"/>
      <c r="L45" s="291"/>
      <c r="M45" s="17"/>
      <c r="N45" s="17"/>
      <c r="O45" s="17"/>
      <c r="P45" s="17"/>
    </row>
    <row r="46" spans="1:16">
      <c r="A46" s="335" t="s">
        <v>176</v>
      </c>
      <c r="B46" s="336"/>
      <c r="C46" s="336"/>
      <c r="D46" s="336"/>
      <c r="E46" s="336"/>
      <c r="F46" s="337"/>
      <c r="G46" s="338">
        <f>SUM(G27:I35)</f>
        <v>5000</v>
      </c>
      <c r="H46" s="339"/>
      <c r="I46" s="340"/>
      <c r="J46" s="338">
        <f>SUM(J38:L45)</f>
        <v>550</v>
      </c>
      <c r="K46" s="339"/>
      <c r="L46" s="340"/>
      <c r="M46" s="17"/>
      <c r="N46" s="17"/>
      <c r="O46" s="17"/>
      <c r="P46" s="17"/>
    </row>
    <row r="47" spans="1:16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  <c r="M47" s="17"/>
      <c r="N47" s="17"/>
      <c r="O47" s="17"/>
      <c r="P47" s="17"/>
    </row>
    <row r="48" spans="1:16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  <c r="M48" s="17"/>
      <c r="N48" s="17"/>
      <c r="O48" s="17"/>
      <c r="P48" s="17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4450</v>
      </c>
      <c r="H49" s="281"/>
      <c r="I49" s="281"/>
      <c r="J49" s="281"/>
      <c r="K49" s="281"/>
      <c r="L49" s="282"/>
      <c r="M49" s="17"/>
      <c r="N49" s="17"/>
      <c r="O49" s="17"/>
      <c r="P49" s="17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7"/>
      <c r="N50" s="17"/>
      <c r="O50" s="17"/>
      <c r="P50" s="17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  <c r="M51" s="17"/>
      <c r="N51" s="17"/>
      <c r="O51" s="17"/>
      <c r="P51" s="17"/>
    </row>
    <row r="52" spans="1:16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  <c r="M54" s="17"/>
      <c r="N54" s="17"/>
      <c r="O54" s="17"/>
      <c r="P54" s="17"/>
    </row>
    <row r="55" spans="1:16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  <c r="M55" s="17"/>
      <c r="N55" s="17"/>
      <c r="O55" s="17"/>
      <c r="P55" s="17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  <c r="M56" s="17"/>
      <c r="N56" s="17"/>
      <c r="O56" s="17"/>
      <c r="P56" s="17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  <c r="M57" s="17"/>
      <c r="N57" s="17"/>
      <c r="O57" s="17"/>
      <c r="P57" s="17"/>
    </row>
  </sheetData>
  <mergeCells count="114">
    <mergeCell ref="A56:L57"/>
    <mergeCell ref="A54:C54"/>
    <mergeCell ref="D54:F54"/>
    <mergeCell ref="A55:C55"/>
    <mergeCell ref="D55:F55"/>
    <mergeCell ref="A46:F46"/>
    <mergeCell ref="G46:I46"/>
    <mergeCell ref="J46:L46"/>
    <mergeCell ref="A47:L48"/>
    <mergeCell ref="A49:F49"/>
    <mergeCell ref="G49:L49"/>
    <mergeCell ref="A50:L52"/>
    <mergeCell ref="A53:F53"/>
    <mergeCell ref="G53:L55"/>
    <mergeCell ref="A44:F44"/>
    <mergeCell ref="G44:I44"/>
    <mergeCell ref="J44:L44"/>
    <mergeCell ref="A45:F45"/>
    <mergeCell ref="G45:I45"/>
    <mergeCell ref="J45:L45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45E6-CCB6-415F-81E3-94300E65B6C3}">
  <sheetPr>
    <pageSetUpPr fitToPage="1"/>
  </sheetPr>
  <dimension ref="A1:P56"/>
  <sheetViews>
    <sheetView topLeftCell="A2" workbookViewId="0">
      <selection activeCell="J44" sqref="J44:L44"/>
    </sheetView>
  </sheetViews>
  <sheetFormatPr defaultRowHeight="15"/>
  <sheetData>
    <row r="1" spans="1:16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  <c r="M1" s="17"/>
      <c r="N1" s="17"/>
      <c r="O1" s="17"/>
      <c r="P1" s="17"/>
    </row>
    <row r="2" spans="1:16" ht="16.5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  <c r="M2" s="17"/>
      <c r="N2" s="17"/>
      <c r="O2" s="17"/>
      <c r="P2" s="17"/>
    </row>
    <row r="3" spans="1:16" ht="19.5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  <c r="M3" s="17"/>
      <c r="N3" s="17"/>
      <c r="O3" s="17"/>
      <c r="P3" s="17"/>
    </row>
    <row r="4" spans="1:16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  <c r="M4" s="17"/>
      <c r="N4" s="17"/>
      <c r="O4" s="17"/>
      <c r="P4" s="17"/>
    </row>
    <row r="5" spans="1:16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  <c r="M5" s="17"/>
      <c r="N5" s="17"/>
      <c r="O5" s="17"/>
      <c r="P5" s="17"/>
    </row>
    <row r="6" spans="1:16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  <c r="M6" s="17"/>
      <c r="N6" s="17"/>
      <c r="O6" s="17"/>
      <c r="P6" s="17"/>
    </row>
    <row r="7" spans="1:16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  <c r="M7" s="17"/>
      <c r="N7" s="17"/>
      <c r="O7" s="17"/>
      <c r="P7" s="17"/>
    </row>
    <row r="8" spans="1:16" ht="19.5">
      <c r="A8" s="369" t="s">
        <v>142</v>
      </c>
      <c r="B8" s="370"/>
      <c r="C8" s="371"/>
      <c r="D8" s="375" t="str">
        <f>'Infos Mensuelles'!B22</f>
        <v>ALZAABI</v>
      </c>
      <c r="E8" s="376"/>
      <c r="F8" s="377"/>
      <c r="G8" s="381"/>
      <c r="H8" s="382" t="s">
        <v>143</v>
      </c>
      <c r="I8" s="383"/>
      <c r="J8" s="384" t="str">
        <f>'Infos Mensuelles'!F22</f>
        <v>_02124060158242</v>
      </c>
      <c r="K8" s="385"/>
      <c r="L8" s="386"/>
      <c r="M8" s="17"/>
      <c r="N8" s="17"/>
      <c r="O8" s="17"/>
      <c r="P8" s="17"/>
    </row>
    <row r="9" spans="1:16" ht="19.5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Mensuelles'!D22</f>
        <v>45600</v>
      </c>
      <c r="K9" s="390"/>
      <c r="L9" s="391"/>
      <c r="M9" s="17"/>
      <c r="N9" s="17"/>
      <c r="O9" s="17"/>
      <c r="P9" s="17"/>
    </row>
    <row r="10" spans="1:16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  <c r="M10" s="17"/>
      <c r="N10" s="17"/>
      <c r="O10" s="17"/>
      <c r="P10" s="17"/>
    </row>
    <row r="11" spans="1:16">
      <c r="A11" s="369" t="s">
        <v>145</v>
      </c>
      <c r="B11" s="370"/>
      <c r="C11" s="371"/>
      <c r="D11" s="375" t="str">
        <f>'Infos Mensuelles'!C22</f>
        <v xml:space="preserve">Fetoun </v>
      </c>
      <c r="E11" s="376"/>
      <c r="F11" s="377"/>
      <c r="G11" s="381"/>
      <c r="H11" s="392" t="s">
        <v>146</v>
      </c>
      <c r="I11" s="393"/>
      <c r="J11" s="396" t="str">
        <f>'Infos Mensuelles'!G22</f>
        <v>Inside Sales Assistant (Remote)</v>
      </c>
      <c r="K11" s="397"/>
      <c r="L11" s="398"/>
      <c r="M11" s="17"/>
      <c r="N11" s="17"/>
      <c r="O11" s="17"/>
      <c r="P11" s="17"/>
    </row>
    <row r="12" spans="1:16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  <c r="M12" s="17"/>
      <c r="N12" s="17"/>
      <c r="O12" s="17"/>
      <c r="P12" s="17"/>
    </row>
    <row r="13" spans="1:16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  <c r="M13" s="17"/>
      <c r="N13" s="17"/>
      <c r="O13" s="17"/>
      <c r="P13" s="17"/>
    </row>
    <row r="14" spans="1:16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  <c r="M14" s="17"/>
      <c r="N14" s="17"/>
      <c r="O14" s="17"/>
      <c r="P14" s="17"/>
    </row>
    <row r="15" spans="1:16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  <c r="M15" s="17"/>
      <c r="N15" s="17"/>
      <c r="O15" s="17"/>
      <c r="P15" s="17"/>
    </row>
    <row r="16" spans="1:16">
      <c r="A16" s="303" t="s">
        <v>148</v>
      </c>
      <c r="B16" s="304"/>
      <c r="C16" s="304"/>
      <c r="D16" s="28">
        <f>'Infos Mensuelles'!N22</f>
        <v>21</v>
      </c>
      <c r="E16" s="307" t="s">
        <v>149</v>
      </c>
      <c r="F16" s="308"/>
      <c r="G16" s="308"/>
      <c r="H16" s="69">
        <f>'Infos Mensuelles'!AG22</f>
        <v>0</v>
      </c>
      <c r="I16" s="303" t="s">
        <v>150</v>
      </c>
      <c r="J16" s="304"/>
      <c r="K16" s="304"/>
      <c r="L16" s="32">
        <f>'Infos Mensuelles'!W22</f>
        <v>0</v>
      </c>
      <c r="M16" s="17"/>
      <c r="N16" s="17"/>
      <c r="O16" s="17"/>
      <c r="P16" s="17"/>
    </row>
    <row r="17" spans="1:16">
      <c r="A17" s="305" t="s">
        <v>151</v>
      </c>
      <c r="B17" s="306"/>
      <c r="C17" s="306"/>
      <c r="D17" s="29">
        <f>'Infos Mensuelles'!P22</f>
        <v>1</v>
      </c>
      <c r="E17" s="68" t="s">
        <v>152</v>
      </c>
      <c r="F17" s="19"/>
      <c r="G17" s="19"/>
      <c r="H17" s="70">
        <f>'Infos Mensuelles'!AJ22</f>
        <v>0</v>
      </c>
      <c r="I17" s="305" t="s">
        <v>153</v>
      </c>
      <c r="J17" s="306"/>
      <c r="K17" s="306"/>
      <c r="L17" s="31">
        <f>'Infos Mensuelles'!U22</f>
        <v>0</v>
      </c>
      <c r="M17" s="17"/>
      <c r="N17" s="17"/>
      <c r="O17" s="17"/>
      <c r="P17" s="17"/>
    </row>
    <row r="18" spans="1:16">
      <c r="A18" s="305" t="s">
        <v>154</v>
      </c>
      <c r="B18" s="306"/>
      <c r="C18" s="306"/>
      <c r="D18" s="29">
        <f>'Infos Mensuelles'!O22</f>
        <v>9</v>
      </c>
      <c r="E18" s="305" t="s">
        <v>155</v>
      </c>
      <c r="F18" s="306"/>
      <c r="G18" s="306"/>
      <c r="H18" s="70">
        <f>'Infos Mensuelles'!AJ22</f>
        <v>0</v>
      </c>
      <c r="I18" s="305" t="s">
        <v>156</v>
      </c>
      <c r="J18" s="306"/>
      <c r="K18" s="306"/>
      <c r="L18" s="31">
        <f>'Infos Mensuelles'!T22</f>
        <v>0</v>
      </c>
      <c r="M18" s="17"/>
      <c r="N18" s="17"/>
      <c r="O18" s="17"/>
      <c r="P18" s="17"/>
    </row>
    <row r="19" spans="1:16">
      <c r="A19" s="305" t="s">
        <v>157</v>
      </c>
      <c r="B19" s="306"/>
      <c r="C19" s="306"/>
      <c r="D19" s="29">
        <f>'Infos Mensuelles'!R22</f>
        <v>0</v>
      </c>
      <c r="E19" s="305" t="s">
        <v>158</v>
      </c>
      <c r="F19" s="306"/>
      <c r="G19" s="306"/>
      <c r="H19" s="70">
        <f>'Infos Mensuelles'!Q22</f>
        <v>0</v>
      </c>
      <c r="I19" s="305"/>
      <c r="J19" s="306"/>
      <c r="K19" s="306"/>
      <c r="L19" s="31"/>
      <c r="M19" s="17"/>
      <c r="N19" s="17"/>
      <c r="O19" s="17"/>
      <c r="P19" s="17"/>
    </row>
    <row r="20" spans="1:16">
      <c r="A20" s="346" t="s">
        <v>159</v>
      </c>
      <c r="B20" s="347"/>
      <c r="C20" s="347"/>
      <c r="D20" s="30">
        <f>'Infos Mensuelles'!S22</f>
        <v>31</v>
      </c>
      <c r="E20" s="346"/>
      <c r="F20" s="347"/>
      <c r="G20" s="347"/>
      <c r="H20" s="71"/>
      <c r="I20" s="346"/>
      <c r="J20" s="347"/>
      <c r="K20" s="347"/>
      <c r="L20" s="72"/>
      <c r="M20" s="17"/>
      <c r="N20" s="17"/>
      <c r="O20" s="17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M21" s="17"/>
      <c r="N21" s="17"/>
      <c r="O21" s="17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  <c r="M22" s="17"/>
      <c r="N22" s="17"/>
      <c r="O22" s="17"/>
      <c r="P22" s="17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  <c r="M23" s="17"/>
      <c r="N23" s="17"/>
      <c r="O23" s="17"/>
      <c r="P23" s="17"/>
    </row>
    <row r="24" spans="1:16" ht="16.5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  <c r="M24" s="20"/>
      <c r="N24" s="20"/>
      <c r="O24" s="20"/>
      <c r="P24" s="20"/>
    </row>
    <row r="25" spans="1:16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M25" s="20"/>
      <c r="N25" s="20"/>
      <c r="O25" s="17"/>
      <c r="P25" s="20"/>
    </row>
    <row r="26" spans="1:16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M26" s="20"/>
      <c r="N26" s="20"/>
      <c r="O26" s="17"/>
      <c r="P26" s="20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Mensuelles'!H22</f>
        <v>3000</v>
      </c>
      <c r="H27" s="284"/>
      <c r="I27" s="284"/>
      <c r="J27" s="286"/>
      <c r="K27" s="287"/>
      <c r="L27" s="288"/>
      <c r="M27" s="17"/>
      <c r="N27" s="17"/>
      <c r="O27" s="17"/>
      <c r="P27" s="17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Mensuelles'!I22</f>
        <v>1000</v>
      </c>
      <c r="H28" s="284"/>
      <c r="I28" s="284"/>
      <c r="J28" s="286"/>
      <c r="K28" s="287"/>
      <c r="L28" s="288"/>
      <c r="M28" s="17"/>
      <c r="N28" s="17"/>
      <c r="O28" s="17"/>
      <c r="P28" s="17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Mensuelles'!J22</f>
        <v>1000</v>
      </c>
      <c r="H29" s="284"/>
      <c r="I29" s="284"/>
      <c r="J29" s="286"/>
      <c r="K29" s="287"/>
      <c r="L29" s="288"/>
      <c r="M29" s="17"/>
      <c r="N29" s="17"/>
      <c r="O29" s="17"/>
      <c r="P29" s="17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Mensuelles'!K22</f>
        <v>0</v>
      </c>
      <c r="H30" s="284"/>
      <c r="I30" s="284"/>
      <c r="J30" s="286"/>
      <c r="K30" s="287"/>
      <c r="L30" s="288"/>
      <c r="M30" s="17"/>
      <c r="N30" s="17"/>
      <c r="O30" s="17"/>
      <c r="P30" s="17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Mensuelles'!L22</f>
        <v>0</v>
      </c>
      <c r="H31" s="284"/>
      <c r="I31" s="284"/>
      <c r="J31" s="286"/>
      <c r="K31" s="287"/>
      <c r="L31" s="288"/>
      <c r="M31" s="17"/>
      <c r="N31" s="17"/>
      <c r="O31" s="17"/>
      <c r="P31" s="17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Mensuelles'!AI22</f>
        <v>0</v>
      </c>
      <c r="H32" s="284"/>
      <c r="I32" s="285"/>
      <c r="J32" s="286"/>
      <c r="K32" s="287"/>
      <c r="L32" s="288"/>
      <c r="M32" s="17"/>
      <c r="N32" s="17"/>
      <c r="O32" s="17"/>
      <c r="P32" s="17"/>
    </row>
    <row r="33" spans="1:16">
      <c r="A33" s="315" t="s">
        <v>152</v>
      </c>
      <c r="B33" s="316"/>
      <c r="C33" s="316"/>
      <c r="D33" s="316"/>
      <c r="E33" s="316"/>
      <c r="F33" s="434"/>
      <c r="G33" s="283">
        <f>'Infos Mensuelles'!AL22</f>
        <v>0</v>
      </c>
      <c r="H33" s="284"/>
      <c r="I33" s="285"/>
      <c r="J33" s="286"/>
      <c r="K33" s="287"/>
      <c r="L33" s="288"/>
      <c r="M33" s="17"/>
      <c r="N33" s="17"/>
      <c r="O33" s="17"/>
      <c r="P33" s="17"/>
    </row>
    <row r="34" spans="1:16">
      <c r="A34" s="315" t="s">
        <v>26</v>
      </c>
      <c r="B34" s="316"/>
      <c r="C34" s="316"/>
      <c r="D34" s="316"/>
      <c r="E34" s="316"/>
      <c r="F34" s="434"/>
      <c r="G34" s="283">
        <f>'Infos Mensuelles'!AP22</f>
        <v>0</v>
      </c>
      <c r="H34" s="284"/>
      <c r="I34" s="285"/>
      <c r="J34" s="286"/>
      <c r="K34" s="287"/>
      <c r="L34" s="288"/>
      <c r="M34" s="17"/>
      <c r="N34" s="17"/>
      <c r="O34" s="17"/>
      <c r="P34" s="17"/>
    </row>
    <row r="35" spans="1:16">
      <c r="A35" s="315" t="s">
        <v>185</v>
      </c>
      <c r="B35" s="316"/>
      <c r="C35" s="316"/>
      <c r="D35" s="316"/>
      <c r="E35" s="316"/>
      <c r="F35" s="434"/>
      <c r="G35" s="283">
        <f>'Infos Mensuelles'!AS22</f>
        <v>0</v>
      </c>
      <c r="H35" s="284"/>
      <c r="I35" s="285"/>
      <c r="J35" s="286"/>
      <c r="K35" s="287"/>
      <c r="L35" s="288"/>
      <c r="M35" s="17"/>
      <c r="N35" s="17"/>
      <c r="O35" s="17"/>
      <c r="P35" s="17"/>
    </row>
    <row r="36" spans="1:16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  <c r="M36" s="17"/>
      <c r="N36" s="17"/>
      <c r="O36" s="17"/>
      <c r="P36" s="17"/>
    </row>
    <row r="37" spans="1:16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  <c r="M37" s="17"/>
      <c r="N37" s="17"/>
      <c r="O37" s="17"/>
      <c r="P37" s="17"/>
    </row>
    <row r="38" spans="1:16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Mensuelles'!AU22</f>
        <v>550</v>
      </c>
      <c r="K38" s="290"/>
      <c r="L38" s="291"/>
      <c r="M38" s="17"/>
      <c r="N38" s="17"/>
      <c r="O38" s="17"/>
      <c r="P38" s="17"/>
    </row>
    <row r="39" spans="1:16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Mensuelles'!AV22</f>
        <v>0</v>
      </c>
      <c r="K39" s="290"/>
      <c r="L39" s="291"/>
      <c r="M39" s="17"/>
      <c r="N39" s="17"/>
      <c r="O39" s="17"/>
      <c r="P39" s="17"/>
    </row>
    <row r="40" spans="1:16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Mensuelles'!AW22</f>
        <v>0</v>
      </c>
      <c r="K40" s="290"/>
      <c r="L40" s="291"/>
      <c r="M40" s="17"/>
      <c r="N40" s="17"/>
      <c r="O40" s="17"/>
      <c r="P40" s="17"/>
    </row>
    <row r="41" spans="1:16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Mensuelles'!AA22</f>
        <v>0</v>
      </c>
      <c r="K41" s="290"/>
      <c r="L41" s="291"/>
      <c r="M41" s="17"/>
      <c r="N41" s="17"/>
      <c r="O41" s="17"/>
      <c r="P41" s="17"/>
    </row>
    <row r="42" spans="1:16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Mensuelles'!X22</f>
        <v>0</v>
      </c>
      <c r="K42" s="290"/>
      <c r="L42" s="291"/>
      <c r="M42" s="17"/>
      <c r="N42" s="17"/>
      <c r="O42" s="17"/>
      <c r="P42" s="17"/>
    </row>
    <row r="43" spans="1:16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Mensuelles'!Y22</f>
        <v>0</v>
      </c>
      <c r="K43" s="290"/>
      <c r="L43" s="291"/>
      <c r="M43" s="17"/>
      <c r="N43" s="17"/>
      <c r="O43" s="17"/>
      <c r="P43" s="17"/>
    </row>
    <row r="44" spans="1:16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Mensuelles'!Z22</f>
        <v>0</v>
      </c>
      <c r="K44" s="290"/>
      <c r="L44" s="291"/>
      <c r="M44" s="17"/>
      <c r="N44" s="17"/>
      <c r="O44" s="17"/>
      <c r="P44" s="17"/>
    </row>
    <row r="45" spans="1:16">
      <c r="A45" s="335" t="s">
        <v>176</v>
      </c>
      <c r="B45" s="336"/>
      <c r="C45" s="336"/>
      <c r="D45" s="336"/>
      <c r="E45" s="336"/>
      <c r="F45" s="337"/>
      <c r="G45" s="338">
        <f>SUM(G27:I35)</f>
        <v>5000</v>
      </c>
      <c r="H45" s="339"/>
      <c r="I45" s="340"/>
      <c r="J45" s="338">
        <f>SUM(J38:L44)</f>
        <v>550</v>
      </c>
      <c r="K45" s="339"/>
      <c r="L45" s="340"/>
      <c r="M45" s="17"/>
      <c r="N45" s="17"/>
      <c r="O45" s="17"/>
      <c r="P45" s="17"/>
    </row>
    <row r="46" spans="1:16">
      <c r="A46" s="341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3"/>
      <c r="M46" s="17"/>
      <c r="N46" s="17"/>
      <c r="O46" s="17"/>
      <c r="P46" s="17"/>
    </row>
    <row r="47" spans="1:16">
      <c r="A47" s="297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9"/>
      <c r="M47" s="17"/>
      <c r="N47" s="17"/>
      <c r="O47" s="17"/>
      <c r="P47" s="17"/>
    </row>
    <row r="48" spans="1:16" ht="30.75">
      <c r="A48" s="344" t="s">
        <v>177</v>
      </c>
      <c r="B48" s="345"/>
      <c r="C48" s="345"/>
      <c r="D48" s="345"/>
      <c r="E48" s="345"/>
      <c r="F48" s="345"/>
      <c r="G48" s="280">
        <f>G45-J45</f>
        <v>4450</v>
      </c>
      <c r="H48" s="281"/>
      <c r="I48" s="281"/>
      <c r="J48" s="281"/>
      <c r="K48" s="281"/>
      <c r="L48" s="282"/>
      <c r="M48" s="17"/>
      <c r="N48" s="17"/>
      <c r="O48" s="17"/>
      <c r="P48" s="17"/>
    </row>
    <row r="49" spans="1:16" ht="15" customHeight="1">
      <c r="A49" s="329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1"/>
      <c r="M49" s="17"/>
      <c r="N49" s="17"/>
      <c r="O49" s="17"/>
      <c r="P49" s="17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7"/>
      <c r="N50" s="17"/>
      <c r="O50" s="17"/>
      <c r="P50" s="17"/>
    </row>
    <row r="51" spans="1:16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  <c r="M51" s="17"/>
      <c r="N51" s="17"/>
      <c r="O51" s="17"/>
      <c r="P51" s="17"/>
    </row>
    <row r="52" spans="1:16" ht="19.5">
      <c r="A52" s="332" t="s">
        <v>178</v>
      </c>
      <c r="B52" s="333"/>
      <c r="C52" s="333"/>
      <c r="D52" s="333"/>
      <c r="E52" s="333"/>
      <c r="F52" s="334"/>
      <c r="G52" s="431"/>
      <c r="H52" s="432"/>
      <c r="I52" s="432"/>
      <c r="J52" s="432"/>
      <c r="K52" s="432"/>
      <c r="L52" s="433"/>
      <c r="M52" s="21"/>
      <c r="N52" s="21"/>
      <c r="O52" s="21"/>
      <c r="P52" s="21"/>
    </row>
    <row r="53" spans="1:16">
      <c r="A53" s="317" t="s">
        <v>179</v>
      </c>
      <c r="B53" s="318"/>
      <c r="C53" s="319"/>
      <c r="D53" s="320">
        <f>'Infos Mensuelles'!E1</f>
        <v>46053</v>
      </c>
      <c r="E53" s="321"/>
      <c r="F53" s="322"/>
      <c r="G53" s="431"/>
      <c r="H53" s="432"/>
      <c r="I53" s="432"/>
      <c r="J53" s="432"/>
      <c r="K53" s="432"/>
      <c r="L53" s="433"/>
      <c r="M53" s="17"/>
      <c r="N53" s="17"/>
      <c r="O53" s="17"/>
      <c r="P53" s="17"/>
    </row>
    <row r="54" spans="1:16">
      <c r="A54" s="323" t="s">
        <v>180</v>
      </c>
      <c r="B54" s="324"/>
      <c r="C54" s="325"/>
      <c r="D54" s="326" t="s">
        <v>181</v>
      </c>
      <c r="E54" s="327"/>
      <c r="F54" s="328"/>
      <c r="G54" s="431"/>
      <c r="H54" s="432"/>
      <c r="I54" s="432"/>
      <c r="J54" s="432"/>
      <c r="K54" s="432"/>
      <c r="L54" s="433"/>
      <c r="M54" s="17"/>
      <c r="N54" s="17"/>
      <c r="O54" s="17"/>
      <c r="P54" s="17"/>
    </row>
    <row r="55" spans="1:16">
      <c r="A55" s="309" t="s">
        <v>182</v>
      </c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1"/>
      <c r="M55" s="17"/>
      <c r="N55" s="17"/>
      <c r="O55" s="17"/>
      <c r="P55" s="17"/>
    </row>
    <row r="56" spans="1:16">
      <c r="A56" s="312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4"/>
      <c r="M56" s="17"/>
      <c r="N56" s="17"/>
      <c r="O56" s="17"/>
      <c r="P56" s="17"/>
    </row>
  </sheetData>
  <mergeCells count="111">
    <mergeCell ref="A55:L56"/>
    <mergeCell ref="A53:C53"/>
    <mergeCell ref="D53:F53"/>
    <mergeCell ref="A54:C54"/>
    <mergeCell ref="D54:F54"/>
    <mergeCell ref="A45:F45"/>
    <mergeCell ref="G45:I45"/>
    <mergeCell ref="J45:L45"/>
    <mergeCell ref="A46:L47"/>
    <mergeCell ref="A48:F48"/>
    <mergeCell ref="G48:L48"/>
    <mergeCell ref="A49:L51"/>
    <mergeCell ref="A52:F52"/>
    <mergeCell ref="G52:L54"/>
    <mergeCell ref="A44:F44"/>
    <mergeCell ref="G44:I44"/>
    <mergeCell ref="J44:L44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38:F38"/>
    <mergeCell ref="G38:I38"/>
    <mergeCell ref="J38:L38"/>
    <mergeCell ref="A39:F39"/>
    <mergeCell ref="G39:I39"/>
    <mergeCell ref="J39:L39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2:F32"/>
    <mergeCell ref="G32:I32"/>
    <mergeCell ref="J32:L32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8:F28"/>
    <mergeCell ref="G28:I28"/>
    <mergeCell ref="J28:L28"/>
    <mergeCell ref="A29:F29"/>
    <mergeCell ref="G29:I29"/>
    <mergeCell ref="J29:L29"/>
    <mergeCell ref="A26:F26"/>
    <mergeCell ref="G26:I26"/>
    <mergeCell ref="J26:L26"/>
    <mergeCell ref="A27:F27"/>
    <mergeCell ref="G27:I27"/>
    <mergeCell ref="J27:L27"/>
    <mergeCell ref="A20:C20"/>
    <mergeCell ref="E20:G20"/>
    <mergeCell ref="I20:K20"/>
    <mergeCell ref="A21:L22"/>
    <mergeCell ref="A23:L23"/>
    <mergeCell ref="A24:F25"/>
    <mergeCell ref="G24:I25"/>
    <mergeCell ref="J24:L25"/>
    <mergeCell ref="A18:C18"/>
    <mergeCell ref="E18:G18"/>
    <mergeCell ref="I18:K18"/>
    <mergeCell ref="A19:C19"/>
    <mergeCell ref="E19:G19"/>
    <mergeCell ref="I19:K19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</mergeCells>
  <printOptions gridLines="1"/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48CB-8E95-45AC-9545-2693320FA54B}">
  <dimension ref="A1:P57"/>
  <sheetViews>
    <sheetView workbookViewId="0">
      <selection sqref="A1:P57"/>
    </sheetView>
  </sheetViews>
  <sheetFormatPr defaultRowHeight="15"/>
  <cols>
    <col min="1" max="16384" width="9.140625" style="17"/>
  </cols>
  <sheetData>
    <row r="1" spans="1:12" ht="19.5">
      <c r="A1" s="348" t="s">
        <v>138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50"/>
    </row>
    <row r="2" spans="1:12" ht="16.5" customHeight="1">
      <c r="A2" s="351" t="s">
        <v>139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3"/>
    </row>
    <row r="3" spans="1:12" ht="19.5" customHeight="1">
      <c r="A3" s="354" t="s">
        <v>140</v>
      </c>
      <c r="B3" s="355"/>
      <c r="C3" s="355"/>
      <c r="D3" s="355"/>
      <c r="E3" s="355"/>
      <c r="F3" s="355"/>
      <c r="G3" s="355"/>
      <c r="H3" s="355"/>
      <c r="I3" s="355"/>
      <c r="J3" s="355"/>
      <c r="K3" s="355"/>
      <c r="L3" s="356"/>
    </row>
    <row r="4" spans="1:12" ht="16.5">
      <c r="A4" s="357" t="s">
        <v>141</v>
      </c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9"/>
    </row>
    <row r="5" spans="1:12" ht="16.5">
      <c r="A5" s="360" t="str">
        <f>'Infos Mensuelles'!A1</f>
        <v>Salary Slip January 2026</v>
      </c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2"/>
    </row>
    <row r="6" spans="1:12" ht="14.45" customHeight="1">
      <c r="A6" s="363"/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5"/>
    </row>
    <row r="7" spans="1:12" ht="15" customHeight="1">
      <c r="A7" s="366"/>
      <c r="B7" s="367"/>
      <c r="C7" s="367"/>
      <c r="D7" s="367"/>
      <c r="E7" s="367"/>
      <c r="F7" s="367"/>
      <c r="G7" s="367"/>
      <c r="H7" s="367"/>
      <c r="I7" s="367"/>
      <c r="J7" s="367"/>
      <c r="K7" s="367"/>
      <c r="L7" s="368"/>
    </row>
    <row r="8" spans="1:12" ht="14.45" customHeight="1">
      <c r="A8" s="369" t="s">
        <v>142</v>
      </c>
      <c r="B8" s="370"/>
      <c r="C8" s="371"/>
      <c r="D8" s="375" t="str">
        <f>'Infos Mensuelles'!B23</f>
        <v>ALSHAMSI</v>
      </c>
      <c r="E8" s="376"/>
      <c r="F8" s="377"/>
      <c r="G8" s="381"/>
      <c r="H8" s="382" t="s">
        <v>143</v>
      </c>
      <c r="I8" s="383"/>
      <c r="J8" s="384" t="str">
        <f>'Infos Mensuelles'!F23</f>
        <v>_02129100723577</v>
      </c>
      <c r="K8" s="385"/>
      <c r="L8" s="386"/>
    </row>
    <row r="9" spans="1:12" ht="15" customHeight="1">
      <c r="A9" s="372"/>
      <c r="B9" s="373"/>
      <c r="C9" s="374"/>
      <c r="D9" s="378"/>
      <c r="E9" s="379"/>
      <c r="F9" s="380"/>
      <c r="G9" s="381"/>
      <c r="H9" s="387" t="s">
        <v>144</v>
      </c>
      <c r="I9" s="388"/>
      <c r="J9" s="389">
        <f>'Infos Mensuelles'!D23</f>
        <v>45985</v>
      </c>
      <c r="K9" s="390"/>
      <c r="L9" s="391"/>
    </row>
    <row r="10" spans="1:12" ht="15" customHeight="1">
      <c r="A10" s="294"/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6"/>
    </row>
    <row r="11" spans="1:12" ht="14.45" customHeight="1">
      <c r="A11" s="369" t="s">
        <v>145</v>
      </c>
      <c r="B11" s="370"/>
      <c r="C11" s="371"/>
      <c r="D11" s="375" t="str">
        <f>'Infos Mensuelles'!C23</f>
        <v>Shaikha</v>
      </c>
      <c r="E11" s="376"/>
      <c r="F11" s="377"/>
      <c r="G11" s="381"/>
      <c r="H11" s="392" t="s">
        <v>146</v>
      </c>
      <c r="I11" s="393"/>
      <c r="J11" s="396" t="str">
        <f>'Infos Mensuelles'!G23</f>
        <v>Office Clerk (Remote)</v>
      </c>
      <c r="K11" s="397"/>
      <c r="L11" s="398"/>
    </row>
    <row r="12" spans="1:12" ht="14.45" customHeight="1">
      <c r="A12" s="372"/>
      <c r="B12" s="373"/>
      <c r="C12" s="374"/>
      <c r="D12" s="378"/>
      <c r="E12" s="379"/>
      <c r="F12" s="380"/>
      <c r="G12" s="381"/>
      <c r="H12" s="394"/>
      <c r="I12" s="395"/>
      <c r="J12" s="399"/>
      <c r="K12" s="400"/>
      <c r="L12" s="401"/>
    </row>
    <row r="13" spans="1:12">
      <c r="A13" s="294"/>
      <c r="B13" s="295"/>
      <c r="C13" s="295"/>
      <c r="D13" s="295"/>
      <c r="E13" s="295"/>
      <c r="F13" s="295"/>
      <c r="G13" s="295"/>
      <c r="H13" s="295"/>
      <c r="I13" s="295"/>
      <c r="J13" s="295"/>
      <c r="K13" s="295"/>
      <c r="L13" s="296"/>
    </row>
    <row r="14" spans="1:12">
      <c r="A14" s="297"/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9"/>
    </row>
    <row r="15" spans="1:12" ht="19.5">
      <c r="A15" s="300" t="s">
        <v>147</v>
      </c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2"/>
    </row>
    <row r="16" spans="1:12">
      <c r="A16" s="303" t="s">
        <v>148</v>
      </c>
      <c r="B16" s="304"/>
      <c r="C16" s="304"/>
      <c r="D16" s="28">
        <f>'Infos Mensuelles'!N23</f>
        <v>21</v>
      </c>
      <c r="E16" s="307" t="s">
        <v>149</v>
      </c>
      <c r="F16" s="308"/>
      <c r="G16" s="308"/>
      <c r="H16" s="69">
        <f>'Infos Mensuelles'!AG23</f>
        <v>0</v>
      </c>
      <c r="I16" s="303" t="s">
        <v>150</v>
      </c>
      <c r="J16" s="304"/>
      <c r="K16" s="304"/>
      <c r="L16" s="32">
        <f>'Infos Mensuelles'!W23</f>
        <v>0</v>
      </c>
    </row>
    <row r="17" spans="1:16">
      <c r="A17" s="305" t="s">
        <v>151</v>
      </c>
      <c r="B17" s="306"/>
      <c r="C17" s="306"/>
      <c r="D17" s="29">
        <f>'Infos Mensuelles'!P23</f>
        <v>1</v>
      </c>
      <c r="E17" s="68" t="s">
        <v>152</v>
      </c>
      <c r="F17" s="19"/>
      <c r="G17" s="19"/>
      <c r="H17" s="70">
        <f>'Infos Mensuelles'!AJ23</f>
        <v>0</v>
      </c>
      <c r="I17" s="305" t="s">
        <v>153</v>
      </c>
      <c r="J17" s="306"/>
      <c r="K17" s="306"/>
      <c r="L17" s="31">
        <f>'Infos Mensuelles'!U23</f>
        <v>0</v>
      </c>
    </row>
    <row r="18" spans="1:16">
      <c r="A18" s="305" t="s">
        <v>154</v>
      </c>
      <c r="B18" s="306"/>
      <c r="C18" s="306"/>
      <c r="D18" s="29">
        <f>'Infos Mensuelles'!O23</f>
        <v>9</v>
      </c>
      <c r="E18" s="305" t="s">
        <v>155</v>
      </c>
      <c r="F18" s="306"/>
      <c r="G18" s="306"/>
      <c r="H18" s="70">
        <f>'Infos Mensuelles'!AJ23</f>
        <v>0</v>
      </c>
      <c r="I18" s="305" t="s">
        <v>156</v>
      </c>
      <c r="J18" s="306"/>
      <c r="K18" s="306"/>
      <c r="L18" s="31">
        <f>'Infos Mensuelles'!T23</f>
        <v>0</v>
      </c>
    </row>
    <row r="19" spans="1:16">
      <c r="A19" s="305" t="s">
        <v>157</v>
      </c>
      <c r="B19" s="306"/>
      <c r="C19" s="306"/>
      <c r="D19" s="29">
        <f>'Infos Mensuelles'!R23</f>
        <v>0</v>
      </c>
      <c r="E19" s="305" t="s">
        <v>158</v>
      </c>
      <c r="F19" s="306"/>
      <c r="G19" s="306"/>
      <c r="H19" s="70">
        <f>'Infos Mensuelles'!Q23</f>
        <v>0</v>
      </c>
      <c r="I19" s="305"/>
      <c r="J19" s="306"/>
      <c r="K19" s="306"/>
      <c r="L19" s="31"/>
    </row>
    <row r="20" spans="1:16">
      <c r="A20" s="346" t="s">
        <v>159</v>
      </c>
      <c r="B20" s="347"/>
      <c r="C20" s="347"/>
      <c r="D20" s="30">
        <f>'Infos Mensuelles'!S23</f>
        <v>31</v>
      </c>
      <c r="E20" s="346"/>
      <c r="F20" s="347"/>
      <c r="G20" s="347"/>
      <c r="H20" s="71"/>
      <c r="I20" s="346"/>
      <c r="J20" s="347"/>
      <c r="K20" s="347"/>
      <c r="L20" s="72"/>
      <c r="P20" s="18"/>
    </row>
    <row r="21" spans="1:16">
      <c r="A21" s="438"/>
      <c r="B21" s="439"/>
      <c r="C21" s="439"/>
      <c r="D21" s="439"/>
      <c r="E21" s="403"/>
      <c r="F21" s="403"/>
      <c r="G21" s="403"/>
      <c r="H21" s="403"/>
      <c r="I21" s="439"/>
      <c r="J21" s="439"/>
      <c r="K21" s="439"/>
      <c r="L21" s="440"/>
      <c r="P21" s="18"/>
    </row>
    <row r="22" spans="1:16">
      <c r="A22" s="441"/>
      <c r="B22" s="442"/>
      <c r="C22" s="442"/>
      <c r="D22" s="442"/>
      <c r="E22" s="442"/>
      <c r="F22" s="442"/>
      <c r="G22" s="442"/>
      <c r="H22" s="442"/>
      <c r="I22" s="442"/>
      <c r="J22" s="442"/>
      <c r="K22" s="442"/>
      <c r="L22" s="443"/>
    </row>
    <row r="23" spans="1:16" ht="19.5">
      <c r="A23" s="300" t="s">
        <v>160</v>
      </c>
      <c r="B23" s="301"/>
      <c r="C23" s="301"/>
      <c r="D23" s="301"/>
      <c r="E23" s="301"/>
      <c r="F23" s="301"/>
      <c r="G23" s="407"/>
      <c r="H23" s="407"/>
      <c r="I23" s="407"/>
      <c r="J23" s="407"/>
      <c r="K23" s="407"/>
      <c r="L23" s="408"/>
    </row>
    <row r="24" spans="1:16" s="20" customFormat="1" ht="14.45" customHeight="1">
      <c r="A24" s="409" t="s">
        <v>161</v>
      </c>
      <c r="B24" s="410"/>
      <c r="C24" s="410"/>
      <c r="D24" s="410"/>
      <c r="E24" s="410"/>
      <c r="F24" s="411"/>
      <c r="G24" s="415" t="s">
        <v>162</v>
      </c>
      <c r="H24" s="416"/>
      <c r="I24" s="417"/>
      <c r="J24" s="421" t="s">
        <v>163</v>
      </c>
      <c r="K24" s="422"/>
      <c r="L24" s="423"/>
    </row>
    <row r="25" spans="1:16" s="20" customFormat="1" ht="16.5">
      <c r="A25" s="412"/>
      <c r="B25" s="413"/>
      <c r="C25" s="413"/>
      <c r="D25" s="413"/>
      <c r="E25" s="413"/>
      <c r="F25" s="414"/>
      <c r="G25" s="418"/>
      <c r="H25" s="419"/>
      <c r="I25" s="420"/>
      <c r="J25" s="421"/>
      <c r="K25" s="422"/>
      <c r="L25" s="423"/>
      <c r="O25" s="17"/>
    </row>
    <row r="26" spans="1:16" s="20" customFormat="1" ht="16.5">
      <c r="A26" s="424" t="s">
        <v>164</v>
      </c>
      <c r="B26" s="425"/>
      <c r="C26" s="425"/>
      <c r="D26" s="425"/>
      <c r="E26" s="425"/>
      <c r="F26" s="425"/>
      <c r="G26" s="426"/>
      <c r="H26" s="427"/>
      <c r="I26" s="427"/>
      <c r="J26" s="428"/>
      <c r="K26" s="429"/>
      <c r="L26" s="430"/>
      <c r="O26" s="17"/>
    </row>
    <row r="27" spans="1:16">
      <c r="A27" s="315" t="s">
        <v>165</v>
      </c>
      <c r="B27" s="316"/>
      <c r="C27" s="316"/>
      <c r="D27" s="316"/>
      <c r="E27" s="316"/>
      <c r="F27" s="316"/>
      <c r="G27" s="283">
        <f>'Infos Mensuelles'!H23</f>
        <v>3000</v>
      </c>
      <c r="H27" s="284"/>
      <c r="I27" s="284"/>
      <c r="J27" s="286"/>
      <c r="K27" s="287"/>
      <c r="L27" s="288"/>
    </row>
    <row r="28" spans="1:16">
      <c r="A28" s="315" t="s">
        <v>16</v>
      </c>
      <c r="B28" s="316"/>
      <c r="C28" s="316"/>
      <c r="D28" s="316"/>
      <c r="E28" s="316"/>
      <c r="F28" s="316"/>
      <c r="G28" s="283">
        <f>'Infos Mensuelles'!I23</f>
        <v>1000</v>
      </c>
      <c r="H28" s="284"/>
      <c r="I28" s="284"/>
      <c r="J28" s="286"/>
      <c r="K28" s="287"/>
      <c r="L28" s="288"/>
    </row>
    <row r="29" spans="1:16">
      <c r="A29" s="315" t="s">
        <v>166</v>
      </c>
      <c r="B29" s="316"/>
      <c r="C29" s="316"/>
      <c r="D29" s="316"/>
      <c r="E29" s="316"/>
      <c r="F29" s="316"/>
      <c r="G29" s="283">
        <f>'Infos Mensuelles'!J23</f>
        <v>1000</v>
      </c>
      <c r="H29" s="284"/>
      <c r="I29" s="284"/>
      <c r="J29" s="286"/>
      <c r="K29" s="287"/>
      <c r="L29" s="288"/>
    </row>
    <row r="30" spans="1:16">
      <c r="A30" s="315" t="s">
        <v>18</v>
      </c>
      <c r="B30" s="316"/>
      <c r="C30" s="316"/>
      <c r="D30" s="316"/>
      <c r="E30" s="316"/>
      <c r="F30" s="316"/>
      <c r="G30" s="283">
        <f>'Infos Mensuelles'!K23</f>
        <v>0</v>
      </c>
      <c r="H30" s="284"/>
      <c r="I30" s="284"/>
      <c r="J30" s="286"/>
      <c r="K30" s="287"/>
      <c r="L30" s="288"/>
    </row>
    <row r="31" spans="1:16">
      <c r="A31" s="315" t="s">
        <v>167</v>
      </c>
      <c r="B31" s="316"/>
      <c r="C31" s="316"/>
      <c r="D31" s="316"/>
      <c r="E31" s="316"/>
      <c r="F31" s="316"/>
      <c r="G31" s="283">
        <f>'Infos Mensuelles'!L23</f>
        <v>0</v>
      </c>
      <c r="H31" s="284"/>
      <c r="I31" s="284"/>
      <c r="J31" s="286"/>
      <c r="K31" s="287"/>
      <c r="L31" s="288"/>
    </row>
    <row r="32" spans="1:16">
      <c r="A32" s="315" t="s">
        <v>149</v>
      </c>
      <c r="B32" s="316"/>
      <c r="C32" s="316"/>
      <c r="D32" s="316"/>
      <c r="E32" s="316"/>
      <c r="F32" s="434"/>
      <c r="G32" s="283">
        <f>'Infos Mensuelles'!AI23</f>
        <v>0</v>
      </c>
      <c r="H32" s="284"/>
      <c r="I32" s="285"/>
      <c r="J32" s="286"/>
      <c r="K32" s="287"/>
      <c r="L32" s="288"/>
    </row>
    <row r="33" spans="1:12" ht="15" customHeight="1">
      <c r="A33" s="315" t="s">
        <v>152</v>
      </c>
      <c r="B33" s="316"/>
      <c r="C33" s="316"/>
      <c r="D33" s="316"/>
      <c r="E33" s="316"/>
      <c r="F33" s="434"/>
      <c r="G33" s="283">
        <f>'Infos Mensuelles'!AL23</f>
        <v>0</v>
      </c>
      <c r="H33" s="284"/>
      <c r="I33" s="285"/>
      <c r="J33" s="286"/>
      <c r="K33" s="287"/>
      <c r="L33" s="288"/>
    </row>
    <row r="34" spans="1:12" ht="15" customHeight="1">
      <c r="A34" s="315" t="s">
        <v>26</v>
      </c>
      <c r="B34" s="316"/>
      <c r="C34" s="316"/>
      <c r="D34" s="316"/>
      <c r="E34" s="316"/>
      <c r="F34" s="434"/>
      <c r="G34" s="283">
        <f>'Infos Mensuelles'!AP23</f>
        <v>0</v>
      </c>
      <c r="H34" s="284"/>
      <c r="I34" s="285"/>
      <c r="J34" s="286"/>
      <c r="K34" s="287"/>
      <c r="L34" s="288"/>
    </row>
    <row r="35" spans="1:12">
      <c r="A35" s="315" t="s">
        <v>185</v>
      </c>
      <c r="B35" s="316"/>
      <c r="C35" s="316"/>
      <c r="D35" s="316"/>
      <c r="E35" s="316"/>
      <c r="F35" s="434"/>
      <c r="G35" s="283">
        <f>'Infos Mensuelles'!AS23</f>
        <v>0</v>
      </c>
      <c r="H35" s="284"/>
      <c r="I35" s="285"/>
      <c r="J35" s="286"/>
      <c r="K35" s="287"/>
      <c r="L35" s="288"/>
    </row>
    <row r="36" spans="1:12">
      <c r="A36" s="402"/>
      <c r="B36" s="403"/>
      <c r="C36" s="403"/>
      <c r="D36" s="403"/>
      <c r="E36" s="403"/>
      <c r="F36" s="404"/>
      <c r="G36" s="283"/>
      <c r="H36" s="284"/>
      <c r="I36" s="285"/>
      <c r="J36" s="286"/>
      <c r="K36" s="287"/>
      <c r="L36" s="288"/>
    </row>
    <row r="37" spans="1:12">
      <c r="A37" s="405" t="s">
        <v>4</v>
      </c>
      <c r="B37" s="406"/>
      <c r="C37" s="406"/>
      <c r="D37" s="406"/>
      <c r="E37" s="406"/>
      <c r="F37" s="406"/>
      <c r="G37" s="283"/>
      <c r="H37" s="284"/>
      <c r="I37" s="284"/>
      <c r="J37" s="289"/>
      <c r="K37" s="290"/>
      <c r="L37" s="291"/>
    </row>
    <row r="38" spans="1:12">
      <c r="A38" s="315" t="s">
        <v>169</v>
      </c>
      <c r="B38" s="316"/>
      <c r="C38" s="316"/>
      <c r="D38" s="316"/>
      <c r="E38" s="316"/>
      <c r="F38" s="316"/>
      <c r="G38" s="286"/>
      <c r="H38" s="287"/>
      <c r="I38" s="288"/>
      <c r="J38" s="289">
        <f>'Infos Mensuelles'!AU23</f>
        <v>550</v>
      </c>
      <c r="K38" s="290"/>
      <c r="L38" s="291"/>
    </row>
    <row r="39" spans="1:12">
      <c r="A39" s="315" t="s">
        <v>170</v>
      </c>
      <c r="B39" s="316"/>
      <c r="C39" s="316"/>
      <c r="D39" s="316"/>
      <c r="E39" s="316"/>
      <c r="F39" s="316"/>
      <c r="G39" s="286"/>
      <c r="H39" s="287"/>
      <c r="I39" s="288"/>
      <c r="J39" s="289">
        <f>'Infos Mensuelles'!AV23</f>
        <v>0</v>
      </c>
      <c r="K39" s="290"/>
      <c r="L39" s="291"/>
    </row>
    <row r="40" spans="1:12">
      <c r="A40" s="315" t="s">
        <v>171</v>
      </c>
      <c r="B40" s="316"/>
      <c r="C40" s="316"/>
      <c r="D40" s="316"/>
      <c r="E40" s="316"/>
      <c r="F40" s="316"/>
      <c r="G40" s="286"/>
      <c r="H40" s="287"/>
      <c r="I40" s="288"/>
      <c r="J40" s="289">
        <f>'Infos Mensuelles'!AW23</f>
        <v>0</v>
      </c>
      <c r="K40" s="290"/>
      <c r="L40" s="291"/>
    </row>
    <row r="41" spans="1:12">
      <c r="A41" s="315" t="s">
        <v>172</v>
      </c>
      <c r="B41" s="316"/>
      <c r="C41" s="316"/>
      <c r="D41" s="316"/>
      <c r="E41" s="316"/>
      <c r="F41" s="316"/>
      <c r="G41" s="286"/>
      <c r="H41" s="287"/>
      <c r="I41" s="288"/>
      <c r="J41" s="289">
        <f>'Infos Mensuelles'!AA23</f>
        <v>0</v>
      </c>
      <c r="K41" s="290"/>
      <c r="L41" s="291"/>
    </row>
    <row r="42" spans="1:12">
      <c r="A42" s="436" t="s">
        <v>173</v>
      </c>
      <c r="B42" s="436"/>
      <c r="C42" s="436"/>
      <c r="D42" s="436"/>
      <c r="E42" s="436"/>
      <c r="F42" s="437"/>
      <c r="G42" s="286"/>
      <c r="H42" s="287"/>
      <c r="I42" s="288"/>
      <c r="J42" s="289">
        <f>'Infos Mensuelles'!X23</f>
        <v>0</v>
      </c>
      <c r="K42" s="290"/>
      <c r="L42" s="291"/>
    </row>
    <row r="43" spans="1:12">
      <c r="A43" s="315" t="s">
        <v>174</v>
      </c>
      <c r="B43" s="316"/>
      <c r="C43" s="316"/>
      <c r="D43" s="316"/>
      <c r="E43" s="316"/>
      <c r="F43" s="316"/>
      <c r="G43" s="286"/>
      <c r="H43" s="287"/>
      <c r="I43" s="288"/>
      <c r="J43" s="289">
        <f>'Infos Mensuelles'!Y23</f>
        <v>0</v>
      </c>
      <c r="K43" s="290"/>
      <c r="L43" s="291"/>
    </row>
    <row r="44" spans="1:12">
      <c r="A44" s="315" t="s">
        <v>175</v>
      </c>
      <c r="B44" s="316"/>
      <c r="C44" s="316"/>
      <c r="D44" s="316"/>
      <c r="E44" s="316"/>
      <c r="F44" s="316"/>
      <c r="G44" s="286"/>
      <c r="H44" s="287"/>
      <c r="I44" s="288"/>
      <c r="J44" s="289">
        <f>'Infos Mensuelles'!Z23</f>
        <v>0</v>
      </c>
      <c r="K44" s="290"/>
      <c r="L44" s="291"/>
    </row>
    <row r="45" spans="1:12">
      <c r="A45" s="444" t="s">
        <v>187</v>
      </c>
      <c r="B45" s="445"/>
      <c r="C45" s="445"/>
      <c r="D45" s="445"/>
      <c r="E45" s="445"/>
      <c r="F45" s="445"/>
      <c r="G45" s="286"/>
      <c r="H45" s="287"/>
      <c r="I45" s="288"/>
      <c r="J45" s="286">
        <f>'Infos Mensuelles'!Z49</f>
        <v>0</v>
      </c>
      <c r="K45" s="287"/>
      <c r="L45" s="288"/>
    </row>
    <row r="46" spans="1:12">
      <c r="A46" s="335" t="s">
        <v>176</v>
      </c>
      <c r="B46" s="336"/>
      <c r="C46" s="336"/>
      <c r="D46" s="336"/>
      <c r="E46" s="336"/>
      <c r="F46" s="337"/>
      <c r="G46" s="338">
        <f>SUM(G27:I35)</f>
        <v>5000</v>
      </c>
      <c r="H46" s="339"/>
      <c r="I46" s="340"/>
      <c r="J46" s="338">
        <f>SUM(J38:L45)</f>
        <v>550</v>
      </c>
      <c r="K46" s="339"/>
      <c r="L46" s="340"/>
    </row>
    <row r="47" spans="1:12">
      <c r="A47" s="341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3"/>
    </row>
    <row r="48" spans="1:12" ht="15" customHeight="1">
      <c r="A48" s="297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9"/>
    </row>
    <row r="49" spans="1:16" ht="30.75">
      <c r="A49" s="344" t="s">
        <v>177</v>
      </c>
      <c r="B49" s="345"/>
      <c r="C49" s="345"/>
      <c r="D49" s="345"/>
      <c r="E49" s="345"/>
      <c r="F49" s="345"/>
      <c r="G49" s="280">
        <f>G46-J46</f>
        <v>4450</v>
      </c>
      <c r="H49" s="281"/>
      <c r="I49" s="281"/>
      <c r="J49" s="281"/>
      <c r="K49" s="281"/>
      <c r="L49" s="282"/>
    </row>
    <row r="50" spans="1:16" ht="15" customHeight="1">
      <c r="A50" s="329"/>
      <c r="B50" s="330"/>
      <c r="C50" s="330"/>
      <c r="D50" s="330"/>
      <c r="E50" s="330"/>
      <c r="F50" s="330"/>
      <c r="G50" s="330"/>
      <c r="H50" s="330"/>
      <c r="I50" s="330"/>
      <c r="J50" s="330"/>
      <c r="K50" s="330"/>
      <c r="L50" s="331"/>
    </row>
    <row r="51" spans="1:16" ht="15" customHeight="1">
      <c r="A51" s="329"/>
      <c r="B51" s="330"/>
      <c r="C51" s="330"/>
      <c r="D51" s="330"/>
      <c r="E51" s="330"/>
      <c r="F51" s="330"/>
      <c r="G51" s="330"/>
      <c r="H51" s="330"/>
      <c r="I51" s="330"/>
      <c r="J51" s="330"/>
      <c r="K51" s="330"/>
      <c r="L51" s="331"/>
    </row>
    <row r="52" spans="1:16" s="21" customFormat="1" ht="19.5" customHeight="1">
      <c r="A52" s="329"/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1"/>
      <c r="M52" s="17"/>
      <c r="N52" s="17"/>
      <c r="O52" s="17"/>
      <c r="P52" s="17"/>
    </row>
    <row r="53" spans="1:16" ht="19.5">
      <c r="A53" s="332" t="s">
        <v>178</v>
      </c>
      <c r="B53" s="333"/>
      <c r="C53" s="333"/>
      <c r="D53" s="333"/>
      <c r="E53" s="333"/>
      <c r="F53" s="334"/>
      <c r="G53" s="431"/>
      <c r="H53" s="432"/>
      <c r="I53" s="432"/>
      <c r="J53" s="432"/>
      <c r="K53" s="432"/>
      <c r="L53" s="433"/>
      <c r="M53" s="21"/>
      <c r="N53" s="21"/>
      <c r="O53" s="21"/>
      <c r="P53" s="21"/>
    </row>
    <row r="54" spans="1:16" ht="15" customHeight="1">
      <c r="A54" s="317" t="s">
        <v>179</v>
      </c>
      <c r="B54" s="318"/>
      <c r="C54" s="319"/>
      <c r="D54" s="320">
        <f>'Infos Mensuelles'!E1</f>
        <v>46053</v>
      </c>
      <c r="E54" s="321"/>
      <c r="F54" s="322"/>
      <c r="G54" s="431"/>
      <c r="H54" s="432"/>
      <c r="I54" s="432"/>
      <c r="J54" s="432"/>
      <c r="K54" s="432"/>
      <c r="L54" s="433"/>
    </row>
    <row r="55" spans="1:16" ht="15" customHeight="1">
      <c r="A55" s="323" t="s">
        <v>180</v>
      </c>
      <c r="B55" s="324"/>
      <c r="C55" s="325"/>
      <c r="D55" s="326" t="s">
        <v>181</v>
      </c>
      <c r="E55" s="327"/>
      <c r="F55" s="328"/>
      <c r="G55" s="431"/>
      <c r="H55" s="432"/>
      <c r="I55" s="432"/>
      <c r="J55" s="432"/>
      <c r="K55" s="432"/>
      <c r="L55" s="433"/>
    </row>
    <row r="56" spans="1:16">
      <c r="A56" s="309" t="s">
        <v>182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1"/>
    </row>
    <row r="57" spans="1:16">
      <c r="A57" s="312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4"/>
    </row>
  </sheetData>
  <mergeCells count="114"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5:L5"/>
    <mergeCell ref="A6:L7"/>
    <mergeCell ref="A13:L14"/>
    <mergeCell ref="A15:L15"/>
    <mergeCell ref="A16:C16"/>
    <mergeCell ref="E16:G16"/>
    <mergeCell ref="I16:K16"/>
    <mergeCell ref="A17:C17"/>
    <mergeCell ref="I17:K17"/>
    <mergeCell ref="A10:L10"/>
    <mergeCell ref="A11:C12"/>
    <mergeCell ref="D11:F12"/>
    <mergeCell ref="G11:G12"/>
    <mergeCell ref="H11:I12"/>
    <mergeCell ref="J11:L12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E18:G18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A39:F39"/>
    <mergeCell ref="G39:I39"/>
    <mergeCell ref="J39:L39"/>
    <mergeCell ref="A35:F35"/>
    <mergeCell ref="G35:I35"/>
    <mergeCell ref="J35:L35"/>
    <mergeCell ref="A36:F36"/>
    <mergeCell ref="G36:I36"/>
    <mergeCell ref="J36:L36"/>
    <mergeCell ref="A38:F38"/>
    <mergeCell ref="G38:I38"/>
    <mergeCell ref="J38:L38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56:L57"/>
    <mergeCell ref="A54:C54"/>
    <mergeCell ref="D54:F54"/>
    <mergeCell ref="A55:C55"/>
    <mergeCell ref="D55:F55"/>
    <mergeCell ref="G53:L55"/>
    <mergeCell ref="A44:F44"/>
    <mergeCell ref="G44:I44"/>
    <mergeCell ref="J44:L44"/>
    <mergeCell ref="A45:F45"/>
    <mergeCell ref="G45:I45"/>
    <mergeCell ref="J45:L45"/>
    <mergeCell ref="A46:F46"/>
    <mergeCell ref="G46:I46"/>
    <mergeCell ref="J46:L46"/>
    <mergeCell ref="A47:L48"/>
    <mergeCell ref="A49:F49"/>
    <mergeCell ref="G49:L49"/>
    <mergeCell ref="A50:L52"/>
    <mergeCell ref="A53:F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EC0EA3-29F1-4DD0-A59C-8CF09F56879E}"/>
</file>

<file path=customXml/itemProps2.xml><?xml version="1.0" encoding="utf-8"?>
<ds:datastoreItem xmlns:ds="http://schemas.openxmlformats.org/officeDocument/2006/customXml" ds:itemID="{A39FCC31-7F8C-41BB-88B2-1864C1FF95D6}"/>
</file>

<file path=customXml/itemProps3.xml><?xml version="1.0" encoding="utf-8"?>
<ds:datastoreItem xmlns:ds="http://schemas.openxmlformats.org/officeDocument/2006/customXml" ds:itemID="{8DDBB803-7518-439F-A635-2DA320181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Mélanie CERALINE</dc:creator>
  <cp:keywords/>
  <dc:description/>
  <cp:lastModifiedBy>Melanie EUZET</cp:lastModifiedBy>
  <cp:revision/>
  <dcterms:created xsi:type="dcterms:W3CDTF">2023-02-02T05:13:37Z</dcterms:created>
  <dcterms:modified xsi:type="dcterms:W3CDTF">2026-02-18T10:19:55Z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