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eraline\Desktop\DUBAI\Paie\TLT\DRIVERS\"/>
    </mc:Choice>
  </mc:AlternateContent>
  <xr:revisionPtr revIDLastSave="24918" documentId="13_ncr:1_{E991AEF9-F16C-4FED-B7DC-C3CEB2D19018}" xr6:coauthVersionLast="47" xr6:coauthVersionMax="47" xr10:uidLastSave="{CA3FD696-7380-472D-8F02-01A6B0E39E1A}"/>
  <bookViews>
    <workbookView xWindow="-120" yWindow="-120" windowWidth="57840" windowHeight="23520" xr2:uid="{09A3B37E-90C9-4F03-96E4-FB4B7C186EE9}"/>
  </bookViews>
  <sheets>
    <sheet name="Infos Mensuelles" sheetId="50" r:id="rId1"/>
    <sheet name="1" sheetId="63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64" r:id="rId15"/>
    <sheet name="15" sheetId="14" r:id="rId16"/>
    <sheet name="16" sheetId="15" r:id="rId17"/>
    <sheet name="17" sheetId="16" r:id="rId18"/>
    <sheet name="18" sheetId="17" r:id="rId19"/>
    <sheet name="19" sheetId="18" r:id="rId20"/>
    <sheet name="20" sheetId="19" r:id="rId21"/>
    <sheet name="21" sheetId="20" r:id="rId22"/>
    <sheet name="22" sheetId="21" r:id="rId23"/>
    <sheet name="23" sheetId="22" r:id="rId24"/>
    <sheet name="24" sheetId="23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4" r:id="rId34"/>
    <sheet name="34" sheetId="33" r:id="rId35"/>
    <sheet name="35" sheetId="56" r:id="rId36"/>
    <sheet name="36" sheetId="36" r:id="rId37"/>
    <sheet name="37" sheetId="38" r:id="rId38"/>
    <sheet name="38" sheetId="54" r:id="rId39"/>
    <sheet name="39" sheetId="55" r:id="rId40"/>
    <sheet name="40" sheetId="35" r:id="rId41"/>
    <sheet name="41" sheetId="51" r:id="rId42"/>
    <sheet name="42" sheetId="57" r:id="rId43"/>
  </sheets>
  <definedNames>
    <definedName name="_xlnm._FilterDatabase" localSheetId="0" hidden="1">'Infos Mensuelles'!$A$1:$K$67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8" i="50" l="1"/>
  <c r="AW59" i="50"/>
  <c r="AW54" i="50"/>
  <c r="AW57" i="50"/>
  <c r="Q8" i="50"/>
  <c r="AN48" i="50"/>
  <c r="AJ48" i="50"/>
  <c r="AG48" i="50"/>
  <c r="AN20" i="50"/>
  <c r="AJ20" i="50"/>
  <c r="AG20" i="50"/>
  <c r="N45" i="64"/>
  <c r="N47" i="64"/>
  <c r="N49" i="64"/>
  <c r="N50" i="64"/>
  <c r="N41" i="57"/>
  <c r="N39" i="57"/>
  <c r="N43" i="57"/>
  <c r="N44" i="57"/>
  <c r="D53" i="57"/>
  <c r="D53" i="51"/>
  <c r="D53" i="35"/>
  <c r="D53" i="55"/>
  <c r="D53" i="54"/>
  <c r="D53" i="38"/>
  <c r="D53" i="36"/>
  <c r="D53" i="56"/>
  <c r="D53" i="33"/>
  <c r="D53" i="34"/>
  <c r="D53" i="32"/>
  <c r="D53" i="31"/>
  <c r="D53" i="30"/>
  <c r="D53" i="29"/>
  <c r="D53" i="28"/>
  <c r="D53" i="27"/>
  <c r="D53" i="26"/>
  <c r="D53" i="25"/>
  <c r="D53" i="23"/>
  <c r="D53" i="22"/>
  <c r="D53" i="21"/>
  <c r="D53" i="20"/>
  <c r="D53" i="19"/>
  <c r="D53" i="18"/>
  <c r="D53" i="17"/>
  <c r="D53" i="16"/>
  <c r="D53" i="15"/>
  <c r="D53" i="14"/>
  <c r="D53" i="64"/>
  <c r="D53" i="13"/>
  <c r="D53" i="12"/>
  <c r="D53" i="11"/>
  <c r="D53" i="10"/>
  <c r="D53" i="9"/>
  <c r="D53" i="8"/>
  <c r="D53" i="7"/>
  <c r="D53" i="6"/>
  <c r="D53" i="5"/>
  <c r="D53" i="4"/>
  <c r="D53" i="3"/>
  <c r="D53" i="2"/>
  <c r="D53" i="63"/>
  <c r="J42" i="51"/>
  <c r="J38" i="51"/>
  <c r="J37" i="51"/>
  <c r="G35" i="51"/>
  <c r="G34" i="51"/>
  <c r="G33" i="51"/>
  <c r="L19" i="51"/>
  <c r="L18" i="51"/>
  <c r="L17" i="51"/>
  <c r="L16" i="51"/>
  <c r="H19" i="51"/>
  <c r="H18" i="51"/>
  <c r="H17" i="51"/>
  <c r="H16" i="51"/>
  <c r="D19" i="51"/>
  <c r="D18" i="51"/>
  <c r="D17" i="51"/>
  <c r="D16" i="51"/>
  <c r="J11" i="51"/>
  <c r="J9" i="51"/>
  <c r="J8" i="51"/>
  <c r="D11" i="51"/>
  <c r="D8" i="51"/>
  <c r="J42" i="38"/>
  <c r="J38" i="38"/>
  <c r="J37" i="38"/>
  <c r="G35" i="38"/>
  <c r="G34" i="38"/>
  <c r="G33" i="38"/>
  <c r="L19" i="38"/>
  <c r="L18" i="38"/>
  <c r="L17" i="38"/>
  <c r="L16" i="38"/>
  <c r="H19" i="38"/>
  <c r="H18" i="38"/>
  <c r="H17" i="38"/>
  <c r="H16" i="38"/>
  <c r="D19" i="38"/>
  <c r="D18" i="38"/>
  <c r="D17" i="38"/>
  <c r="D16" i="38"/>
  <c r="J11" i="38"/>
  <c r="J9" i="38"/>
  <c r="J8" i="38"/>
  <c r="D11" i="38"/>
  <c r="D8" i="38"/>
  <c r="A5" i="38"/>
  <c r="J42" i="64"/>
  <c r="J38" i="64"/>
  <c r="J37" i="64"/>
  <c r="G35" i="64"/>
  <c r="G34" i="64"/>
  <c r="G33" i="64"/>
  <c r="G32" i="64"/>
  <c r="G31" i="64"/>
  <c r="G30" i="64"/>
  <c r="L19" i="64"/>
  <c r="L18" i="64"/>
  <c r="L17" i="64"/>
  <c r="L16" i="64"/>
  <c r="H19" i="64"/>
  <c r="H18" i="64"/>
  <c r="H17" i="64"/>
  <c r="H16" i="64"/>
  <c r="D19" i="64"/>
  <c r="D18" i="64"/>
  <c r="D17" i="64"/>
  <c r="D16" i="64"/>
  <c r="J11" i="64"/>
  <c r="J9" i="64"/>
  <c r="J8" i="64"/>
  <c r="D11" i="64"/>
  <c r="D8" i="64"/>
  <c r="A5" i="64"/>
  <c r="AW20" i="50"/>
  <c r="AW21" i="50"/>
  <c r="V20" i="50"/>
  <c r="J40" i="64" s="1"/>
  <c r="W20" i="50"/>
  <c r="J43" i="64" s="1"/>
  <c r="X20" i="50"/>
  <c r="J41" i="64" s="1"/>
  <c r="Y20" i="50"/>
  <c r="J39" i="64" s="1"/>
  <c r="Z20" i="50"/>
  <c r="AB20" i="50"/>
  <c r="AC20" i="50"/>
  <c r="Q16" i="50"/>
  <c r="Q17" i="50"/>
  <c r="Q18" i="50"/>
  <c r="Q19" i="50"/>
  <c r="Q20" i="50"/>
  <c r="Q21" i="50"/>
  <c r="Q22" i="50"/>
  <c r="Q23" i="50"/>
  <c r="Q24" i="50"/>
  <c r="Q25" i="50"/>
  <c r="Q26" i="50"/>
  <c r="Q27" i="50"/>
  <c r="Q28" i="50"/>
  <c r="Q29" i="50"/>
  <c r="Q30" i="50"/>
  <c r="Q31" i="50"/>
  <c r="Q32" i="50"/>
  <c r="Q33" i="50"/>
  <c r="Q34" i="50"/>
  <c r="Q35" i="50"/>
  <c r="Q36" i="50"/>
  <c r="Q37" i="50"/>
  <c r="Q38" i="50"/>
  <c r="Q39" i="50"/>
  <c r="Q40" i="50"/>
  <c r="Q41" i="50"/>
  <c r="Q42" i="50"/>
  <c r="Q43" i="50"/>
  <c r="D20" i="38" s="1"/>
  <c r="Q44" i="50"/>
  <c r="Q45" i="50"/>
  <c r="Q46" i="50"/>
  <c r="Q47" i="50"/>
  <c r="D20" i="51" s="1"/>
  <c r="Q48" i="50"/>
  <c r="H20" i="50"/>
  <c r="G27" i="64" s="1"/>
  <c r="I20" i="50"/>
  <c r="G28" i="64" s="1"/>
  <c r="J20" i="50"/>
  <c r="G29" i="64" s="1"/>
  <c r="H21" i="50"/>
  <c r="I21" i="50"/>
  <c r="J21" i="50"/>
  <c r="AW47" i="50"/>
  <c r="AN47" i="50"/>
  <c r="G32" i="51" s="1"/>
  <c r="AJ47" i="50"/>
  <c r="G31" i="51" s="1"/>
  <c r="AG47" i="50"/>
  <c r="AC47" i="50"/>
  <c r="AB47" i="50"/>
  <c r="Z47" i="50"/>
  <c r="Y47" i="50"/>
  <c r="J39" i="51" s="1"/>
  <c r="X47" i="50"/>
  <c r="J41" i="51" s="1"/>
  <c r="W47" i="50"/>
  <c r="J43" i="51" s="1"/>
  <c r="V47" i="50"/>
  <c r="J40" i="51" s="1"/>
  <c r="J47" i="50"/>
  <c r="G29" i="51" s="1"/>
  <c r="I47" i="50"/>
  <c r="G28" i="51" s="1"/>
  <c r="H47" i="50"/>
  <c r="G27" i="51" s="1"/>
  <c r="V8" i="50"/>
  <c r="W8" i="50"/>
  <c r="X8" i="50"/>
  <c r="Y8" i="50"/>
  <c r="Z8" i="50"/>
  <c r="AB8" i="50"/>
  <c r="AC8" i="50"/>
  <c r="V9" i="50"/>
  <c r="W9" i="50"/>
  <c r="X9" i="50"/>
  <c r="Y9" i="50"/>
  <c r="Z9" i="50"/>
  <c r="AB9" i="50"/>
  <c r="AC9" i="50"/>
  <c r="V10" i="50"/>
  <c r="W10" i="50"/>
  <c r="X10" i="50"/>
  <c r="Y10" i="50"/>
  <c r="Z10" i="50"/>
  <c r="AB10" i="50"/>
  <c r="AC10" i="50"/>
  <c r="V11" i="50"/>
  <c r="W11" i="50"/>
  <c r="X11" i="50"/>
  <c r="Y11" i="50"/>
  <c r="Z11" i="50"/>
  <c r="AB11" i="50"/>
  <c r="AC11" i="50"/>
  <c r="V12" i="50"/>
  <c r="W12" i="50"/>
  <c r="X12" i="50"/>
  <c r="Y12" i="50"/>
  <c r="Z12" i="50"/>
  <c r="AB12" i="50"/>
  <c r="AC12" i="50"/>
  <c r="V13" i="50"/>
  <c r="W13" i="50"/>
  <c r="X13" i="50"/>
  <c r="Y13" i="50"/>
  <c r="Z13" i="50"/>
  <c r="AB13" i="50"/>
  <c r="AC13" i="50"/>
  <c r="V14" i="50"/>
  <c r="W14" i="50"/>
  <c r="X14" i="50"/>
  <c r="Y14" i="50"/>
  <c r="Z14" i="50"/>
  <c r="AB14" i="50"/>
  <c r="AC14" i="50"/>
  <c r="V15" i="50"/>
  <c r="W15" i="50"/>
  <c r="X15" i="50"/>
  <c r="Y15" i="50"/>
  <c r="Z15" i="50"/>
  <c r="AB15" i="50"/>
  <c r="AC15" i="50"/>
  <c r="V16" i="50"/>
  <c r="W16" i="50"/>
  <c r="X16" i="50"/>
  <c r="Y16" i="50"/>
  <c r="Z16" i="50"/>
  <c r="AB16" i="50"/>
  <c r="AC16" i="50"/>
  <c r="V17" i="50"/>
  <c r="W17" i="50"/>
  <c r="X17" i="50"/>
  <c r="Y17" i="50"/>
  <c r="Z17" i="50"/>
  <c r="AB17" i="50"/>
  <c r="AC17" i="50"/>
  <c r="V18" i="50"/>
  <c r="W18" i="50"/>
  <c r="X18" i="50"/>
  <c r="Y18" i="50"/>
  <c r="Z18" i="50"/>
  <c r="AB18" i="50"/>
  <c r="AC18" i="50"/>
  <c r="V19" i="50"/>
  <c r="W19" i="50"/>
  <c r="X19" i="50"/>
  <c r="Y19" i="50"/>
  <c r="Z19" i="50"/>
  <c r="AB19" i="50"/>
  <c r="AC19" i="50"/>
  <c r="V21" i="50"/>
  <c r="W21" i="50"/>
  <c r="X21" i="50"/>
  <c r="Y21" i="50"/>
  <c r="Z21" i="50"/>
  <c r="AB21" i="50"/>
  <c r="AC21" i="50"/>
  <c r="V22" i="50"/>
  <c r="W22" i="50"/>
  <c r="X22" i="50"/>
  <c r="Y22" i="50"/>
  <c r="Z22" i="50"/>
  <c r="AB22" i="50"/>
  <c r="AC22" i="50"/>
  <c r="V23" i="50"/>
  <c r="W23" i="50"/>
  <c r="X23" i="50"/>
  <c r="Y23" i="50"/>
  <c r="Z23" i="50"/>
  <c r="AB23" i="50"/>
  <c r="AC23" i="50"/>
  <c r="V24" i="50"/>
  <c r="W24" i="50"/>
  <c r="X24" i="50"/>
  <c r="Y24" i="50"/>
  <c r="Z24" i="50"/>
  <c r="AB24" i="50"/>
  <c r="AC24" i="50"/>
  <c r="V25" i="50"/>
  <c r="W25" i="50"/>
  <c r="X25" i="50"/>
  <c r="Y25" i="50"/>
  <c r="Z25" i="50"/>
  <c r="AB25" i="50"/>
  <c r="AC25" i="50"/>
  <c r="V26" i="50"/>
  <c r="W26" i="50"/>
  <c r="X26" i="50"/>
  <c r="Y26" i="50"/>
  <c r="Z26" i="50"/>
  <c r="AB26" i="50"/>
  <c r="AC26" i="50"/>
  <c r="V27" i="50"/>
  <c r="W27" i="50"/>
  <c r="X27" i="50"/>
  <c r="Y27" i="50"/>
  <c r="Z27" i="50"/>
  <c r="AB27" i="50"/>
  <c r="AC27" i="50"/>
  <c r="V28" i="50"/>
  <c r="W28" i="50"/>
  <c r="X28" i="50"/>
  <c r="Y28" i="50"/>
  <c r="Z28" i="50"/>
  <c r="AB28" i="50"/>
  <c r="AC28" i="50"/>
  <c r="V29" i="50"/>
  <c r="W29" i="50"/>
  <c r="X29" i="50"/>
  <c r="Y29" i="50"/>
  <c r="Z29" i="50"/>
  <c r="AB29" i="50"/>
  <c r="AC29" i="50"/>
  <c r="V30" i="50"/>
  <c r="W30" i="50"/>
  <c r="X30" i="50"/>
  <c r="Y30" i="50"/>
  <c r="Z30" i="50"/>
  <c r="AB30" i="50"/>
  <c r="AC30" i="50"/>
  <c r="V31" i="50"/>
  <c r="W31" i="50"/>
  <c r="X31" i="50"/>
  <c r="Y31" i="50"/>
  <c r="Z31" i="50"/>
  <c r="AB31" i="50"/>
  <c r="AC31" i="50"/>
  <c r="V32" i="50"/>
  <c r="W32" i="50"/>
  <c r="X32" i="50"/>
  <c r="Y32" i="50"/>
  <c r="Z32" i="50"/>
  <c r="AB32" i="50"/>
  <c r="AC32" i="50"/>
  <c r="V33" i="50"/>
  <c r="W33" i="50"/>
  <c r="X33" i="50"/>
  <c r="Y33" i="50"/>
  <c r="Z33" i="50"/>
  <c r="AB33" i="50"/>
  <c r="AC33" i="50"/>
  <c r="V34" i="50"/>
  <c r="W34" i="50"/>
  <c r="X34" i="50"/>
  <c r="Y34" i="50"/>
  <c r="Z34" i="50"/>
  <c r="AB34" i="50"/>
  <c r="AC34" i="50"/>
  <c r="V35" i="50"/>
  <c r="W35" i="50"/>
  <c r="X35" i="50"/>
  <c r="Y35" i="50"/>
  <c r="Z35" i="50"/>
  <c r="AB35" i="50"/>
  <c r="AC35" i="50"/>
  <c r="V36" i="50"/>
  <c r="W36" i="50"/>
  <c r="X36" i="50"/>
  <c r="Y36" i="50"/>
  <c r="Z36" i="50"/>
  <c r="AB36" i="50"/>
  <c r="AC36" i="50"/>
  <c r="V37" i="50"/>
  <c r="W37" i="50"/>
  <c r="X37" i="50"/>
  <c r="Y37" i="50"/>
  <c r="Z37" i="50"/>
  <c r="AB37" i="50"/>
  <c r="AC37" i="50"/>
  <c r="V38" i="50"/>
  <c r="W38" i="50"/>
  <c r="X38" i="50"/>
  <c r="Y38" i="50"/>
  <c r="Z38" i="50"/>
  <c r="AB38" i="50"/>
  <c r="AC38" i="50"/>
  <c r="V39" i="50"/>
  <c r="W39" i="50"/>
  <c r="X39" i="50"/>
  <c r="Y39" i="50"/>
  <c r="Z39" i="50"/>
  <c r="AB39" i="50"/>
  <c r="AC39" i="50"/>
  <c r="V40" i="50"/>
  <c r="W40" i="50"/>
  <c r="X40" i="50"/>
  <c r="Y40" i="50"/>
  <c r="Z40" i="50"/>
  <c r="AB40" i="50"/>
  <c r="AC40" i="50"/>
  <c r="V41" i="50"/>
  <c r="W41" i="50"/>
  <c r="X41" i="50"/>
  <c r="Y41" i="50"/>
  <c r="Z41" i="50"/>
  <c r="AB41" i="50"/>
  <c r="AC41" i="50"/>
  <c r="V42" i="50"/>
  <c r="W42" i="50"/>
  <c r="X42" i="50"/>
  <c r="Y42" i="50"/>
  <c r="Z42" i="50"/>
  <c r="AB42" i="50"/>
  <c r="AC42" i="50"/>
  <c r="V43" i="50"/>
  <c r="J40" i="38" s="1"/>
  <c r="W43" i="50"/>
  <c r="J43" i="38" s="1"/>
  <c r="J45" i="38" s="1"/>
  <c r="X43" i="50"/>
  <c r="J41" i="38" s="1"/>
  <c r="Y43" i="50"/>
  <c r="J39" i="38" s="1"/>
  <c r="Z43" i="50"/>
  <c r="AB43" i="50"/>
  <c r="AC43" i="50"/>
  <c r="V44" i="50"/>
  <c r="W44" i="50"/>
  <c r="X44" i="50"/>
  <c r="Y44" i="50"/>
  <c r="Z44" i="50"/>
  <c r="AB44" i="50"/>
  <c r="AC44" i="50"/>
  <c r="V45" i="50"/>
  <c r="W45" i="50"/>
  <c r="X45" i="50"/>
  <c r="Y45" i="50"/>
  <c r="Z45" i="50"/>
  <c r="AB45" i="50"/>
  <c r="AC45" i="50"/>
  <c r="V46" i="50"/>
  <c r="W46" i="50"/>
  <c r="X46" i="50"/>
  <c r="Y46" i="50"/>
  <c r="Z46" i="50"/>
  <c r="AB46" i="50"/>
  <c r="AC46" i="50"/>
  <c r="V48" i="50"/>
  <c r="W48" i="50"/>
  <c r="X48" i="50"/>
  <c r="Y48" i="50"/>
  <c r="Z48" i="50"/>
  <c r="AB48" i="50"/>
  <c r="AC48" i="50"/>
  <c r="AC7" i="50"/>
  <c r="AB7" i="50"/>
  <c r="Y7" i="50"/>
  <c r="X7" i="50"/>
  <c r="W7" i="50"/>
  <c r="V7" i="50"/>
  <c r="AT49" i="50"/>
  <c r="AD17" i="50"/>
  <c r="Q7" i="50"/>
  <c r="AD7" i="50" s="1"/>
  <c r="AS49" i="50"/>
  <c r="AU49" i="50"/>
  <c r="AL49" i="50"/>
  <c r="AO49" i="50"/>
  <c r="AP49" i="50"/>
  <c r="AQ49" i="50"/>
  <c r="L16" i="25"/>
  <c r="H16" i="25"/>
  <c r="AD48" i="50"/>
  <c r="AD29" i="50"/>
  <c r="AD30" i="50"/>
  <c r="AD34" i="50"/>
  <c r="AD35" i="50"/>
  <c r="AD36" i="50"/>
  <c r="AD37" i="50"/>
  <c r="AD38" i="50"/>
  <c r="AD39" i="50"/>
  <c r="AD40" i="50"/>
  <c r="AD41" i="50"/>
  <c r="AD42" i="50"/>
  <c r="AD43" i="50"/>
  <c r="AD44" i="50"/>
  <c r="AD45" i="50"/>
  <c r="AD46" i="50"/>
  <c r="Z7" i="50"/>
  <c r="AN9" i="50"/>
  <c r="AN10" i="50"/>
  <c r="AN11" i="50"/>
  <c r="AN12" i="50"/>
  <c r="AN13" i="50"/>
  <c r="AN14" i="50"/>
  <c r="AN15" i="50"/>
  <c r="AN16" i="50"/>
  <c r="AN17" i="50"/>
  <c r="AN18" i="50"/>
  <c r="AN19" i="50"/>
  <c r="AN21" i="50"/>
  <c r="AN22" i="50"/>
  <c r="AN23" i="50"/>
  <c r="AN24" i="50"/>
  <c r="AN25" i="50"/>
  <c r="AN26" i="50"/>
  <c r="AN27" i="50"/>
  <c r="AN28" i="50"/>
  <c r="AN29" i="50"/>
  <c r="AN30" i="50"/>
  <c r="AN31" i="50"/>
  <c r="AN32" i="50"/>
  <c r="AN33" i="50"/>
  <c r="AN34" i="50"/>
  <c r="AN35" i="50"/>
  <c r="AN36" i="50"/>
  <c r="AN37" i="50"/>
  <c r="AN38" i="50"/>
  <c r="AN39" i="50"/>
  <c r="AN40" i="50"/>
  <c r="AN41" i="50"/>
  <c r="AN42" i="50"/>
  <c r="AN43" i="50"/>
  <c r="G32" i="38" s="1"/>
  <c r="AN44" i="50"/>
  <c r="AN45" i="50"/>
  <c r="AN46" i="50"/>
  <c r="AN8" i="50"/>
  <c r="AN7" i="50"/>
  <c r="AJ9" i="50"/>
  <c r="AJ10" i="50"/>
  <c r="AJ11" i="50"/>
  <c r="AJ12" i="50"/>
  <c r="AJ13" i="50"/>
  <c r="AJ14" i="50"/>
  <c r="AJ15" i="50"/>
  <c r="AJ16" i="50"/>
  <c r="AJ17" i="50"/>
  <c r="AJ18" i="50"/>
  <c r="AJ19" i="50"/>
  <c r="AJ21" i="50"/>
  <c r="AJ22" i="50"/>
  <c r="AJ23" i="50"/>
  <c r="AJ24" i="50"/>
  <c r="AJ25" i="50"/>
  <c r="AJ26" i="50"/>
  <c r="AJ27" i="50"/>
  <c r="AJ28" i="50"/>
  <c r="AJ29" i="50"/>
  <c r="AJ30" i="50"/>
  <c r="AJ31" i="50"/>
  <c r="AJ32" i="50"/>
  <c r="AJ33" i="50"/>
  <c r="AJ34" i="50"/>
  <c r="AJ35" i="50"/>
  <c r="AJ36" i="50"/>
  <c r="AJ37" i="50"/>
  <c r="AJ38" i="50"/>
  <c r="AJ39" i="50"/>
  <c r="AJ40" i="50"/>
  <c r="AJ41" i="50"/>
  <c r="AJ42" i="50"/>
  <c r="AJ43" i="50"/>
  <c r="G31" i="38" s="1"/>
  <c r="AJ44" i="50"/>
  <c r="AJ45" i="50"/>
  <c r="AJ46" i="50"/>
  <c r="AJ8" i="50"/>
  <c r="AJ7" i="50"/>
  <c r="AK48" i="50"/>
  <c r="AG9" i="50"/>
  <c r="AK9" i="50" s="1"/>
  <c r="AG10" i="50"/>
  <c r="AK10" i="50" s="1"/>
  <c r="AG11" i="50"/>
  <c r="AK11" i="50" s="1"/>
  <c r="AG12" i="50"/>
  <c r="AK12" i="50" s="1"/>
  <c r="AG13" i="50"/>
  <c r="AK13" i="50" s="1"/>
  <c r="AG14" i="50"/>
  <c r="AK14" i="50" s="1"/>
  <c r="AG15" i="50"/>
  <c r="AK15" i="50" s="1"/>
  <c r="AG16" i="50"/>
  <c r="AK16" i="50" s="1"/>
  <c r="AG17" i="50"/>
  <c r="AK17" i="50" s="1"/>
  <c r="AG18" i="50"/>
  <c r="AK18" i="50" s="1"/>
  <c r="AG19" i="50"/>
  <c r="AK19" i="50" s="1"/>
  <c r="AG21" i="50"/>
  <c r="AK21" i="50" s="1"/>
  <c r="AG22" i="50"/>
  <c r="AK22" i="50" s="1"/>
  <c r="AG23" i="50"/>
  <c r="AK23" i="50" s="1"/>
  <c r="AG24" i="50"/>
  <c r="AK24" i="50" s="1"/>
  <c r="AG25" i="50"/>
  <c r="AK25" i="50" s="1"/>
  <c r="AG26" i="50"/>
  <c r="AK26" i="50" s="1"/>
  <c r="AG27" i="50"/>
  <c r="AK27" i="50" s="1"/>
  <c r="AG28" i="50"/>
  <c r="AK28" i="50" s="1"/>
  <c r="AG29" i="50"/>
  <c r="AK29" i="50" s="1"/>
  <c r="AG30" i="50"/>
  <c r="AK30" i="50" s="1"/>
  <c r="AG31" i="50"/>
  <c r="AK31" i="50" s="1"/>
  <c r="AG32" i="50"/>
  <c r="AK32" i="50" s="1"/>
  <c r="AG33" i="50"/>
  <c r="AK33" i="50" s="1"/>
  <c r="AG34" i="50"/>
  <c r="AK34" i="50" s="1"/>
  <c r="AG35" i="50"/>
  <c r="AK35" i="50" s="1"/>
  <c r="AG36" i="50"/>
  <c r="AK36" i="50" s="1"/>
  <c r="AG37" i="50"/>
  <c r="AK37" i="50" s="1"/>
  <c r="AG38" i="50"/>
  <c r="AK38" i="50" s="1"/>
  <c r="AG39" i="50"/>
  <c r="AK39" i="50" s="1"/>
  <c r="AG40" i="50"/>
  <c r="AK40" i="50" s="1"/>
  <c r="AG41" i="50"/>
  <c r="AK41" i="50" s="1"/>
  <c r="AG42" i="50"/>
  <c r="AK42" i="50" s="1"/>
  <c r="AG43" i="50"/>
  <c r="AG44" i="50"/>
  <c r="AK44" i="50" s="1"/>
  <c r="AG45" i="50"/>
  <c r="AK45" i="50" s="1"/>
  <c r="AG46" i="50"/>
  <c r="AK46" i="50" s="1"/>
  <c r="AG8" i="50"/>
  <c r="AK8" i="50" s="1"/>
  <c r="AG7" i="50"/>
  <c r="AK7" i="50" s="1"/>
  <c r="N49" i="50"/>
  <c r="L57" i="50"/>
  <c r="H27" i="50"/>
  <c r="J42" i="57"/>
  <c r="J38" i="57"/>
  <c r="J37" i="57"/>
  <c r="G35" i="57"/>
  <c r="G34" i="57"/>
  <c r="G33" i="57"/>
  <c r="L19" i="57"/>
  <c r="L18" i="57"/>
  <c r="L17" i="57"/>
  <c r="L16" i="57"/>
  <c r="H19" i="57"/>
  <c r="H18" i="57"/>
  <c r="H17" i="57"/>
  <c r="H16" i="57"/>
  <c r="D19" i="57"/>
  <c r="D18" i="57"/>
  <c r="D17" i="57"/>
  <c r="D16" i="57"/>
  <c r="J11" i="57"/>
  <c r="J9" i="57"/>
  <c r="J8" i="57"/>
  <c r="D11" i="57"/>
  <c r="D8" i="57"/>
  <c r="A5" i="57"/>
  <c r="J42" i="35"/>
  <c r="J38" i="35"/>
  <c r="J37" i="35"/>
  <c r="G35" i="35"/>
  <c r="G34" i="35"/>
  <c r="G33" i="35"/>
  <c r="L19" i="35"/>
  <c r="L18" i="35"/>
  <c r="L17" i="35"/>
  <c r="L16" i="35"/>
  <c r="H19" i="35"/>
  <c r="H18" i="35"/>
  <c r="H17" i="35"/>
  <c r="H16" i="35"/>
  <c r="D19" i="35"/>
  <c r="D18" i="35"/>
  <c r="D17" i="35"/>
  <c r="D16" i="35"/>
  <c r="J11" i="35"/>
  <c r="J9" i="35"/>
  <c r="J8" i="35"/>
  <c r="D11" i="35"/>
  <c r="D8" i="35"/>
  <c r="A5" i="35"/>
  <c r="D8" i="55"/>
  <c r="J42" i="55"/>
  <c r="J38" i="55"/>
  <c r="J37" i="55"/>
  <c r="G35" i="55"/>
  <c r="G34" i="55"/>
  <c r="G33" i="55"/>
  <c r="L19" i="55"/>
  <c r="L18" i="55"/>
  <c r="L17" i="55"/>
  <c r="L16" i="55"/>
  <c r="H19" i="55"/>
  <c r="H18" i="55"/>
  <c r="H17" i="55"/>
  <c r="H16" i="55"/>
  <c r="D19" i="55"/>
  <c r="D18" i="55"/>
  <c r="D17" i="55"/>
  <c r="D16" i="55"/>
  <c r="J11" i="55"/>
  <c r="J9" i="55"/>
  <c r="J8" i="55"/>
  <c r="D11" i="55"/>
  <c r="A5" i="55"/>
  <c r="J42" i="54"/>
  <c r="J38" i="54"/>
  <c r="J37" i="54"/>
  <c r="G35" i="54"/>
  <c r="G34" i="54"/>
  <c r="G33" i="54"/>
  <c r="L19" i="54"/>
  <c r="L18" i="54"/>
  <c r="L17" i="54"/>
  <c r="L16" i="54"/>
  <c r="H19" i="54"/>
  <c r="H18" i="54"/>
  <c r="H17" i="54"/>
  <c r="H16" i="54"/>
  <c r="D19" i="54"/>
  <c r="D18" i="54"/>
  <c r="D17" i="54"/>
  <c r="D16" i="54"/>
  <c r="J11" i="54"/>
  <c r="J9" i="54"/>
  <c r="J8" i="54"/>
  <c r="D11" i="54"/>
  <c r="D8" i="54"/>
  <c r="A5" i="54"/>
  <c r="A5" i="51"/>
  <c r="J42" i="36"/>
  <c r="J38" i="36"/>
  <c r="J37" i="36"/>
  <c r="G35" i="36"/>
  <c r="G34" i="36"/>
  <c r="G33" i="36"/>
  <c r="L19" i="36"/>
  <c r="L18" i="36"/>
  <c r="L17" i="36"/>
  <c r="L16" i="36"/>
  <c r="H19" i="36"/>
  <c r="H18" i="36"/>
  <c r="H17" i="36"/>
  <c r="H16" i="36"/>
  <c r="D19" i="36"/>
  <c r="D18" i="36"/>
  <c r="D17" i="36"/>
  <c r="D16" i="36"/>
  <c r="J11" i="36"/>
  <c r="J9" i="36"/>
  <c r="J8" i="36"/>
  <c r="D11" i="36"/>
  <c r="D8" i="36"/>
  <c r="A5" i="36"/>
  <c r="J42" i="56"/>
  <c r="J38" i="56"/>
  <c r="J37" i="56"/>
  <c r="G35" i="56"/>
  <c r="G34" i="56"/>
  <c r="G33" i="56"/>
  <c r="L19" i="56"/>
  <c r="L18" i="56"/>
  <c r="L17" i="56"/>
  <c r="L16" i="56"/>
  <c r="H19" i="56"/>
  <c r="H18" i="56"/>
  <c r="H17" i="56"/>
  <c r="H16" i="56"/>
  <c r="D19" i="56"/>
  <c r="D18" i="56"/>
  <c r="D17" i="56"/>
  <c r="D16" i="56"/>
  <c r="J11" i="56"/>
  <c r="J9" i="56"/>
  <c r="J8" i="56"/>
  <c r="D11" i="56"/>
  <c r="D8" i="56"/>
  <c r="A5" i="56"/>
  <c r="J42" i="33"/>
  <c r="J38" i="33"/>
  <c r="J37" i="33"/>
  <c r="G35" i="33"/>
  <c r="G34" i="33"/>
  <c r="G33" i="33"/>
  <c r="L19" i="33"/>
  <c r="L18" i="33"/>
  <c r="L17" i="33"/>
  <c r="L16" i="33"/>
  <c r="H19" i="33"/>
  <c r="H18" i="33"/>
  <c r="H17" i="33"/>
  <c r="H16" i="33"/>
  <c r="D19" i="33"/>
  <c r="D18" i="33"/>
  <c r="D17" i="33"/>
  <c r="D16" i="33"/>
  <c r="J11" i="33"/>
  <c r="J9" i="33"/>
  <c r="J8" i="33"/>
  <c r="D11" i="33"/>
  <c r="D8" i="33"/>
  <c r="A5" i="33"/>
  <c r="J42" i="34"/>
  <c r="J38" i="34"/>
  <c r="J37" i="34"/>
  <c r="G35" i="34"/>
  <c r="G34" i="34"/>
  <c r="G33" i="34"/>
  <c r="L19" i="34"/>
  <c r="L18" i="34"/>
  <c r="L17" i="34"/>
  <c r="L16" i="34"/>
  <c r="H19" i="34"/>
  <c r="H18" i="34"/>
  <c r="H17" i="34"/>
  <c r="H16" i="34"/>
  <c r="D19" i="34"/>
  <c r="D18" i="34"/>
  <c r="D17" i="34"/>
  <c r="D16" i="34"/>
  <c r="J11" i="34"/>
  <c r="J9" i="34"/>
  <c r="J8" i="34"/>
  <c r="D11" i="34"/>
  <c r="D8" i="34"/>
  <c r="A5" i="34"/>
  <c r="J42" i="32"/>
  <c r="J38" i="32"/>
  <c r="J37" i="32"/>
  <c r="G35" i="32"/>
  <c r="G34" i="32"/>
  <c r="G33" i="32"/>
  <c r="L19" i="32"/>
  <c r="L18" i="32"/>
  <c r="L17" i="32"/>
  <c r="L16" i="32"/>
  <c r="H19" i="32"/>
  <c r="H18" i="32"/>
  <c r="H17" i="32"/>
  <c r="H16" i="32"/>
  <c r="D19" i="32"/>
  <c r="D18" i="32"/>
  <c r="D17" i="32"/>
  <c r="D16" i="32"/>
  <c r="J11" i="32"/>
  <c r="J9" i="32"/>
  <c r="J8" i="32"/>
  <c r="D11" i="32"/>
  <c r="D8" i="32"/>
  <c r="A5" i="32"/>
  <c r="J42" i="31"/>
  <c r="J38" i="31"/>
  <c r="J37" i="31"/>
  <c r="G35" i="31"/>
  <c r="G34" i="31"/>
  <c r="G33" i="31"/>
  <c r="L19" i="31"/>
  <c r="L18" i="31"/>
  <c r="L17" i="31"/>
  <c r="L16" i="31"/>
  <c r="H19" i="31"/>
  <c r="H18" i="31"/>
  <c r="H17" i="31"/>
  <c r="H16" i="31"/>
  <c r="D19" i="31"/>
  <c r="D18" i="31"/>
  <c r="D17" i="31"/>
  <c r="D16" i="31"/>
  <c r="J11" i="31"/>
  <c r="J9" i="31"/>
  <c r="J8" i="31"/>
  <c r="D11" i="31"/>
  <c r="D8" i="31"/>
  <c r="A5" i="31"/>
  <c r="J42" i="30"/>
  <c r="J38" i="30"/>
  <c r="J37" i="30"/>
  <c r="G35" i="30"/>
  <c r="G34" i="30"/>
  <c r="G33" i="30"/>
  <c r="L19" i="30"/>
  <c r="L18" i="30"/>
  <c r="L17" i="30"/>
  <c r="L16" i="30"/>
  <c r="H19" i="30"/>
  <c r="H18" i="30"/>
  <c r="H17" i="30"/>
  <c r="H16" i="30"/>
  <c r="D19" i="30"/>
  <c r="D18" i="30"/>
  <c r="D17" i="30"/>
  <c r="D16" i="30"/>
  <c r="J8" i="30"/>
  <c r="D11" i="30"/>
  <c r="J11" i="30"/>
  <c r="J9" i="30"/>
  <c r="D8" i="30"/>
  <c r="A5" i="30"/>
  <c r="J42" i="29"/>
  <c r="J38" i="29"/>
  <c r="J37" i="29"/>
  <c r="G35" i="29"/>
  <c r="G34" i="29"/>
  <c r="G33" i="29"/>
  <c r="L19" i="29"/>
  <c r="L18" i="29"/>
  <c r="L17" i="29"/>
  <c r="L16" i="29"/>
  <c r="H19" i="29"/>
  <c r="H18" i="29"/>
  <c r="H17" i="29"/>
  <c r="H16" i="29"/>
  <c r="D19" i="29"/>
  <c r="D18" i="29"/>
  <c r="D17" i="29"/>
  <c r="D16" i="29"/>
  <c r="J11" i="29"/>
  <c r="J9" i="29"/>
  <c r="J8" i="29"/>
  <c r="D11" i="29"/>
  <c r="D8" i="29"/>
  <c r="A5" i="29"/>
  <c r="J42" i="28"/>
  <c r="J38" i="28"/>
  <c r="J37" i="28"/>
  <c r="G35" i="28"/>
  <c r="G34" i="28"/>
  <c r="G33" i="28"/>
  <c r="L19" i="28"/>
  <c r="L18" i="28"/>
  <c r="L17" i="28"/>
  <c r="L16" i="28"/>
  <c r="H19" i="28"/>
  <c r="H18" i="28"/>
  <c r="H17" i="28"/>
  <c r="H16" i="28"/>
  <c r="D19" i="28"/>
  <c r="D18" i="28"/>
  <c r="D17" i="28"/>
  <c r="D16" i="28"/>
  <c r="J11" i="28"/>
  <c r="J9" i="28"/>
  <c r="J8" i="28"/>
  <c r="D11" i="28"/>
  <c r="D8" i="28"/>
  <c r="A5" i="28"/>
  <c r="J42" i="27"/>
  <c r="J38" i="27"/>
  <c r="J37" i="27"/>
  <c r="G35" i="27"/>
  <c r="G34" i="27"/>
  <c r="G33" i="27"/>
  <c r="L18" i="27"/>
  <c r="L17" i="27"/>
  <c r="L16" i="27"/>
  <c r="H19" i="27"/>
  <c r="H18" i="27"/>
  <c r="H17" i="27"/>
  <c r="H16" i="27"/>
  <c r="D19" i="27"/>
  <c r="D17" i="27"/>
  <c r="D16" i="27"/>
  <c r="J11" i="27"/>
  <c r="J9" i="27"/>
  <c r="J8" i="27"/>
  <c r="D11" i="27"/>
  <c r="D8" i="27"/>
  <c r="A5" i="27"/>
  <c r="J42" i="26"/>
  <c r="J38" i="26"/>
  <c r="J37" i="26"/>
  <c r="G35" i="26"/>
  <c r="G34" i="26"/>
  <c r="G33" i="26"/>
  <c r="L19" i="26"/>
  <c r="L18" i="26"/>
  <c r="L17" i="26"/>
  <c r="L16" i="26"/>
  <c r="H19" i="26"/>
  <c r="H18" i="26"/>
  <c r="H17" i="26"/>
  <c r="H16" i="26"/>
  <c r="D19" i="26"/>
  <c r="D17" i="26"/>
  <c r="D16" i="26"/>
  <c r="J11" i="26"/>
  <c r="J9" i="26"/>
  <c r="J8" i="26"/>
  <c r="D11" i="26"/>
  <c r="D8" i="26"/>
  <c r="A5" i="26"/>
  <c r="J42" i="25"/>
  <c r="J38" i="25"/>
  <c r="J37" i="25"/>
  <c r="G35" i="25"/>
  <c r="G34" i="25"/>
  <c r="G33" i="25"/>
  <c r="L18" i="25"/>
  <c r="L17" i="25"/>
  <c r="H19" i="25"/>
  <c r="H18" i="25"/>
  <c r="H17" i="25"/>
  <c r="D19" i="25"/>
  <c r="D17" i="25"/>
  <c r="D16" i="25"/>
  <c r="J11" i="25"/>
  <c r="J9" i="25"/>
  <c r="J8" i="25"/>
  <c r="D11" i="25"/>
  <c r="D8" i="25"/>
  <c r="A5" i="25"/>
  <c r="J42" i="23"/>
  <c r="J38" i="23"/>
  <c r="J37" i="23"/>
  <c r="G35" i="23"/>
  <c r="G34" i="23"/>
  <c r="G33" i="23"/>
  <c r="L19" i="23"/>
  <c r="L18" i="23"/>
  <c r="L17" i="23"/>
  <c r="L16" i="23"/>
  <c r="H19" i="23"/>
  <c r="H18" i="23"/>
  <c r="H17" i="23"/>
  <c r="H16" i="23"/>
  <c r="D19" i="23"/>
  <c r="D18" i="23"/>
  <c r="D17" i="23"/>
  <c r="D16" i="23"/>
  <c r="J11" i="23"/>
  <c r="J9" i="23"/>
  <c r="J8" i="23"/>
  <c r="D11" i="23"/>
  <c r="D8" i="23"/>
  <c r="A5" i="23"/>
  <c r="J42" i="22"/>
  <c r="J38" i="22"/>
  <c r="J37" i="22"/>
  <c r="G35" i="22"/>
  <c r="G34" i="22"/>
  <c r="G33" i="22"/>
  <c r="L19" i="22"/>
  <c r="L18" i="22"/>
  <c r="L17" i="22"/>
  <c r="L16" i="22"/>
  <c r="H19" i="22"/>
  <c r="H18" i="22"/>
  <c r="H17" i="22"/>
  <c r="H16" i="22"/>
  <c r="D19" i="22"/>
  <c r="D18" i="22"/>
  <c r="D17" i="22"/>
  <c r="D16" i="22"/>
  <c r="J11" i="22"/>
  <c r="J9" i="22"/>
  <c r="J8" i="22"/>
  <c r="D11" i="22"/>
  <c r="D8" i="22"/>
  <c r="A5" i="22"/>
  <c r="J42" i="21"/>
  <c r="J38" i="21"/>
  <c r="J37" i="21"/>
  <c r="G35" i="21"/>
  <c r="G34" i="21"/>
  <c r="G33" i="21"/>
  <c r="L18" i="21"/>
  <c r="L17" i="21"/>
  <c r="L16" i="21"/>
  <c r="H19" i="21"/>
  <c r="H18" i="21"/>
  <c r="H17" i="21"/>
  <c r="H16" i="21"/>
  <c r="D19" i="21"/>
  <c r="D17" i="21"/>
  <c r="D16" i="21"/>
  <c r="J11" i="21"/>
  <c r="J9" i="21"/>
  <c r="J8" i="21"/>
  <c r="D11" i="21"/>
  <c r="D8" i="21"/>
  <c r="A5" i="21"/>
  <c r="J42" i="20"/>
  <c r="J38" i="20"/>
  <c r="J37" i="20"/>
  <c r="G35" i="20"/>
  <c r="G34" i="20"/>
  <c r="G33" i="20"/>
  <c r="G27" i="20"/>
  <c r="L18" i="20"/>
  <c r="L17" i="20"/>
  <c r="L16" i="20"/>
  <c r="H19" i="20"/>
  <c r="H18" i="20"/>
  <c r="H17" i="20"/>
  <c r="H16" i="20"/>
  <c r="D19" i="20"/>
  <c r="D17" i="20"/>
  <c r="D16" i="20"/>
  <c r="J11" i="20"/>
  <c r="J9" i="20"/>
  <c r="J8" i="20"/>
  <c r="D11" i="20"/>
  <c r="D8" i="20"/>
  <c r="A5" i="20"/>
  <c r="J42" i="19"/>
  <c r="J38" i="19"/>
  <c r="J37" i="19"/>
  <c r="G35" i="19"/>
  <c r="G34" i="19"/>
  <c r="G33" i="19"/>
  <c r="L18" i="19"/>
  <c r="L17" i="19"/>
  <c r="L16" i="19"/>
  <c r="H19" i="19"/>
  <c r="H18" i="19"/>
  <c r="H17" i="19"/>
  <c r="H16" i="19"/>
  <c r="D19" i="19"/>
  <c r="D17" i="19"/>
  <c r="D16" i="19"/>
  <c r="J11" i="19"/>
  <c r="J9" i="19"/>
  <c r="J8" i="19"/>
  <c r="D11" i="19"/>
  <c r="D8" i="19"/>
  <c r="A5" i="19"/>
  <c r="J42" i="18"/>
  <c r="J38" i="18"/>
  <c r="J37" i="18"/>
  <c r="G35" i="18"/>
  <c r="G34" i="18"/>
  <c r="G33" i="18"/>
  <c r="L18" i="18"/>
  <c r="L17" i="18"/>
  <c r="L16" i="18"/>
  <c r="H19" i="18"/>
  <c r="H18" i="18"/>
  <c r="H17" i="18"/>
  <c r="H16" i="18"/>
  <c r="D19" i="18"/>
  <c r="D17" i="18"/>
  <c r="D16" i="18"/>
  <c r="J11" i="18"/>
  <c r="J9" i="18"/>
  <c r="J8" i="18"/>
  <c r="D11" i="18"/>
  <c r="D8" i="18"/>
  <c r="A5" i="18"/>
  <c r="J42" i="17"/>
  <c r="J38" i="17"/>
  <c r="J37" i="17"/>
  <c r="G35" i="17"/>
  <c r="G34" i="17"/>
  <c r="G33" i="17"/>
  <c r="L18" i="17"/>
  <c r="L17" i="17"/>
  <c r="L16" i="16"/>
  <c r="L16" i="17"/>
  <c r="H19" i="17"/>
  <c r="H18" i="17"/>
  <c r="H17" i="17"/>
  <c r="H16" i="17"/>
  <c r="D19" i="17"/>
  <c r="D17" i="17"/>
  <c r="D16" i="17"/>
  <c r="J11" i="17"/>
  <c r="J9" i="17"/>
  <c r="J8" i="17"/>
  <c r="D11" i="17"/>
  <c r="D8" i="17"/>
  <c r="A5" i="17"/>
  <c r="J42" i="16"/>
  <c r="J38" i="16"/>
  <c r="J37" i="16"/>
  <c r="G35" i="16"/>
  <c r="G34" i="16"/>
  <c r="G33" i="16"/>
  <c r="L18" i="16"/>
  <c r="L17" i="16"/>
  <c r="H19" i="16"/>
  <c r="H18" i="16"/>
  <c r="H17" i="16"/>
  <c r="H16" i="16"/>
  <c r="D19" i="16"/>
  <c r="D17" i="16"/>
  <c r="D16" i="16"/>
  <c r="J11" i="16"/>
  <c r="J9" i="16"/>
  <c r="J8" i="16"/>
  <c r="D11" i="16"/>
  <c r="D8" i="16"/>
  <c r="A5" i="16"/>
  <c r="J42" i="15"/>
  <c r="J38" i="15"/>
  <c r="J37" i="15"/>
  <c r="G35" i="15"/>
  <c r="G34" i="15"/>
  <c r="G33" i="15"/>
  <c r="L18" i="15"/>
  <c r="L17" i="15"/>
  <c r="L16" i="15"/>
  <c r="H19" i="15"/>
  <c r="H18" i="15"/>
  <c r="H17" i="15"/>
  <c r="H16" i="15"/>
  <c r="D19" i="15"/>
  <c r="D17" i="15"/>
  <c r="D16" i="15"/>
  <c r="J11" i="15"/>
  <c r="J9" i="15"/>
  <c r="J8" i="15"/>
  <c r="D11" i="15"/>
  <c r="D8" i="15"/>
  <c r="A5" i="15"/>
  <c r="J42" i="14"/>
  <c r="J38" i="14"/>
  <c r="J37" i="14"/>
  <c r="G35" i="14"/>
  <c r="G34" i="14"/>
  <c r="G33" i="14"/>
  <c r="L18" i="14"/>
  <c r="L17" i="14"/>
  <c r="L16" i="14"/>
  <c r="H19" i="14"/>
  <c r="H18" i="14"/>
  <c r="H17" i="14"/>
  <c r="H16" i="14"/>
  <c r="D19" i="14"/>
  <c r="D17" i="14"/>
  <c r="D16" i="14"/>
  <c r="J11" i="14"/>
  <c r="J9" i="14"/>
  <c r="J8" i="14"/>
  <c r="D11" i="14"/>
  <c r="D8" i="14"/>
  <c r="A5" i="14"/>
  <c r="J42" i="13"/>
  <c r="J38" i="13"/>
  <c r="J37" i="13"/>
  <c r="G35" i="13"/>
  <c r="G34" i="13"/>
  <c r="G33" i="13"/>
  <c r="L18" i="12"/>
  <c r="L17" i="12"/>
  <c r="L18" i="13"/>
  <c r="L17" i="13"/>
  <c r="L16" i="13"/>
  <c r="H19" i="13"/>
  <c r="H18" i="13"/>
  <c r="H17" i="13"/>
  <c r="H16" i="13"/>
  <c r="D19" i="13"/>
  <c r="D17" i="13"/>
  <c r="D16" i="13"/>
  <c r="J11" i="13"/>
  <c r="J9" i="13"/>
  <c r="J8" i="13"/>
  <c r="D11" i="13"/>
  <c r="D8" i="13"/>
  <c r="A5" i="13"/>
  <c r="J42" i="12"/>
  <c r="J38" i="12"/>
  <c r="J37" i="12"/>
  <c r="G35" i="12"/>
  <c r="G34" i="12"/>
  <c r="G33" i="12"/>
  <c r="L16" i="12"/>
  <c r="H19" i="12"/>
  <c r="H18" i="12"/>
  <c r="H17" i="12"/>
  <c r="H16" i="12"/>
  <c r="D19" i="12"/>
  <c r="D17" i="12"/>
  <c r="D16" i="12"/>
  <c r="J11" i="12"/>
  <c r="J9" i="12"/>
  <c r="J8" i="12"/>
  <c r="D11" i="12"/>
  <c r="D8" i="12"/>
  <c r="A5" i="12"/>
  <c r="J42" i="11"/>
  <c r="J38" i="11"/>
  <c r="J37" i="11"/>
  <c r="G35" i="11"/>
  <c r="G34" i="11"/>
  <c r="G33" i="11"/>
  <c r="L18" i="11"/>
  <c r="L17" i="11"/>
  <c r="L16" i="11"/>
  <c r="H19" i="11"/>
  <c r="H18" i="11"/>
  <c r="H17" i="11"/>
  <c r="H16" i="11"/>
  <c r="D19" i="11"/>
  <c r="D17" i="11"/>
  <c r="D16" i="11"/>
  <c r="J11" i="11"/>
  <c r="J9" i="11"/>
  <c r="J8" i="11"/>
  <c r="D11" i="11"/>
  <c r="D8" i="11"/>
  <c r="A5" i="11"/>
  <c r="J42" i="10"/>
  <c r="J38" i="10"/>
  <c r="J37" i="10"/>
  <c r="G35" i="10"/>
  <c r="G34" i="10"/>
  <c r="G33" i="10"/>
  <c r="L18" i="10"/>
  <c r="L17" i="10"/>
  <c r="L16" i="10"/>
  <c r="H19" i="10"/>
  <c r="H18" i="10"/>
  <c r="H17" i="10"/>
  <c r="H16" i="10"/>
  <c r="D19" i="10"/>
  <c r="D17" i="10"/>
  <c r="D16" i="10"/>
  <c r="J11" i="10"/>
  <c r="J9" i="10"/>
  <c r="J8" i="10"/>
  <c r="D11" i="10"/>
  <c r="D8" i="10"/>
  <c r="A5" i="10"/>
  <c r="J42" i="9"/>
  <c r="J38" i="9"/>
  <c r="J37" i="9"/>
  <c r="G35" i="9"/>
  <c r="G34" i="9"/>
  <c r="G33" i="9"/>
  <c r="L18" i="9"/>
  <c r="L17" i="9"/>
  <c r="L16" i="9"/>
  <c r="H19" i="9"/>
  <c r="H18" i="9"/>
  <c r="H17" i="9"/>
  <c r="H16" i="9"/>
  <c r="D19" i="9"/>
  <c r="D17" i="9"/>
  <c r="D16" i="9"/>
  <c r="J11" i="9"/>
  <c r="J9" i="9"/>
  <c r="J8" i="9"/>
  <c r="D11" i="9"/>
  <c r="D8" i="9"/>
  <c r="A5" i="9"/>
  <c r="J42" i="8"/>
  <c r="J38" i="8"/>
  <c r="J37" i="8"/>
  <c r="G35" i="8"/>
  <c r="G34" i="8"/>
  <c r="G33" i="8"/>
  <c r="L18" i="8"/>
  <c r="L17" i="8"/>
  <c r="L16" i="8"/>
  <c r="H19" i="8"/>
  <c r="H18" i="8"/>
  <c r="H17" i="8"/>
  <c r="H16" i="8"/>
  <c r="D19" i="8"/>
  <c r="D17" i="8"/>
  <c r="D16" i="8"/>
  <c r="J11" i="8"/>
  <c r="J9" i="8"/>
  <c r="J8" i="8"/>
  <c r="D11" i="8"/>
  <c r="D8" i="8"/>
  <c r="A5" i="8"/>
  <c r="J42" i="7"/>
  <c r="J38" i="7"/>
  <c r="J37" i="7"/>
  <c r="G35" i="7"/>
  <c r="G34" i="7"/>
  <c r="G33" i="7"/>
  <c r="L18" i="7"/>
  <c r="L17" i="7"/>
  <c r="L16" i="7"/>
  <c r="H19" i="7"/>
  <c r="H18" i="7"/>
  <c r="H17" i="7"/>
  <c r="H16" i="7"/>
  <c r="D19" i="7"/>
  <c r="D17" i="7"/>
  <c r="D16" i="7"/>
  <c r="J11" i="7"/>
  <c r="J9" i="7"/>
  <c r="J8" i="7"/>
  <c r="D11" i="7"/>
  <c r="D8" i="7"/>
  <c r="A5" i="7"/>
  <c r="J42" i="6"/>
  <c r="J38" i="6"/>
  <c r="J37" i="6"/>
  <c r="G35" i="6"/>
  <c r="G34" i="6"/>
  <c r="G33" i="6"/>
  <c r="L18" i="6"/>
  <c r="L17" i="6"/>
  <c r="L16" i="6"/>
  <c r="H19" i="6"/>
  <c r="H18" i="6"/>
  <c r="H17" i="6"/>
  <c r="H16" i="6"/>
  <c r="D19" i="6"/>
  <c r="D17" i="6"/>
  <c r="D16" i="6"/>
  <c r="J11" i="6"/>
  <c r="J9" i="6"/>
  <c r="J8" i="6"/>
  <c r="D11" i="6"/>
  <c r="D8" i="6"/>
  <c r="A5" i="6"/>
  <c r="J42" i="5"/>
  <c r="J38" i="5"/>
  <c r="J37" i="5"/>
  <c r="G35" i="5"/>
  <c r="G34" i="5"/>
  <c r="G33" i="5"/>
  <c r="L18" i="5"/>
  <c r="L17" i="5"/>
  <c r="L16" i="5"/>
  <c r="H19" i="5"/>
  <c r="H18" i="5"/>
  <c r="H17" i="5"/>
  <c r="H16" i="5"/>
  <c r="D19" i="5"/>
  <c r="D17" i="5"/>
  <c r="D16" i="5"/>
  <c r="J11" i="5"/>
  <c r="J9" i="5"/>
  <c r="J8" i="5"/>
  <c r="D11" i="5"/>
  <c r="D8" i="5"/>
  <c r="A5" i="5"/>
  <c r="J42" i="4"/>
  <c r="J38" i="4"/>
  <c r="J37" i="4"/>
  <c r="G35" i="4"/>
  <c r="G34" i="4"/>
  <c r="G33" i="4"/>
  <c r="L18" i="4"/>
  <c r="L17" i="4"/>
  <c r="L16" i="4"/>
  <c r="H19" i="4"/>
  <c r="H18" i="4"/>
  <c r="H17" i="4"/>
  <c r="H16" i="4"/>
  <c r="D19" i="4"/>
  <c r="D17" i="4"/>
  <c r="D16" i="4"/>
  <c r="J11" i="4"/>
  <c r="J9" i="4"/>
  <c r="J8" i="4"/>
  <c r="D11" i="4"/>
  <c r="D8" i="4"/>
  <c r="A5" i="4"/>
  <c r="J42" i="3"/>
  <c r="J38" i="3"/>
  <c r="J37" i="3"/>
  <c r="G35" i="3"/>
  <c r="G34" i="3"/>
  <c r="G33" i="3"/>
  <c r="J11" i="3"/>
  <c r="J9" i="3"/>
  <c r="J8" i="3"/>
  <c r="D11" i="3"/>
  <c r="D8" i="3"/>
  <c r="L18" i="3"/>
  <c r="L17" i="3"/>
  <c r="L16" i="3"/>
  <c r="H19" i="3"/>
  <c r="H18" i="3"/>
  <c r="H17" i="3"/>
  <c r="H16" i="3"/>
  <c r="D19" i="3"/>
  <c r="D17" i="3"/>
  <c r="D16" i="3"/>
  <c r="A5" i="3"/>
  <c r="J42" i="2"/>
  <c r="J38" i="2"/>
  <c r="J37" i="2"/>
  <c r="G35" i="2"/>
  <c r="G34" i="2"/>
  <c r="G33" i="2"/>
  <c r="L18" i="2"/>
  <c r="L17" i="2"/>
  <c r="L16" i="2"/>
  <c r="H19" i="2"/>
  <c r="H18" i="2"/>
  <c r="H17" i="2"/>
  <c r="H16" i="2"/>
  <c r="D19" i="2"/>
  <c r="D17" i="2"/>
  <c r="D16" i="2"/>
  <c r="J11" i="2"/>
  <c r="J9" i="2"/>
  <c r="J8" i="2"/>
  <c r="D11" i="2"/>
  <c r="D8" i="2"/>
  <c r="A5" i="2"/>
  <c r="L18" i="63"/>
  <c r="L17" i="63"/>
  <c r="L16" i="63"/>
  <c r="H19" i="63"/>
  <c r="H18" i="63"/>
  <c r="H17" i="63"/>
  <c r="H16" i="63"/>
  <c r="D19" i="63"/>
  <c r="D17" i="63"/>
  <c r="D16" i="63"/>
  <c r="G35" i="63"/>
  <c r="G34" i="63"/>
  <c r="J42" i="63"/>
  <c r="J38" i="63"/>
  <c r="J37" i="63"/>
  <c r="G33" i="63"/>
  <c r="J43" i="63"/>
  <c r="J40" i="63"/>
  <c r="L49" i="50"/>
  <c r="L54" i="50" s="1"/>
  <c r="J9" i="63"/>
  <c r="J8" i="63"/>
  <c r="D8" i="63"/>
  <c r="G32" i="21"/>
  <c r="G31" i="21"/>
  <c r="G32" i="18"/>
  <c r="G31" i="18"/>
  <c r="G32" i="15"/>
  <c r="G31" i="15"/>
  <c r="G30" i="15"/>
  <c r="G32" i="8"/>
  <c r="G31" i="8"/>
  <c r="G30" i="8"/>
  <c r="G32" i="5"/>
  <c r="G31" i="5"/>
  <c r="G30" i="5"/>
  <c r="G31" i="54"/>
  <c r="G31" i="27"/>
  <c r="G31" i="25"/>
  <c r="G31" i="23"/>
  <c r="G31" i="14"/>
  <c r="G30" i="14"/>
  <c r="G31" i="12"/>
  <c r="G30" i="12"/>
  <c r="G31" i="36"/>
  <c r="G31" i="56"/>
  <c r="G31" i="6"/>
  <c r="G30" i="6"/>
  <c r="G31" i="3"/>
  <c r="G30" i="3"/>
  <c r="G31" i="35"/>
  <c r="G31" i="55"/>
  <c r="G31" i="32"/>
  <c r="G31" i="29"/>
  <c r="G31" i="28"/>
  <c r="G31" i="19"/>
  <c r="G31" i="16"/>
  <c r="G31" i="13"/>
  <c r="G30" i="13"/>
  <c r="G31" i="10"/>
  <c r="G30" i="10"/>
  <c r="G31" i="7"/>
  <c r="G30" i="7"/>
  <c r="G31" i="57"/>
  <c r="G31" i="33"/>
  <c r="G31" i="34"/>
  <c r="G31" i="31"/>
  <c r="G31" i="30"/>
  <c r="G31" i="26"/>
  <c r="G31" i="22"/>
  <c r="G31" i="20"/>
  <c r="G31" i="17"/>
  <c r="AW7" i="50"/>
  <c r="AH49" i="50"/>
  <c r="AE49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2" i="50"/>
  <c r="AW23" i="50"/>
  <c r="AW24" i="50"/>
  <c r="AW25" i="50"/>
  <c r="AW26" i="50"/>
  <c r="AW27" i="50"/>
  <c r="AW28" i="50"/>
  <c r="AW29" i="50"/>
  <c r="AW30" i="50"/>
  <c r="AW31" i="50"/>
  <c r="AW32" i="50"/>
  <c r="AW33" i="50"/>
  <c r="AW34" i="50"/>
  <c r="AW35" i="50"/>
  <c r="AW36" i="50"/>
  <c r="AW37" i="50"/>
  <c r="AW38" i="50"/>
  <c r="AW39" i="50"/>
  <c r="AW40" i="50"/>
  <c r="AW41" i="50"/>
  <c r="AW42" i="50"/>
  <c r="AW43" i="50"/>
  <c r="AW44" i="50"/>
  <c r="AW45" i="50"/>
  <c r="AW46" i="50"/>
  <c r="AW48" i="50"/>
  <c r="J40" i="16"/>
  <c r="J40" i="2"/>
  <c r="J43" i="2"/>
  <c r="J41" i="2"/>
  <c r="J39" i="2"/>
  <c r="J45" i="2" s="1"/>
  <c r="J40" i="3"/>
  <c r="J43" i="3"/>
  <c r="J41" i="3"/>
  <c r="J39" i="3"/>
  <c r="J45" i="3" s="1"/>
  <c r="J40" i="4"/>
  <c r="J43" i="4"/>
  <c r="J45" i="4" s="1"/>
  <c r="J41" i="4"/>
  <c r="J39" i="4"/>
  <c r="J40" i="5"/>
  <c r="J43" i="5"/>
  <c r="J45" i="5" s="1"/>
  <c r="J41" i="5"/>
  <c r="J39" i="5"/>
  <c r="J40" i="6"/>
  <c r="J43" i="6"/>
  <c r="J45" i="6" s="1"/>
  <c r="J41" i="6"/>
  <c r="J39" i="6"/>
  <c r="J40" i="7"/>
  <c r="J43" i="7"/>
  <c r="J45" i="7" s="1"/>
  <c r="J41" i="7"/>
  <c r="J39" i="7"/>
  <c r="J40" i="8"/>
  <c r="J43" i="8"/>
  <c r="J45" i="8" s="1"/>
  <c r="J41" i="8"/>
  <c r="J39" i="8"/>
  <c r="J40" i="9"/>
  <c r="J43" i="9"/>
  <c r="J45" i="9" s="1"/>
  <c r="J41" i="9"/>
  <c r="J39" i="9"/>
  <c r="J40" i="10"/>
  <c r="J43" i="10"/>
  <c r="J45" i="10" s="1"/>
  <c r="J41" i="10"/>
  <c r="J39" i="10"/>
  <c r="J40" i="11"/>
  <c r="J43" i="11"/>
  <c r="J45" i="11" s="1"/>
  <c r="J41" i="11"/>
  <c r="J39" i="11"/>
  <c r="J40" i="12"/>
  <c r="J43" i="12"/>
  <c r="J45" i="12" s="1"/>
  <c r="J41" i="12"/>
  <c r="J39" i="12"/>
  <c r="J40" i="13"/>
  <c r="J43" i="13"/>
  <c r="J45" i="13" s="1"/>
  <c r="J41" i="13"/>
  <c r="J39" i="13"/>
  <c r="J40" i="14"/>
  <c r="J43" i="14"/>
  <c r="J45" i="14" s="1"/>
  <c r="J41" i="14"/>
  <c r="J39" i="14"/>
  <c r="J40" i="15"/>
  <c r="J43" i="15"/>
  <c r="J45" i="15" s="1"/>
  <c r="J41" i="15"/>
  <c r="J39" i="15"/>
  <c r="J43" i="16"/>
  <c r="J45" i="16" s="1"/>
  <c r="J41" i="16"/>
  <c r="J39" i="16"/>
  <c r="J40" i="17"/>
  <c r="J43" i="17"/>
  <c r="J45" i="17" s="1"/>
  <c r="J41" i="17"/>
  <c r="J39" i="17"/>
  <c r="J40" i="18"/>
  <c r="J43" i="18"/>
  <c r="J45" i="18" s="1"/>
  <c r="J41" i="18"/>
  <c r="J39" i="18"/>
  <c r="J40" i="19"/>
  <c r="J43" i="19"/>
  <c r="J45" i="19" s="1"/>
  <c r="J41" i="19"/>
  <c r="J39" i="19"/>
  <c r="J40" i="20"/>
  <c r="J43" i="20"/>
  <c r="J45" i="20" s="1"/>
  <c r="J41" i="20"/>
  <c r="J39" i="20"/>
  <c r="J40" i="21"/>
  <c r="J43" i="21"/>
  <c r="J45" i="21" s="1"/>
  <c r="J41" i="21"/>
  <c r="J39" i="21"/>
  <c r="J40" i="22"/>
  <c r="J43" i="22"/>
  <c r="J45" i="22" s="1"/>
  <c r="J41" i="22"/>
  <c r="J39" i="22"/>
  <c r="J40" i="23"/>
  <c r="J43" i="23"/>
  <c r="J45" i="23" s="1"/>
  <c r="J41" i="23"/>
  <c r="J39" i="23"/>
  <c r="J40" i="25"/>
  <c r="J43" i="25"/>
  <c r="J41" i="25"/>
  <c r="J39" i="25"/>
  <c r="J45" i="25" s="1"/>
  <c r="J40" i="26"/>
  <c r="J43" i="26"/>
  <c r="J41" i="26"/>
  <c r="J39" i="26"/>
  <c r="J45" i="26" s="1"/>
  <c r="J40" i="27"/>
  <c r="J43" i="27"/>
  <c r="J45" i="27" s="1"/>
  <c r="J41" i="27"/>
  <c r="J39" i="27"/>
  <c r="J40" i="28"/>
  <c r="J43" i="28"/>
  <c r="J45" i="28" s="1"/>
  <c r="J41" i="28"/>
  <c r="J39" i="28"/>
  <c r="J40" i="29"/>
  <c r="J43" i="29"/>
  <c r="J45" i="29" s="1"/>
  <c r="J41" i="29"/>
  <c r="J39" i="29"/>
  <c r="J40" i="30"/>
  <c r="J43" i="30"/>
  <c r="J45" i="30" s="1"/>
  <c r="J41" i="30"/>
  <c r="J39" i="30"/>
  <c r="J40" i="31"/>
  <c r="J43" i="31"/>
  <c r="J45" i="31" s="1"/>
  <c r="J41" i="31"/>
  <c r="J39" i="31"/>
  <c r="J40" i="32"/>
  <c r="J43" i="32"/>
  <c r="J45" i="32" s="1"/>
  <c r="J41" i="32"/>
  <c r="J39" i="32"/>
  <c r="J40" i="34"/>
  <c r="J43" i="34"/>
  <c r="J45" i="34" s="1"/>
  <c r="J41" i="34"/>
  <c r="J39" i="34"/>
  <c r="J40" i="33"/>
  <c r="J43" i="33"/>
  <c r="J45" i="33" s="1"/>
  <c r="J41" i="33"/>
  <c r="J39" i="33"/>
  <c r="J40" i="56"/>
  <c r="J43" i="56"/>
  <c r="J45" i="56" s="1"/>
  <c r="J41" i="56"/>
  <c r="J39" i="56"/>
  <c r="J40" i="36"/>
  <c r="J43" i="36"/>
  <c r="J45" i="36" s="1"/>
  <c r="J41" i="36"/>
  <c r="J39" i="36"/>
  <c r="J45" i="51"/>
  <c r="J40" i="54"/>
  <c r="J43" i="54"/>
  <c r="J45" i="54" s="1"/>
  <c r="J41" i="54"/>
  <c r="J39" i="54"/>
  <c r="J40" i="55"/>
  <c r="J43" i="55"/>
  <c r="J45" i="55" s="1"/>
  <c r="J41" i="55"/>
  <c r="J39" i="55"/>
  <c r="J40" i="35"/>
  <c r="J43" i="35"/>
  <c r="J45" i="35" s="1"/>
  <c r="J41" i="35"/>
  <c r="J39" i="35"/>
  <c r="J40" i="57"/>
  <c r="J43" i="57"/>
  <c r="J41" i="57"/>
  <c r="J39" i="57"/>
  <c r="J39" i="63"/>
  <c r="J41" i="63"/>
  <c r="H7" i="50"/>
  <c r="I7" i="50"/>
  <c r="G28" i="63" s="1"/>
  <c r="J7" i="50"/>
  <c r="G29" i="63" s="1"/>
  <c r="G32" i="63"/>
  <c r="H8" i="50"/>
  <c r="G27" i="2" s="1"/>
  <c r="I8" i="50"/>
  <c r="G28" i="2" s="1"/>
  <c r="J8" i="50"/>
  <c r="G29" i="2" s="1"/>
  <c r="G32" i="2"/>
  <c r="H9" i="50"/>
  <c r="I9" i="50"/>
  <c r="G28" i="3" s="1"/>
  <c r="J9" i="50"/>
  <c r="G29" i="3" s="1"/>
  <c r="G32" i="3"/>
  <c r="H10" i="50"/>
  <c r="G27" i="4" s="1"/>
  <c r="I10" i="50"/>
  <c r="G28" i="4" s="1"/>
  <c r="J10" i="50"/>
  <c r="G29" i="4" s="1"/>
  <c r="G32" i="4"/>
  <c r="H11" i="50"/>
  <c r="I11" i="50"/>
  <c r="G28" i="5" s="1"/>
  <c r="J11" i="50"/>
  <c r="G29" i="5" s="1"/>
  <c r="H12" i="50"/>
  <c r="G27" i="6" s="1"/>
  <c r="I12" i="50"/>
  <c r="G28" i="6" s="1"/>
  <c r="J12" i="50"/>
  <c r="G29" i="6" s="1"/>
  <c r="G32" i="6"/>
  <c r="G45" i="6" s="1"/>
  <c r="G48" i="6" s="1"/>
  <c r="H13" i="50"/>
  <c r="I13" i="50"/>
  <c r="G28" i="7" s="1"/>
  <c r="J13" i="50"/>
  <c r="G29" i="7" s="1"/>
  <c r="G32" i="7"/>
  <c r="H14" i="50"/>
  <c r="G27" i="8" s="1"/>
  <c r="I14" i="50"/>
  <c r="G28" i="8" s="1"/>
  <c r="J14" i="50"/>
  <c r="G29" i="8" s="1"/>
  <c r="H15" i="50"/>
  <c r="I15" i="50"/>
  <c r="G28" i="9" s="1"/>
  <c r="J15" i="50"/>
  <c r="G29" i="9" s="1"/>
  <c r="G32" i="9"/>
  <c r="H16" i="50"/>
  <c r="G27" i="10" s="1"/>
  <c r="I16" i="50"/>
  <c r="G28" i="10" s="1"/>
  <c r="J16" i="50"/>
  <c r="G29" i="10" s="1"/>
  <c r="G32" i="10"/>
  <c r="G45" i="10" s="1"/>
  <c r="G48" i="10" s="1"/>
  <c r="H17" i="50"/>
  <c r="I17" i="50"/>
  <c r="G28" i="11" s="1"/>
  <c r="J17" i="50"/>
  <c r="G29" i="11" s="1"/>
  <c r="G32" i="11"/>
  <c r="H18" i="50"/>
  <c r="G27" i="12" s="1"/>
  <c r="I18" i="50"/>
  <c r="G28" i="12" s="1"/>
  <c r="J18" i="50"/>
  <c r="G29" i="12" s="1"/>
  <c r="G32" i="12"/>
  <c r="G45" i="12" s="1"/>
  <c r="G48" i="12" s="1"/>
  <c r="H19" i="50"/>
  <c r="I19" i="50"/>
  <c r="G28" i="13" s="1"/>
  <c r="J19" i="50"/>
  <c r="G29" i="13" s="1"/>
  <c r="G32" i="13"/>
  <c r="G27" i="14"/>
  <c r="G28" i="14"/>
  <c r="G29" i="14"/>
  <c r="G32" i="14"/>
  <c r="G45" i="14" s="1"/>
  <c r="G48" i="14" s="1"/>
  <c r="H22" i="50"/>
  <c r="I22" i="50"/>
  <c r="G28" i="15" s="1"/>
  <c r="J22" i="50"/>
  <c r="G29" i="15" s="1"/>
  <c r="H23" i="50"/>
  <c r="G27" i="16" s="1"/>
  <c r="I23" i="50"/>
  <c r="G28" i="16" s="1"/>
  <c r="J23" i="50"/>
  <c r="G29" i="16" s="1"/>
  <c r="G32" i="16"/>
  <c r="H24" i="50"/>
  <c r="I24" i="50"/>
  <c r="G28" i="17" s="1"/>
  <c r="J24" i="50"/>
  <c r="G29" i="17" s="1"/>
  <c r="G32" i="17"/>
  <c r="H25" i="50"/>
  <c r="G27" i="18" s="1"/>
  <c r="I25" i="50"/>
  <c r="G28" i="18" s="1"/>
  <c r="J25" i="50"/>
  <c r="G29" i="18" s="1"/>
  <c r="H26" i="50"/>
  <c r="I26" i="50"/>
  <c r="G28" i="19" s="1"/>
  <c r="J26" i="50"/>
  <c r="G29" i="19" s="1"/>
  <c r="G32" i="19"/>
  <c r="I27" i="50"/>
  <c r="G28" i="20" s="1"/>
  <c r="J27" i="50"/>
  <c r="G29" i="20" s="1"/>
  <c r="G32" i="20"/>
  <c r="H28" i="50"/>
  <c r="I28" i="50"/>
  <c r="G28" i="21" s="1"/>
  <c r="J28" i="50"/>
  <c r="G29" i="21" s="1"/>
  <c r="H29" i="50"/>
  <c r="G27" i="22" s="1"/>
  <c r="I29" i="50"/>
  <c r="G28" i="22" s="1"/>
  <c r="J29" i="50"/>
  <c r="G29" i="22" s="1"/>
  <c r="G32" i="22"/>
  <c r="H30" i="50"/>
  <c r="I30" i="50"/>
  <c r="G28" i="23" s="1"/>
  <c r="J30" i="50"/>
  <c r="G29" i="23" s="1"/>
  <c r="G32" i="23"/>
  <c r="H31" i="50"/>
  <c r="G27" i="25" s="1"/>
  <c r="I31" i="50"/>
  <c r="G28" i="25" s="1"/>
  <c r="J31" i="50"/>
  <c r="G29" i="25" s="1"/>
  <c r="G32" i="25"/>
  <c r="H32" i="50"/>
  <c r="I32" i="50"/>
  <c r="G28" i="26" s="1"/>
  <c r="J32" i="50"/>
  <c r="G29" i="26" s="1"/>
  <c r="G32" i="26"/>
  <c r="H33" i="50"/>
  <c r="G27" i="27" s="1"/>
  <c r="I33" i="50"/>
  <c r="G28" i="27" s="1"/>
  <c r="J33" i="50"/>
  <c r="G29" i="27" s="1"/>
  <c r="G32" i="27"/>
  <c r="H34" i="50"/>
  <c r="I34" i="50"/>
  <c r="G28" i="28" s="1"/>
  <c r="J34" i="50"/>
  <c r="G29" i="28" s="1"/>
  <c r="G32" i="28"/>
  <c r="H35" i="50"/>
  <c r="G27" i="29" s="1"/>
  <c r="I35" i="50"/>
  <c r="G28" i="29" s="1"/>
  <c r="J35" i="50"/>
  <c r="G29" i="29" s="1"/>
  <c r="G32" i="29"/>
  <c r="H36" i="50"/>
  <c r="I36" i="50"/>
  <c r="G28" i="30" s="1"/>
  <c r="J36" i="50"/>
  <c r="G29" i="30" s="1"/>
  <c r="G32" i="30"/>
  <c r="H37" i="50"/>
  <c r="G27" i="31" s="1"/>
  <c r="I37" i="50"/>
  <c r="G28" i="31" s="1"/>
  <c r="J37" i="50"/>
  <c r="G29" i="31" s="1"/>
  <c r="G32" i="31"/>
  <c r="H38" i="50"/>
  <c r="I38" i="50"/>
  <c r="G28" i="32" s="1"/>
  <c r="J38" i="50"/>
  <c r="G29" i="32" s="1"/>
  <c r="G32" i="32"/>
  <c r="H39" i="50"/>
  <c r="G27" i="34" s="1"/>
  <c r="I39" i="50"/>
  <c r="G28" i="34" s="1"/>
  <c r="J39" i="50"/>
  <c r="G29" i="34" s="1"/>
  <c r="G32" i="34"/>
  <c r="H40" i="50"/>
  <c r="I40" i="50"/>
  <c r="G28" i="33" s="1"/>
  <c r="J40" i="50"/>
  <c r="G29" i="33" s="1"/>
  <c r="G32" i="33"/>
  <c r="H41" i="50"/>
  <c r="G27" i="56" s="1"/>
  <c r="I41" i="50"/>
  <c r="G28" i="56" s="1"/>
  <c r="J41" i="50"/>
  <c r="G29" i="56" s="1"/>
  <c r="G32" i="56"/>
  <c r="H42" i="50"/>
  <c r="I42" i="50"/>
  <c r="G28" i="36" s="1"/>
  <c r="J42" i="50"/>
  <c r="G29" i="36" s="1"/>
  <c r="G32" i="36"/>
  <c r="H43" i="50"/>
  <c r="G27" i="38" s="1"/>
  <c r="I43" i="50"/>
  <c r="G28" i="38" s="1"/>
  <c r="J43" i="50"/>
  <c r="G29" i="38" s="1"/>
  <c r="H44" i="50"/>
  <c r="G27" i="54" s="1"/>
  <c r="I44" i="50"/>
  <c r="G28" i="54" s="1"/>
  <c r="J44" i="50"/>
  <c r="G29" i="54" s="1"/>
  <c r="G32" i="54"/>
  <c r="H45" i="50"/>
  <c r="I45" i="50"/>
  <c r="G28" i="55" s="1"/>
  <c r="J45" i="50"/>
  <c r="G29" i="55" s="1"/>
  <c r="G32" i="55"/>
  <c r="H46" i="50"/>
  <c r="G27" i="35" s="1"/>
  <c r="I46" i="50"/>
  <c r="G28" i="35" s="1"/>
  <c r="J46" i="50"/>
  <c r="G29" i="35" s="1"/>
  <c r="G32" i="35"/>
  <c r="H48" i="50"/>
  <c r="I48" i="50"/>
  <c r="G28" i="57" s="1"/>
  <c r="J48" i="50"/>
  <c r="G29" i="57" s="1"/>
  <c r="G32" i="57"/>
  <c r="A5" i="63"/>
  <c r="J11" i="63"/>
  <c r="D11" i="63"/>
  <c r="AT54" i="50" l="1"/>
  <c r="G45" i="64"/>
  <c r="J45" i="57"/>
  <c r="J45" i="64"/>
  <c r="G48" i="64" s="1"/>
  <c r="AK43" i="50"/>
  <c r="G30" i="38"/>
  <c r="AK47" i="50"/>
  <c r="G30" i="51"/>
  <c r="D20" i="64"/>
  <c r="AA20" i="50"/>
  <c r="AD20" i="50"/>
  <c r="G45" i="38"/>
  <c r="G48" i="38" s="1"/>
  <c r="AD47" i="50"/>
  <c r="AR47" i="50" s="1"/>
  <c r="AV47" i="50" s="1"/>
  <c r="AA47" i="50"/>
  <c r="AR46" i="50"/>
  <c r="AV46" i="50" s="1"/>
  <c r="AR45" i="50"/>
  <c r="AV45" i="50" s="1"/>
  <c r="AR44" i="50"/>
  <c r="AV44" i="50" s="1"/>
  <c r="AR43" i="50"/>
  <c r="AV43" i="50" s="1"/>
  <c r="AR42" i="50"/>
  <c r="AV42" i="50" s="1"/>
  <c r="AR41" i="50"/>
  <c r="AV41" i="50" s="1"/>
  <c r="AR40" i="50"/>
  <c r="AV40" i="50" s="1"/>
  <c r="AR39" i="50"/>
  <c r="AV39" i="50" s="1"/>
  <c r="AR38" i="50"/>
  <c r="AV38" i="50" s="1"/>
  <c r="AR37" i="50"/>
  <c r="AV37" i="50" s="1"/>
  <c r="AR36" i="50"/>
  <c r="AV36" i="50" s="1"/>
  <c r="AR35" i="50"/>
  <c r="AV35" i="50" s="1"/>
  <c r="AR34" i="50"/>
  <c r="AV34" i="50" s="1"/>
  <c r="AR30" i="50"/>
  <c r="AV30" i="50" s="1"/>
  <c r="AR29" i="50"/>
  <c r="AV29" i="50" s="1"/>
  <c r="AR48" i="50"/>
  <c r="AV48" i="50" s="1"/>
  <c r="AR7" i="50"/>
  <c r="AV7" i="50" s="1"/>
  <c r="AR17" i="50"/>
  <c r="AV17" i="50" s="1"/>
  <c r="AA48" i="50"/>
  <c r="AA46" i="50"/>
  <c r="AA45" i="50"/>
  <c r="AA44" i="50"/>
  <c r="AA43" i="50"/>
  <c r="AA42" i="50"/>
  <c r="AA41" i="50"/>
  <c r="AA40" i="50"/>
  <c r="AA39" i="50"/>
  <c r="AA38" i="50"/>
  <c r="AA37" i="50"/>
  <c r="AA36" i="50"/>
  <c r="AA35" i="50"/>
  <c r="AA34" i="50"/>
  <c r="AA30" i="50"/>
  <c r="AA29" i="50"/>
  <c r="AA17" i="50"/>
  <c r="L55" i="50"/>
  <c r="AN49" i="50"/>
  <c r="L19" i="25"/>
  <c r="G27" i="57"/>
  <c r="G27" i="55"/>
  <c r="G27" i="36"/>
  <c r="G27" i="33"/>
  <c r="G27" i="32"/>
  <c r="G27" i="30"/>
  <c r="G27" i="28"/>
  <c r="G27" i="26"/>
  <c r="G27" i="23"/>
  <c r="G27" i="21"/>
  <c r="G27" i="19"/>
  <c r="G27" i="17"/>
  <c r="G27" i="15"/>
  <c r="G27" i="13"/>
  <c r="G45" i="13" s="1"/>
  <c r="G48" i="13" s="1"/>
  <c r="G27" i="11"/>
  <c r="G27" i="9"/>
  <c r="G27" i="7"/>
  <c r="G45" i="7" s="1"/>
  <c r="G48" i="7" s="1"/>
  <c r="G27" i="5"/>
  <c r="G27" i="3"/>
  <c r="G27" i="63"/>
  <c r="L58" i="50"/>
  <c r="J45" i="63"/>
  <c r="G45" i="3"/>
  <c r="G48" i="3" s="1"/>
  <c r="G30" i="57"/>
  <c r="G45" i="57" s="1"/>
  <c r="G48" i="57" s="1"/>
  <c r="G30" i="35"/>
  <c r="G45" i="35" s="1"/>
  <c r="G48" i="35" s="1"/>
  <c r="G30" i="55"/>
  <c r="G45" i="55" s="1"/>
  <c r="G48" i="55" s="1"/>
  <c r="G30" i="54"/>
  <c r="G45" i="54" s="1"/>
  <c r="G48" i="54" s="1"/>
  <c r="G45" i="51"/>
  <c r="G48" i="51" s="1"/>
  <c r="G30" i="36"/>
  <c r="G45" i="36" s="1"/>
  <c r="G48" i="36" s="1"/>
  <c r="G30" i="56"/>
  <c r="G45" i="56" s="1"/>
  <c r="G48" i="56" s="1"/>
  <c r="G30" i="34"/>
  <c r="G45" i="34" s="1"/>
  <c r="G48" i="34" s="1"/>
  <c r="G30" i="32"/>
  <c r="G45" i="32" s="1"/>
  <c r="G48" i="32" s="1"/>
  <c r="G30" i="31"/>
  <c r="G45" i="31" s="1"/>
  <c r="G48" i="31" s="1"/>
  <c r="G30" i="30"/>
  <c r="G45" i="30" s="1"/>
  <c r="G48" i="30" s="1"/>
  <c r="G30" i="29"/>
  <c r="G45" i="29" s="1"/>
  <c r="G48" i="29" s="1"/>
  <c r="G30" i="28"/>
  <c r="G45" i="28" s="1"/>
  <c r="G48" i="28" s="1"/>
  <c r="G30" i="27"/>
  <c r="G45" i="27" s="1"/>
  <c r="G48" i="27" s="1"/>
  <c r="G30" i="26"/>
  <c r="G45" i="26" s="1"/>
  <c r="G48" i="26" s="1"/>
  <c r="G30" i="25"/>
  <c r="G45" i="25" s="1"/>
  <c r="G48" i="25" s="1"/>
  <c r="G30" i="23"/>
  <c r="G45" i="23" s="1"/>
  <c r="G48" i="23" s="1"/>
  <c r="G30" i="22"/>
  <c r="G45" i="22" s="1"/>
  <c r="G48" i="22" s="1"/>
  <c r="G30" i="21"/>
  <c r="G30" i="20"/>
  <c r="G45" i="20" s="1"/>
  <c r="G48" i="20" s="1"/>
  <c r="G30" i="19"/>
  <c r="G45" i="19" s="1"/>
  <c r="G48" i="19" s="1"/>
  <c r="G30" i="18"/>
  <c r="G30" i="17"/>
  <c r="G45" i="17" s="1"/>
  <c r="G48" i="17" s="1"/>
  <c r="G30" i="16"/>
  <c r="G45" i="16" s="1"/>
  <c r="G48" i="16" s="1"/>
  <c r="G30" i="33"/>
  <c r="G45" i="33"/>
  <c r="G48" i="33"/>
  <c r="G45" i="5"/>
  <c r="G48" i="5" s="1"/>
  <c r="G45" i="8"/>
  <c r="G48" i="8" s="1"/>
  <c r="G45" i="15"/>
  <c r="G48" i="15" s="1"/>
  <c r="G45" i="18"/>
  <c r="G48" i="18" s="1"/>
  <c r="G45" i="21"/>
  <c r="G48" i="21" s="1"/>
  <c r="D20" i="57"/>
  <c r="D20" i="35"/>
  <c r="D20" i="55"/>
  <c r="D20" i="54"/>
  <c r="D20" i="36"/>
  <c r="D20" i="56"/>
  <c r="D20" i="33"/>
  <c r="D20" i="34"/>
  <c r="D20" i="32"/>
  <c r="D20" i="31"/>
  <c r="D20" i="30"/>
  <c r="D20" i="29"/>
  <c r="D20" i="28"/>
  <c r="D20" i="23"/>
  <c r="D20" i="22"/>
  <c r="G31" i="11"/>
  <c r="G30" i="11"/>
  <c r="G31" i="9"/>
  <c r="G30" i="9"/>
  <c r="G31" i="4"/>
  <c r="G30" i="4"/>
  <c r="G31" i="2"/>
  <c r="G30" i="2"/>
  <c r="G31" i="63"/>
  <c r="AW56" i="50" l="1"/>
  <c r="AR20" i="50"/>
  <c r="AV20" i="50" s="1"/>
  <c r="AK49" i="50"/>
  <c r="AX47" i="50"/>
  <c r="AY47" i="50" s="1"/>
  <c r="AD32" i="50"/>
  <c r="AR32" i="50" s="1"/>
  <c r="AV32" i="50" s="1"/>
  <c r="D18" i="26"/>
  <c r="AD31" i="50"/>
  <c r="AR31" i="50" s="1"/>
  <c r="AV31" i="50" s="1"/>
  <c r="D18" i="25"/>
  <c r="AD28" i="50"/>
  <c r="AR28" i="50" s="1"/>
  <c r="AV28" i="50" s="1"/>
  <c r="D18" i="21"/>
  <c r="AD18" i="50"/>
  <c r="AR18" i="50" s="1"/>
  <c r="AV18" i="50" s="1"/>
  <c r="D18" i="12"/>
  <c r="AD21" i="50"/>
  <c r="D18" i="14"/>
  <c r="AD22" i="50"/>
  <c r="D18" i="15"/>
  <c r="AD23" i="50"/>
  <c r="D18" i="16"/>
  <c r="AD24" i="50"/>
  <c r="AR24" i="50" s="1"/>
  <c r="AV24" i="50" s="1"/>
  <c r="D18" i="17"/>
  <c r="AD25" i="50"/>
  <c r="AR25" i="50" s="1"/>
  <c r="AV25" i="50" s="1"/>
  <c r="D18" i="18"/>
  <c r="AD26" i="50"/>
  <c r="AR26" i="50" s="1"/>
  <c r="AV26" i="50" s="1"/>
  <c r="D18" i="19"/>
  <c r="AD27" i="50"/>
  <c r="AR27" i="50" s="1"/>
  <c r="AV27" i="50" s="1"/>
  <c r="D18" i="20"/>
  <c r="G45" i="2"/>
  <c r="G30" i="63"/>
  <c r="G45" i="63" s="1"/>
  <c r="G45" i="11"/>
  <c r="G48" i="11" s="1"/>
  <c r="G45" i="4"/>
  <c r="G48" i="4" s="1"/>
  <c r="G48" i="2"/>
  <c r="G48" i="63"/>
  <c r="G45" i="9"/>
  <c r="G48" i="9" s="1"/>
  <c r="AX29" i="50"/>
  <c r="AY29" i="50" s="1"/>
  <c r="AX30" i="50"/>
  <c r="AY30" i="50" s="1"/>
  <c r="AX34" i="50"/>
  <c r="AY34" i="50"/>
  <c r="AX35" i="50"/>
  <c r="AY35" i="50" s="1"/>
  <c r="AX36" i="50"/>
  <c r="AY36" i="50" s="1"/>
  <c r="AX37" i="50"/>
  <c r="AY37" i="50" s="1"/>
  <c r="AX38" i="50"/>
  <c r="AY38" i="50" s="1"/>
  <c r="AX39" i="50"/>
  <c r="AY39" i="50" s="1"/>
  <c r="AX40" i="50"/>
  <c r="AY40" i="50" s="1"/>
  <c r="AX41" i="50"/>
  <c r="AY41" i="50" s="1"/>
  <c r="AX42" i="50"/>
  <c r="AY42" i="50" s="1"/>
  <c r="AX43" i="50"/>
  <c r="AY43" i="50" s="1"/>
  <c r="AX44" i="50"/>
  <c r="AY44" i="50" s="1"/>
  <c r="AX46" i="50"/>
  <c r="AY46" i="50" s="1"/>
  <c r="AX48" i="50"/>
  <c r="AY48" i="50" s="1"/>
  <c r="AX45" i="50"/>
  <c r="AY45" i="50" s="1"/>
  <c r="AX20" i="50" l="1"/>
  <c r="AY20" i="50"/>
  <c r="AR23" i="50"/>
  <c r="AV23" i="50" s="1"/>
  <c r="AR22" i="50"/>
  <c r="AV22" i="50" s="1"/>
  <c r="AR21" i="50"/>
  <c r="AV21" i="50" s="1"/>
  <c r="AA32" i="50"/>
  <c r="AA31" i="50"/>
  <c r="AA28" i="50"/>
  <c r="AA27" i="50"/>
  <c r="AA26" i="50"/>
  <c r="AA25" i="50"/>
  <c r="AA24" i="50"/>
  <c r="AA23" i="50"/>
  <c r="AA22" i="50"/>
  <c r="AA21" i="50"/>
  <c r="AA18" i="50"/>
  <c r="L19" i="20"/>
  <c r="L19" i="19"/>
  <c r="L19" i="18"/>
  <c r="L19" i="17"/>
  <c r="L19" i="16"/>
  <c r="L19" i="15"/>
  <c r="L19" i="14"/>
  <c r="L19" i="12"/>
  <c r="L19" i="21"/>
  <c r="AX31" i="50"/>
  <c r="AY31" i="50" s="1"/>
  <c r="D20" i="25"/>
  <c r="D20" i="26"/>
  <c r="AX27" i="50"/>
  <c r="AY27" i="50" s="1"/>
  <c r="D20" i="20"/>
  <c r="AX26" i="50"/>
  <c r="AY26" i="50" s="1"/>
  <c r="D20" i="19"/>
  <c r="AX25" i="50"/>
  <c r="AY25" i="50" s="1"/>
  <c r="D20" i="18"/>
  <c r="D20" i="17"/>
  <c r="AX23" i="50"/>
  <c r="AY23" i="50" s="1"/>
  <c r="D20" i="16"/>
  <c r="D20" i="15"/>
  <c r="D20" i="14"/>
  <c r="AX18" i="50"/>
  <c r="AY18" i="50" s="1"/>
  <c r="D20" i="12"/>
  <c r="D20" i="21"/>
  <c r="AX21" i="50" l="1"/>
  <c r="AY21" i="50"/>
  <c r="AD19" i="50"/>
  <c r="AR19" i="50" s="1"/>
  <c r="AV19" i="50" s="1"/>
  <c r="D18" i="13"/>
  <c r="AX32" i="50"/>
  <c r="AY32" i="50"/>
  <c r="D18" i="11"/>
  <c r="AX28" i="50"/>
  <c r="AY28" i="50"/>
  <c r="Q14" i="50"/>
  <c r="AD14" i="50" s="1"/>
  <c r="AR14" i="50" s="1"/>
  <c r="AV14" i="50" s="1"/>
  <c r="D18" i="8"/>
  <c r="AX22" i="50"/>
  <c r="AY22" i="50"/>
  <c r="Q15" i="50"/>
  <c r="AD15" i="50" s="1"/>
  <c r="AR15" i="50" s="1"/>
  <c r="AV15" i="50" s="1"/>
  <c r="D18" i="9"/>
  <c r="AX24" i="50"/>
  <c r="AY24" i="50"/>
  <c r="AD16" i="50"/>
  <c r="AR16" i="50" s="1"/>
  <c r="AV16" i="50" s="1"/>
  <c r="D18" i="10"/>
  <c r="AA19" i="50" l="1"/>
  <c r="AA16" i="50"/>
  <c r="AA15" i="50"/>
  <c r="AA14" i="50"/>
  <c r="L19" i="13"/>
  <c r="L19" i="10"/>
  <c r="L19" i="9"/>
  <c r="L19" i="8"/>
  <c r="L19" i="11"/>
  <c r="D20" i="13"/>
  <c r="AX16" i="50"/>
  <c r="AY16" i="50" s="1"/>
  <c r="D20" i="10"/>
  <c r="AX15" i="50"/>
  <c r="AY15" i="50" s="1"/>
  <c r="D20" i="9"/>
  <c r="AX14" i="50"/>
  <c r="AY14" i="50" s="1"/>
  <c r="D20" i="8"/>
  <c r="AX17" i="50"/>
  <c r="AY17" i="50" s="1"/>
  <c r="D20" i="11"/>
  <c r="L19" i="7" l="1"/>
  <c r="Q13" i="50"/>
  <c r="AD13" i="50" s="1"/>
  <c r="AR13" i="50" s="1"/>
  <c r="AV13" i="50" s="1"/>
  <c r="D18" i="7"/>
  <c r="AX19" i="50"/>
  <c r="AY19" i="50"/>
  <c r="Q12" i="50"/>
  <c r="AD12" i="50" s="1"/>
  <c r="AR12" i="50" s="1"/>
  <c r="AV12" i="50" s="1"/>
  <c r="D18" i="6"/>
  <c r="Q11" i="50"/>
  <c r="AD11" i="50" s="1"/>
  <c r="AR11" i="50" s="1"/>
  <c r="AV11" i="50" s="1"/>
  <c r="D18" i="5"/>
  <c r="AA13" i="50" l="1"/>
  <c r="AA12" i="50"/>
  <c r="AA11" i="50"/>
  <c r="L19" i="5"/>
  <c r="L19" i="6"/>
  <c r="D20" i="7"/>
  <c r="AX11" i="50"/>
  <c r="AY11" i="50" s="1"/>
  <c r="D20" i="5"/>
  <c r="AX12" i="50"/>
  <c r="AY12" i="50" s="1"/>
  <c r="D20" i="6"/>
  <c r="L19" i="4" l="1"/>
  <c r="Q10" i="50"/>
  <c r="AD10" i="50" s="1"/>
  <c r="AR10" i="50" s="1"/>
  <c r="AV10" i="50" s="1"/>
  <c r="D18" i="4"/>
  <c r="AX13" i="50"/>
  <c r="AY13" i="50"/>
  <c r="Q9" i="50"/>
  <c r="AD9" i="50" s="1"/>
  <c r="AR9" i="50" s="1"/>
  <c r="AV9" i="50" s="1"/>
  <c r="D18" i="3"/>
  <c r="AA10" i="50" l="1"/>
  <c r="AA9" i="50"/>
  <c r="L19" i="3"/>
  <c r="AX10" i="50"/>
  <c r="AY10" i="50" s="1"/>
  <c r="D20" i="4"/>
  <c r="D20" i="3"/>
  <c r="AX9" i="50" l="1"/>
  <c r="AY9" i="50" s="1"/>
  <c r="AD8" i="50"/>
  <c r="AR8" i="50" s="1"/>
  <c r="D18" i="2"/>
  <c r="AV8" i="50" l="1"/>
  <c r="AA8" i="50"/>
  <c r="L19" i="2"/>
  <c r="D20" i="2"/>
  <c r="AX8" i="50" l="1"/>
  <c r="AY8" i="50" s="1"/>
  <c r="L19" i="27"/>
  <c r="D18" i="63"/>
  <c r="D18" i="27"/>
  <c r="AD33" i="50"/>
  <c r="AR33" i="50" s="1"/>
  <c r="AV33" i="50" s="1"/>
  <c r="AW55" i="50" s="1"/>
  <c r="AV49" i="50" l="1"/>
  <c r="AR49" i="50"/>
  <c r="AA33" i="50"/>
  <c r="D20" i="27"/>
  <c r="AX7" i="50" l="1"/>
  <c r="AY7" i="50" s="1"/>
  <c r="AR60" i="50"/>
  <c r="L19" i="63"/>
  <c r="D20" i="63"/>
  <c r="L59" i="50" l="1"/>
  <c r="N59" i="50" s="1"/>
  <c r="AX33" i="50"/>
  <c r="AY33" i="50"/>
  <c r="AA7" i="50"/>
  <c r="AR54" i="5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EUZET</author>
  </authors>
  <commentList>
    <comment ref="AO23" authorId="0" shapeId="0" xr:uid="{59184A65-EAAA-4892-A08D-EFD8A8000B0B}">
      <text>
        <r>
          <rPr>
            <sz val="11"/>
            <color theme="1"/>
            <rFont val="Calibri"/>
            <family val="2"/>
            <scheme val="minor"/>
          </rPr>
          <t>Melanie EUZET:
AUH Allowances:
80aed per night
2 days</t>
        </r>
      </text>
    </comment>
  </commentList>
</comments>
</file>

<file path=xl/sharedStrings.xml><?xml version="1.0" encoding="utf-8"?>
<sst xmlns="http://schemas.openxmlformats.org/spreadsheetml/2006/main" count="2436" uniqueCount="244">
  <si>
    <t>Salary slip January 2026</t>
  </si>
  <si>
    <t>Informations Employee</t>
  </si>
  <si>
    <t>Contract base</t>
  </si>
  <si>
    <t>Earnings</t>
  </si>
  <si>
    <t>Deductions</t>
  </si>
  <si>
    <t>Total Earning</t>
  </si>
  <si>
    <t xml:space="preserve">WPS Law </t>
  </si>
  <si>
    <t>Comments</t>
  </si>
  <si>
    <t>N°</t>
  </si>
  <si>
    <t>Last Name</t>
  </si>
  <si>
    <t>First Name</t>
  </si>
  <si>
    <t>Date of arrival</t>
  </si>
  <si>
    <t>Release date</t>
  </si>
  <si>
    <t>Employee ID</t>
  </si>
  <si>
    <t>Job name</t>
  </si>
  <si>
    <t>Basic salary</t>
  </si>
  <si>
    <t>Housing Allowances</t>
  </si>
  <si>
    <t>Transportation Allowance</t>
  </si>
  <si>
    <t>Total on Contract</t>
  </si>
  <si>
    <t>Working days</t>
  </si>
  <si>
    <t>Absence Days Unpaid</t>
  </si>
  <si>
    <t>TOTAL of Days during the month</t>
  </si>
  <si>
    <t>Paid</t>
  </si>
  <si>
    <t>OT Hours</t>
  </si>
  <si>
    <t>OT Days</t>
  </si>
  <si>
    <t>Other Allowance</t>
  </si>
  <si>
    <t>Adjustment for previous month</t>
  </si>
  <si>
    <t>Air plane Ticket</t>
  </si>
  <si>
    <t>Advance payment/ Deduction Advance</t>
  </si>
  <si>
    <t>Fines payment advance by the company</t>
  </si>
  <si>
    <t>TOTAL RECEIVABLE</t>
  </si>
  <si>
    <t>Need to be send by the law for WPS</t>
  </si>
  <si>
    <t>Missing on salary</t>
  </si>
  <si>
    <t xml:space="preserve">Adjustment to send </t>
  </si>
  <si>
    <t>No. working days</t>
  </si>
  <si>
    <t>Off days</t>
  </si>
  <si>
    <t>Public Holydays</t>
  </si>
  <si>
    <t>No. leave days PAID</t>
  </si>
  <si>
    <t>Sick Leave PAID</t>
  </si>
  <si>
    <t>Total Working days payable</t>
  </si>
  <si>
    <t>No. leave days UNPAID</t>
  </si>
  <si>
    <t>Emergancy Leave UNPAID</t>
  </si>
  <si>
    <t>Sick leave UNPAID</t>
  </si>
  <si>
    <t>Absent days (not allowed)</t>
  </si>
  <si>
    <r>
      <rPr>
        <sz val="9"/>
        <color rgb="FF000000"/>
        <rFont val="Calibri"/>
        <scheme val="minor"/>
      </rPr>
      <t xml:space="preserve">UNPAID Leave </t>
    </r>
    <r>
      <rPr>
        <b/>
        <sz val="9"/>
        <color rgb="FF000000"/>
        <rFont val="Calibri"/>
        <scheme val="minor"/>
      </rPr>
      <t>Amount</t>
    </r>
  </si>
  <si>
    <r>
      <rPr>
        <sz val="9"/>
        <color rgb="FF000000"/>
        <rFont val="Calibri"/>
        <scheme val="minor"/>
      </rPr>
      <t xml:space="preserve">Emergancy Leave </t>
    </r>
    <r>
      <rPr>
        <b/>
        <sz val="9"/>
        <color rgb="FF000000"/>
        <rFont val="Calibri"/>
        <scheme val="minor"/>
      </rPr>
      <t>Amount</t>
    </r>
  </si>
  <si>
    <t>Total Working days unpayable</t>
  </si>
  <si>
    <r>
      <rPr>
        <sz val="9"/>
        <color rgb="FF000000"/>
        <rFont val="Calibri"/>
        <scheme val="minor"/>
      </rPr>
      <t xml:space="preserve">Leave PAID </t>
    </r>
    <r>
      <rPr>
        <b/>
        <sz val="9"/>
        <color rgb="FF000000"/>
        <rFont val="Calibri"/>
        <scheme val="minor"/>
      </rPr>
      <t>Amount</t>
    </r>
  </si>
  <si>
    <r>
      <rPr>
        <sz val="9"/>
        <color rgb="FF000000"/>
        <rFont val="Calibri"/>
        <scheme val="minor"/>
      </rPr>
      <t xml:space="preserve">Sick Leave </t>
    </r>
    <r>
      <rPr>
        <b/>
        <sz val="9"/>
        <color rgb="FF000000"/>
        <rFont val="Calibri"/>
        <scheme val="minor"/>
      </rPr>
      <t>Amount</t>
    </r>
  </si>
  <si>
    <t>Salary</t>
  </si>
  <si>
    <t>Hours</t>
  </si>
  <si>
    <t>Amount Normal OT</t>
  </si>
  <si>
    <t xml:space="preserve">Total </t>
  </si>
  <si>
    <t>Amont Public Holydays</t>
  </si>
  <si>
    <t>Total</t>
  </si>
  <si>
    <t xml:space="preserve">Days </t>
  </si>
  <si>
    <t>Amount</t>
  </si>
  <si>
    <t>D0001</t>
  </si>
  <si>
    <t>MANNAPPAN THARAMMAL</t>
  </si>
  <si>
    <t>Abdulla</t>
  </si>
  <si>
    <t>23.08.2022</t>
  </si>
  <si>
    <t>Light Vehicule Driver</t>
  </si>
  <si>
    <t>D0002</t>
  </si>
  <si>
    <t>SYED NABI AHMAD</t>
  </si>
  <si>
    <t>Irfran Ahmed</t>
  </si>
  <si>
    <t>D0003</t>
  </si>
  <si>
    <t>SHAMSUDEEN</t>
  </si>
  <si>
    <t>Amanullah</t>
  </si>
  <si>
    <t>19.09.2021</t>
  </si>
  <si>
    <t>D0004</t>
  </si>
  <si>
    <t>BOGATTI</t>
  </si>
  <si>
    <t>Anam</t>
  </si>
  <si>
    <t>D0005</t>
  </si>
  <si>
    <t>SUNKADAKATTE ABDULKHADER</t>
  </si>
  <si>
    <t>Mohamed Aneefa</t>
  </si>
  <si>
    <t>D0006</t>
  </si>
  <si>
    <t>JAINULAPUDEEN MOHAMED</t>
  </si>
  <si>
    <t>Anees</t>
  </si>
  <si>
    <t>D0007</t>
  </si>
  <si>
    <t>SHAH MISAL SHAH BUKHARI</t>
  </si>
  <si>
    <t>Asal</t>
  </si>
  <si>
    <t>D0008</t>
  </si>
  <si>
    <t>FAZAL HUSSAIN</t>
  </si>
  <si>
    <t>Atta Rasool</t>
  </si>
  <si>
    <t>D0009</t>
  </si>
  <si>
    <t>ULLAH MUHAMMAD RIAZ</t>
  </si>
  <si>
    <t>Attiq</t>
  </si>
  <si>
    <t>D0010</t>
  </si>
  <si>
    <t>KHAN NAZIR</t>
  </si>
  <si>
    <t>Bilal</t>
  </si>
  <si>
    <t>FAKE TICKET in 2024</t>
  </si>
  <si>
    <t>D0011</t>
  </si>
  <si>
    <t xml:space="preserve">ISMAIL SAMSUDEEN </t>
  </si>
  <si>
    <t>Farook</t>
  </si>
  <si>
    <t>D0012</t>
  </si>
  <si>
    <t>MOHIDEEN ABDUL RAHUMAN</t>
  </si>
  <si>
    <t>Haja</t>
  </si>
  <si>
    <t>AIR TICKET TO BE PAID</t>
  </si>
  <si>
    <t>D0013</t>
  </si>
  <si>
    <t>KHAN AHMAD KHAN</t>
  </si>
  <si>
    <t>Ibrahim</t>
  </si>
  <si>
    <t>D0014</t>
  </si>
  <si>
    <t>Haider</t>
  </si>
  <si>
    <t>D0015</t>
  </si>
  <si>
    <t>HUSSAIN JAINULLABUDEEN</t>
  </si>
  <si>
    <t>Jahir</t>
  </si>
  <si>
    <t>D0016</t>
  </si>
  <si>
    <t>CHERPANATH JOY</t>
  </si>
  <si>
    <t>Poulose</t>
  </si>
  <si>
    <t>D0017</t>
  </si>
  <si>
    <t>SIRAJ MUHAMMAD</t>
  </si>
  <si>
    <t>Kamran Khan</t>
  </si>
  <si>
    <t>D0018</t>
  </si>
  <si>
    <t>RICHARD SEA</t>
  </si>
  <si>
    <t>Kene</t>
  </si>
  <si>
    <t>D0019</t>
  </si>
  <si>
    <t>KAAMIL SYED ALI</t>
  </si>
  <si>
    <t>Mohsin</t>
  </si>
  <si>
    <t>D0020</t>
  </si>
  <si>
    <t>KUNHI MAVAL</t>
  </si>
  <si>
    <t xml:space="preserve">Moideen </t>
  </si>
  <si>
    <t>D0021</t>
  </si>
  <si>
    <t>SURYA GEETHA KUMAR THULASEEDHARAN</t>
  </si>
  <si>
    <t>Nandhan</t>
  </si>
  <si>
    <t>D0022</t>
  </si>
  <si>
    <t>MOHAMMED KOLLAROTHODIKA</t>
  </si>
  <si>
    <t>Naseem</t>
  </si>
  <si>
    <t>D0023</t>
  </si>
  <si>
    <t>ALLAH DITTA</t>
  </si>
  <si>
    <t xml:space="preserve">Nawaz Muhammad </t>
  </si>
  <si>
    <t>20001016925583</t>
  </si>
  <si>
    <t>D0024</t>
  </si>
  <si>
    <t>MAHEEN KIDIR MOHAMMED MAHEEN</t>
  </si>
  <si>
    <t xml:space="preserve">Nizam </t>
  </si>
  <si>
    <t>D0025</t>
  </si>
  <si>
    <t>VEETIL KRISHNAN KUNNAMMAL</t>
  </si>
  <si>
    <t>Pranav</t>
  </si>
  <si>
    <t>D0026</t>
  </si>
  <si>
    <t>MUHAMMAD USMAN GHULAM</t>
  </si>
  <si>
    <t>Qadir</t>
  </si>
  <si>
    <t>D0027</t>
  </si>
  <si>
    <t>KOZHIPPURATH ABOOBACKER</t>
  </si>
  <si>
    <t>Rasheed</t>
  </si>
  <si>
    <t>D0028</t>
  </si>
  <si>
    <t>ACHARYA</t>
  </si>
  <si>
    <t>Rajan</t>
  </si>
  <si>
    <t>D0029</t>
  </si>
  <si>
    <t>ALIPETTA UMMER</t>
  </si>
  <si>
    <t>Riyas</t>
  </si>
  <si>
    <t>D0030</t>
  </si>
  <si>
    <t>GIRIJA MOHANDAS SREEDHARAN PANICKER</t>
  </si>
  <si>
    <t>Riju</t>
  </si>
  <si>
    <t>D0031</t>
  </si>
  <si>
    <t xml:space="preserve">VANNATHAN POIYEL MOOSSA </t>
  </si>
  <si>
    <t>Sackeer</t>
  </si>
  <si>
    <t>D0032</t>
  </si>
  <si>
    <t>SHAMIL ARIYOLOKOYA ARIYOLI</t>
  </si>
  <si>
    <t>Muhammed</t>
  </si>
  <si>
    <t>D0033</t>
  </si>
  <si>
    <t>MUHAMMAD BILAL MEHMOOD</t>
  </si>
  <si>
    <t>Shah</t>
  </si>
  <si>
    <t>D0034</t>
  </si>
  <si>
    <t>ISMAIL KHAN</t>
  </si>
  <si>
    <t>Shahzad</t>
  </si>
  <si>
    <t>D0035</t>
  </si>
  <si>
    <t>KANDIRUTHY ACHUTHAN KANDIRUTHY KARAPAN</t>
  </si>
  <si>
    <t>Shiju</t>
  </si>
  <si>
    <t>D0036</t>
  </si>
  <si>
    <t>SIRAJUDHEEN THOTTIKULATHIL</t>
  </si>
  <si>
    <t>D0037</t>
  </si>
  <si>
    <t>KHALID MUHAMMAD KHALID</t>
  </si>
  <si>
    <t xml:space="preserve">Sohail </t>
  </si>
  <si>
    <t>D0038</t>
  </si>
  <si>
    <t>SOMAN MALLAKSHY CHANDRASEKHARAN</t>
  </si>
  <si>
    <t>Sumesh</t>
  </si>
  <si>
    <t>D0039</t>
  </si>
  <si>
    <t>WASEEM MUHAMMAD</t>
  </si>
  <si>
    <t>Usman</t>
  </si>
  <si>
    <t>D0040</t>
  </si>
  <si>
    <t>NISAR MUHAMMAD</t>
  </si>
  <si>
    <t>Umer</t>
  </si>
  <si>
    <t>D0041</t>
  </si>
  <si>
    <t>BILAND KHAN</t>
  </si>
  <si>
    <t>Wahid Khan</t>
  </si>
  <si>
    <t>D0042</t>
  </si>
  <si>
    <t>AL IMAD</t>
  </si>
  <si>
    <t>Waqar</t>
  </si>
  <si>
    <t>Nombre de Jour*12heures</t>
  </si>
  <si>
    <t>Posted on September 30th</t>
  </si>
  <si>
    <t>Total Receivable</t>
  </si>
  <si>
    <t>Payments</t>
  </si>
  <si>
    <t>Heur Sup</t>
  </si>
  <si>
    <t>Jour Sup</t>
  </si>
  <si>
    <t>Total nombre d'heure d'amplitude</t>
  </si>
  <si>
    <t xml:space="preserve">Salary Payables </t>
  </si>
  <si>
    <t>Diff</t>
  </si>
  <si>
    <t>CHABE LUXURY TRANSPORT LLC</t>
  </si>
  <si>
    <t>11B Street Warehouse 3b/27</t>
  </si>
  <si>
    <t>AL KHABAISI</t>
  </si>
  <si>
    <t>Dubai, UAE</t>
  </si>
  <si>
    <t>Employee last name:</t>
  </si>
  <si>
    <t>Employee ID:</t>
  </si>
  <si>
    <t>Arrival date:</t>
  </si>
  <si>
    <t>Employee first name</t>
  </si>
  <si>
    <t>Employee Position:</t>
  </si>
  <si>
    <t>Employee Attendance</t>
  </si>
  <si>
    <t>Working days :</t>
  </si>
  <si>
    <t>Emergency not payable:</t>
  </si>
  <si>
    <t>OT Hours Basic :</t>
  </si>
  <si>
    <t>Working Public Holidays :</t>
  </si>
  <si>
    <t>Sick Leave not Payable:</t>
  </si>
  <si>
    <t>OT Hours Public holidays :</t>
  </si>
  <si>
    <t>Off days :</t>
  </si>
  <si>
    <t>Absence day not payable:</t>
  </si>
  <si>
    <t>OT Days :</t>
  </si>
  <si>
    <t>Sick Leave Payable :</t>
  </si>
  <si>
    <t>Unpaid Leaves:</t>
  </si>
  <si>
    <t>Leave Payable :</t>
  </si>
  <si>
    <t>Total of payable days :</t>
  </si>
  <si>
    <t>Earnings &amp; Deductions</t>
  </si>
  <si>
    <t>Salary Head</t>
  </si>
  <si>
    <t>Amount Earnings     (AED)</t>
  </si>
  <si>
    <t>Amount Deductions (AED)</t>
  </si>
  <si>
    <t xml:space="preserve">Earnings </t>
  </si>
  <si>
    <t>Basic Salary</t>
  </si>
  <si>
    <t>Transport Allowances</t>
  </si>
  <si>
    <t>OT Hours Basic</t>
  </si>
  <si>
    <t>OT Hours Public holidays</t>
  </si>
  <si>
    <t xml:space="preserve">Air Plane Ticket Refundable </t>
  </si>
  <si>
    <t>Adjustment form previous month</t>
  </si>
  <si>
    <t xml:space="preserve">Advance salary </t>
  </si>
  <si>
    <t>Your Fines paid by the company</t>
  </si>
  <si>
    <t>Absence</t>
  </si>
  <si>
    <t>Unpaid leaves</t>
  </si>
  <si>
    <t>Sick leave unpaid</t>
  </si>
  <si>
    <t>Emergency leave Unpaid</t>
  </si>
  <si>
    <t>TOTAL EARNINGS &amp; DEDUCTIONS</t>
  </si>
  <si>
    <t>TOTAL AMOUNT :</t>
  </si>
  <si>
    <t>Payment informations:</t>
  </si>
  <si>
    <t>Date of payment:</t>
  </si>
  <si>
    <t>Methode of payment:</t>
  </si>
  <si>
    <t>WPS</t>
  </si>
  <si>
    <r>
      <t xml:space="preserve">If you need any informations please contact us at  </t>
    </r>
    <r>
      <rPr>
        <i/>
        <u/>
        <sz val="8"/>
        <color rgb="FF0070C0"/>
        <rFont val="Times New Roman"/>
      </rPr>
      <t>hr-dubai@chabe.com</t>
    </r>
  </si>
  <si>
    <t>Adjustment form previous month/Adjustement for late starting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</si>
</sst>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-* #,##0.00\ [$AED]_-;\-* #,##0.00\ [$AED]_-;_-* &quot;-&quot;??\ [$AED]_-;_-@_-"/>
    <numFmt numFmtId="166" formatCode="_([$AED]\ * #,##0.00_);_([$AED]\ * \(#,##0.00\);_([$AED]\ * &quot;-&quot;??_);_(@_)"/>
    <numFmt numFmtId="167" formatCode="00000"/>
    <numFmt numFmtId="168" formatCode="dd\.mm\.yyyy;@"/>
    <numFmt numFmtId="169" formatCode="_-* #,##0.00\ [$€-40C]_-;\-* #,##0.00\ [$€-40C]_-;_-* &quot;-&quot;??\ [$€-40C]_-;_-@_-"/>
    <numFmt numFmtId="170" formatCode="_-* #,##0\ [$AED]_-;\-* #,##0\ [$AED]_-;_-* &quot;-&quot;\ [$AED]_-;_-@_-"/>
    <numFmt numFmtId="171" formatCode="#,##0.00\ [$AED]"/>
    <numFmt numFmtId="172" formatCode="_-* #,##0.000\ [$AED]_-;\-* #,##0.000\ [$AED]_-;_-* &quot;-&quot;??\ [$AED]_-;_-@_-"/>
    <numFmt numFmtId="173" formatCode="_-* #,##0.000\ [$AED]_-;\-* #,##0.000\ [$AED]_-;_-* &quot;-&quot;???\ [$AED]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color rgb="FF000000"/>
      <name val="Calibri"/>
      <family val="2"/>
    </font>
    <font>
      <b/>
      <u/>
      <sz val="9"/>
      <color theme="1"/>
      <name val="Calibri"/>
      <family val="2"/>
      <scheme val="minor"/>
    </font>
    <font>
      <sz val="9"/>
      <name val="Calibri"/>
      <scheme val="minor"/>
    </font>
    <font>
      <sz val="9"/>
      <color rgb="FF000000"/>
      <name val="Calibri"/>
      <scheme val="minor"/>
    </font>
    <font>
      <b/>
      <sz val="9"/>
      <color rgb="FF444444"/>
      <name val="Calibri"/>
      <family val="2"/>
      <charset val="1"/>
    </font>
    <font>
      <b/>
      <sz val="9"/>
      <color rgb="FF000000"/>
      <name val="Calibri"/>
      <family val="2"/>
      <scheme val="minor"/>
    </font>
    <font>
      <sz val="11"/>
      <color theme="1"/>
      <name val="Times New Roman"/>
    </font>
    <font>
      <i/>
      <sz val="13"/>
      <color rgb="FF000000"/>
      <name val="Times New Roman"/>
    </font>
    <font>
      <b/>
      <sz val="11"/>
      <color rgb="FF000000"/>
      <name val="Times New Roman"/>
    </font>
    <font>
      <sz val="10"/>
      <color rgb="FF000000"/>
      <name val="Times New Roman"/>
    </font>
    <font>
      <sz val="11"/>
      <color rgb="FF000000"/>
      <name val="Times New Roman"/>
    </font>
    <font>
      <sz val="11"/>
      <color rgb="FF444444"/>
      <name val="Times New Roman"/>
    </font>
    <font>
      <b/>
      <sz val="11"/>
      <color rgb="FFFF0000"/>
      <name val="Times New Roman"/>
    </font>
    <font>
      <b/>
      <sz val="25"/>
      <color rgb="FF000000"/>
      <name val="Times New Roman"/>
    </font>
    <font>
      <b/>
      <sz val="25"/>
      <color rgb="FFFF0000"/>
      <name val="Times New Roman"/>
    </font>
    <font>
      <i/>
      <sz val="8"/>
      <color rgb="FF000000"/>
      <name val="Times New Roman"/>
    </font>
    <font>
      <i/>
      <u/>
      <sz val="8"/>
      <color rgb="FF0070C0"/>
      <name val="Times New Roman"/>
    </font>
    <font>
      <sz val="15"/>
      <color theme="1"/>
      <name val="Times New Roman"/>
    </font>
    <font>
      <sz val="13"/>
      <color theme="1"/>
      <name val="Times New Roman"/>
    </font>
    <font>
      <b/>
      <sz val="15"/>
      <color theme="0"/>
      <name val="Times New Roman"/>
    </font>
    <font>
      <b/>
      <sz val="13"/>
      <color theme="0"/>
      <name val="Times New Roman"/>
    </font>
    <font>
      <b/>
      <u/>
      <sz val="15"/>
      <color theme="0"/>
      <name val="Times New Roman"/>
    </font>
    <font>
      <b/>
      <sz val="13"/>
      <color rgb="FF000000"/>
      <name val="Times New Roman"/>
    </font>
    <font>
      <b/>
      <sz val="25"/>
      <color rgb="FF000000"/>
      <name val="Calibri"/>
      <family val="2"/>
      <charset val="1"/>
    </font>
    <font>
      <b/>
      <sz val="2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25"/>
      <color rgb="FF000000"/>
      <name val="Calibri"/>
      <family val="2"/>
    </font>
    <font>
      <b/>
      <sz val="9"/>
      <color rgb="FF000000"/>
      <name val="Calibri"/>
      <scheme val="minor"/>
    </font>
    <font>
      <strike/>
      <sz val="9"/>
      <color theme="1"/>
      <name val="Calibri"/>
      <family val="2"/>
      <scheme val="minor"/>
    </font>
    <font>
      <b/>
      <i/>
      <u/>
      <sz val="11"/>
      <color rgb="FF000000"/>
      <name val="Times New Roman"/>
    </font>
    <font>
      <b/>
      <i/>
      <u val="double"/>
      <sz val="11"/>
      <color rgb="FF000000"/>
      <name val="Times New Roman"/>
    </font>
    <font>
      <sz val="9"/>
      <color theme="4"/>
      <name val="Calibri"/>
      <family val="2"/>
      <scheme val="minor"/>
    </font>
    <font>
      <b/>
      <sz val="9"/>
      <color rgb="FFFF0000"/>
      <name val="Calibri"/>
      <scheme val="minor"/>
    </font>
    <font>
      <sz val="9"/>
      <color rgb="FF00B0F0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</font>
    <font>
      <sz val="9"/>
      <color theme="1"/>
      <name val="Calibri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F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646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E2244"/>
        <bgColor indexed="64"/>
      </patternFill>
    </fill>
    <fill>
      <patternFill patternType="solid">
        <fgColor rgb="FFDD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</cellStyleXfs>
  <cellXfs count="5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165" fontId="4" fillId="0" borderId="0" xfId="0" applyNumberFormat="1" applyFont="1"/>
    <xf numFmtId="166" fontId="4" fillId="0" borderId="0" xfId="0" applyNumberFormat="1" applyFont="1"/>
    <xf numFmtId="0" fontId="15" fillId="0" borderId="0" xfId="0" applyFont="1"/>
    <xf numFmtId="0" fontId="2" fillId="0" borderId="0" xfId="0" applyFont="1" applyAlignment="1">
      <alignment horizontal="left"/>
    </xf>
    <xf numFmtId="2" fontId="9" fillId="0" borderId="1" xfId="1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20" fillId="0" borderId="0" xfId="0" applyFont="1"/>
    <xf numFmtId="0" fontId="31" fillId="0" borderId="0" xfId="0" applyFont="1"/>
    <xf numFmtId="0" fontId="32" fillId="0" borderId="0" xfId="0" applyFont="1"/>
    <xf numFmtId="0" fontId="20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9" fillId="0" borderId="0" xfId="0" applyFont="1"/>
    <xf numFmtId="0" fontId="24" fillId="13" borderId="4" xfId="0" applyFont="1" applyFill="1" applyBorder="1" applyAlignment="1">
      <alignment horizontal="left"/>
    </xf>
    <xf numFmtId="0" fontId="24" fillId="13" borderId="1" xfId="0" applyFont="1" applyFill="1" applyBorder="1" applyAlignment="1">
      <alignment horizontal="left"/>
    </xf>
    <xf numFmtId="165" fontId="7" fillId="0" borderId="1" xfId="1" applyNumberFormat="1" applyFont="1" applyFill="1" applyBorder="1" applyAlignment="1">
      <alignment horizontal="center"/>
    </xf>
    <xf numFmtId="165" fontId="3" fillId="0" borderId="3" xfId="1" applyNumberFormat="1" applyFont="1" applyFill="1" applyBorder="1" applyAlignment="1">
      <alignment horizontal="center"/>
    </xf>
    <xf numFmtId="2" fontId="22" fillId="0" borderId="7" xfId="0" applyNumberFormat="1" applyFont="1" applyBorder="1" applyAlignment="1">
      <alignment horizontal="center"/>
    </xf>
    <xf numFmtId="1" fontId="22" fillId="0" borderId="21" xfId="0" applyNumberFormat="1" applyFont="1" applyBorder="1" applyAlignment="1">
      <alignment horizontal="center"/>
    </xf>
    <xf numFmtId="2" fontId="22" fillId="0" borderId="8" xfId="0" applyNumberFormat="1" applyFon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2" fontId="22" fillId="0" borderId="20" xfId="0" applyNumberFormat="1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1" fontId="24" fillId="0" borderId="20" xfId="0" applyNumberFormat="1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1" fontId="26" fillId="0" borderId="7" xfId="0" applyNumberFormat="1" applyFont="1" applyBorder="1" applyAlignment="1">
      <alignment horizontal="center"/>
    </xf>
    <xf numFmtId="1" fontId="26" fillId="0" borderId="8" xfId="0" applyNumberFormat="1" applyFont="1" applyBorder="1" applyAlignment="1">
      <alignment horizontal="center"/>
    </xf>
    <xf numFmtId="0" fontId="4" fillId="0" borderId="1" xfId="0" applyFont="1" applyBorder="1"/>
    <xf numFmtId="165" fontId="5" fillId="0" borderId="1" xfId="1" applyNumberFormat="1" applyFont="1" applyFill="1" applyBorder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0" fontId="8" fillId="0" borderId="1" xfId="0" applyFont="1" applyBorder="1"/>
    <xf numFmtId="168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/>
    <xf numFmtId="168" fontId="11" fillId="0" borderId="1" xfId="0" applyNumberFormat="1" applyFont="1" applyBorder="1" applyAlignment="1">
      <alignment horizontal="center"/>
    </xf>
    <xf numFmtId="0" fontId="14" fillId="0" borderId="1" xfId="0" applyFont="1" applyBorder="1"/>
    <xf numFmtId="14" fontId="5" fillId="0" borderId="1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8" fillId="0" borderId="3" xfId="0" applyFont="1" applyBorder="1"/>
    <xf numFmtId="168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2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20" borderId="0" xfId="0" applyFont="1" applyFill="1"/>
    <xf numFmtId="0" fontId="4" fillId="19" borderId="0" xfId="0" applyFont="1" applyFill="1"/>
    <xf numFmtId="0" fontId="40" fillId="0" borderId="0" xfId="0" applyFont="1"/>
    <xf numFmtId="0" fontId="1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/>
    </xf>
    <xf numFmtId="168" fontId="3" fillId="0" borderId="1" xfId="2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/>
    <xf numFmtId="0" fontId="19" fillId="0" borderId="1" xfId="0" applyFont="1" applyBorder="1"/>
    <xf numFmtId="0" fontId="10" fillId="0" borderId="1" xfId="0" applyFont="1" applyBorder="1"/>
    <xf numFmtId="0" fontId="18" fillId="0" borderId="1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166" fontId="8" fillId="0" borderId="0" xfId="0" applyNumberFormat="1" applyFont="1" applyAlignment="1">
      <alignment horizontal="right"/>
    </xf>
    <xf numFmtId="2" fontId="9" fillId="0" borderId="3" xfId="1" applyNumberFormat="1" applyFont="1" applyFill="1" applyBorder="1" applyAlignment="1">
      <alignment horizontal="center"/>
    </xf>
    <xf numFmtId="0" fontId="16" fillId="11" borderId="45" xfId="0" applyFont="1" applyFill="1" applyBorder="1" applyAlignment="1">
      <alignment horizontal="center" vertical="center" wrapText="1"/>
    </xf>
    <xf numFmtId="0" fontId="3" fillId="11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wrapText="1"/>
    </xf>
    <xf numFmtId="0" fontId="16" fillId="11" borderId="5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67" fontId="4" fillId="0" borderId="1" xfId="0" applyNumberFormat="1" applyFont="1" applyBorder="1"/>
    <xf numFmtId="0" fontId="2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4" fillId="0" borderId="0" xfId="0" applyFont="1" applyAlignment="1">
      <alignment wrapText="1"/>
    </xf>
    <xf numFmtId="165" fontId="3" fillId="0" borderId="30" xfId="1" applyNumberFormat="1" applyFont="1" applyFill="1" applyBorder="1" applyAlignment="1">
      <alignment horizontal="center"/>
    </xf>
    <xf numFmtId="165" fontId="3" fillId="0" borderId="12" xfId="1" applyNumberFormat="1" applyFont="1" applyFill="1" applyBorder="1" applyAlignment="1">
      <alignment horizontal="center"/>
    </xf>
    <xf numFmtId="170" fontId="3" fillId="0" borderId="8" xfId="1" applyNumberFormat="1" applyFont="1" applyFill="1" applyBorder="1" applyAlignment="1">
      <alignment horizontal="center"/>
    </xf>
    <xf numFmtId="0" fontId="37" fillId="0" borderId="0" xfId="0" applyFont="1"/>
    <xf numFmtId="2" fontId="4" fillId="0" borderId="0" xfId="0" applyNumberFormat="1" applyFont="1" applyAlignment="1">
      <alignment horizontal="center"/>
    </xf>
    <xf numFmtId="0" fontId="3" fillId="0" borderId="4" xfId="1" applyNumberFormat="1" applyFont="1" applyFill="1" applyBorder="1" applyAlignment="1">
      <alignment horizontal="center" vertical="center"/>
    </xf>
    <xf numFmtId="170" fontId="4" fillId="0" borderId="0" xfId="0" applyNumberFormat="1" applyFont="1"/>
    <xf numFmtId="172" fontId="45" fillId="0" borderId="0" xfId="0" applyNumberFormat="1" applyFont="1"/>
    <xf numFmtId="1" fontId="3" fillId="0" borderId="2" xfId="1" applyNumberFormat="1" applyFont="1" applyFill="1" applyBorder="1" applyAlignment="1">
      <alignment horizontal="center" vertical="center"/>
    </xf>
    <xf numFmtId="170" fontId="3" fillId="0" borderId="7" xfId="1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9" fillId="0" borderId="21" xfId="1" applyNumberFormat="1" applyFont="1" applyFill="1" applyBorder="1" applyAlignment="1">
      <alignment horizontal="center"/>
    </xf>
    <xf numFmtId="2" fontId="9" fillId="0" borderId="17" xfId="1" applyNumberFormat="1" applyFont="1" applyFill="1" applyBorder="1" applyAlignment="1">
      <alignment horizontal="center"/>
    </xf>
    <xf numFmtId="165" fontId="5" fillId="0" borderId="4" xfId="1" applyNumberFormat="1" applyFont="1" applyFill="1" applyBorder="1" applyAlignment="1">
      <alignment horizontal="center"/>
    </xf>
    <xf numFmtId="165" fontId="45" fillId="0" borderId="0" xfId="0" applyNumberFormat="1" applyFont="1"/>
    <xf numFmtId="0" fontId="9" fillId="0" borderId="8" xfId="1" applyNumberFormat="1" applyFont="1" applyFill="1" applyBorder="1" applyAlignment="1">
      <alignment horizontal="center"/>
    </xf>
    <xf numFmtId="173" fontId="4" fillId="0" borderId="0" xfId="0" applyNumberFormat="1" applyFont="1"/>
    <xf numFmtId="0" fontId="47" fillId="11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22" borderId="1" xfId="0" applyFont="1" applyFill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22" borderId="3" xfId="0" applyFont="1" applyFill="1" applyBorder="1" applyAlignment="1">
      <alignment horizontal="center"/>
    </xf>
    <xf numFmtId="0" fontId="5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 wrapText="1"/>
    </xf>
    <xf numFmtId="165" fontId="3" fillId="0" borderId="39" xfId="1" applyNumberFormat="1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71" fontId="17" fillId="0" borderId="13" xfId="0" applyNumberFormat="1" applyFont="1" applyBorder="1" applyAlignment="1">
      <alignment horizontal="center"/>
    </xf>
    <xf numFmtId="2" fontId="5" fillId="0" borderId="1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center"/>
    </xf>
    <xf numFmtId="0" fontId="4" fillId="12" borderId="1" xfId="0" applyFont="1" applyFill="1" applyBorder="1"/>
    <xf numFmtId="0" fontId="8" fillId="12" borderId="1" xfId="0" applyFont="1" applyFill="1" applyBorder="1"/>
    <xf numFmtId="168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0" fontId="3" fillId="7" borderId="53" xfId="0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center" vertical="center" wrapText="1"/>
    </xf>
    <xf numFmtId="0" fontId="16" fillId="15" borderId="54" xfId="0" applyFont="1" applyFill="1" applyBorder="1" applyAlignment="1">
      <alignment horizontal="center" vertical="center" wrapText="1"/>
    </xf>
    <xf numFmtId="0" fontId="16" fillId="21" borderId="55" xfId="0" applyFont="1" applyFill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horizontal="center"/>
    </xf>
    <xf numFmtId="0" fontId="4" fillId="0" borderId="30" xfId="1" applyNumberFormat="1" applyFont="1" applyFill="1" applyBorder="1" applyAlignment="1">
      <alignment horizontal="center"/>
    </xf>
    <xf numFmtId="0" fontId="4" fillId="0" borderId="12" xfId="1" applyNumberFormat="1" applyFont="1" applyFill="1" applyBorder="1" applyAlignment="1">
      <alignment horizontal="center"/>
    </xf>
    <xf numFmtId="0" fontId="4" fillId="12" borderId="6" xfId="0" applyFont="1" applyFill="1" applyBorder="1"/>
    <xf numFmtId="0" fontId="8" fillId="12" borderId="6" xfId="0" applyFont="1" applyFill="1" applyBorder="1"/>
    <xf numFmtId="168" fontId="4" fillId="12" borderId="6" xfId="0" applyNumberFormat="1" applyFont="1" applyFill="1" applyBorder="1" applyAlignment="1">
      <alignment horizontal="center"/>
    </xf>
    <xf numFmtId="167" fontId="4" fillId="12" borderId="6" xfId="0" applyNumberFormat="1" applyFont="1" applyFill="1" applyBorder="1" applyAlignment="1">
      <alignment horizontal="center" vertical="center"/>
    </xf>
    <xf numFmtId="170" fontId="3" fillId="12" borderId="8" xfId="1" applyNumberFormat="1" applyFont="1" applyFill="1" applyBorder="1" applyAlignment="1">
      <alignment horizontal="center"/>
    </xf>
    <xf numFmtId="0" fontId="3" fillId="12" borderId="4" xfId="1" applyNumberFormat="1" applyFont="1" applyFill="1" applyBorder="1" applyAlignment="1">
      <alignment horizontal="center" vertical="center"/>
    </xf>
    <xf numFmtId="0" fontId="49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9" fillId="0" borderId="7" xfId="1" applyNumberFormat="1" applyFont="1" applyFill="1" applyBorder="1" applyAlignment="1">
      <alignment horizontal="center"/>
    </xf>
    <xf numFmtId="0" fontId="17" fillId="7" borderId="60" xfId="0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0" fontId="16" fillId="15" borderId="45" xfId="0" applyFont="1" applyFill="1" applyBorder="1" applyAlignment="1">
      <alignment horizontal="center" vertical="center" wrapText="1"/>
    </xf>
    <xf numFmtId="0" fontId="16" fillId="21" borderId="46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horizontal="center"/>
    </xf>
    <xf numFmtId="165" fontId="5" fillId="0" borderId="3" xfId="1" applyNumberFormat="1" applyFont="1" applyFill="1" applyBorder="1" applyAlignment="1">
      <alignment horizontal="center"/>
    </xf>
    <xf numFmtId="1" fontId="5" fillId="0" borderId="7" xfId="1" applyNumberFormat="1" applyFont="1" applyFill="1" applyBorder="1" applyAlignment="1">
      <alignment horizontal="center"/>
    </xf>
    <xf numFmtId="1" fontId="5" fillId="0" borderId="8" xfId="1" applyNumberFormat="1" applyFont="1" applyFill="1" applyBorder="1" applyAlignment="1">
      <alignment horizontal="center"/>
    </xf>
    <xf numFmtId="2" fontId="9" fillId="0" borderId="14" xfId="1" applyNumberFormat="1" applyFont="1" applyFill="1" applyBorder="1" applyAlignment="1">
      <alignment horizontal="center"/>
    </xf>
    <xf numFmtId="0" fontId="17" fillId="19" borderId="38" xfId="0" applyFont="1" applyFill="1" applyBorder="1" applyAlignment="1">
      <alignment horizontal="center" vertical="center" wrapText="1"/>
    </xf>
    <xf numFmtId="165" fontId="3" fillId="0" borderId="40" xfId="1" applyNumberFormat="1" applyFont="1" applyFill="1" applyBorder="1" applyAlignment="1">
      <alignment horizontal="center"/>
    </xf>
    <xf numFmtId="165" fontId="5" fillId="0" borderId="1" xfId="0" applyNumberFormat="1" applyFont="1" applyBorder="1"/>
    <xf numFmtId="165" fontId="9" fillId="0" borderId="1" xfId="1" applyNumberFormat="1" applyFont="1" applyFill="1" applyBorder="1" applyAlignment="1">
      <alignment horizontal="center"/>
    </xf>
    <xf numFmtId="165" fontId="9" fillId="12" borderId="20" xfId="0" applyNumberFormat="1" applyFont="1" applyFill="1" applyBorder="1"/>
    <xf numFmtId="165" fontId="9" fillId="12" borderId="8" xfId="0" applyNumberFormat="1" applyFont="1" applyFill="1" applyBorder="1"/>
    <xf numFmtId="0" fontId="4" fillId="12" borderId="4" xfId="0" applyFont="1" applyFill="1" applyBorder="1" applyAlignment="1">
      <alignment horizontal="center"/>
    </xf>
    <xf numFmtId="165" fontId="3" fillId="12" borderId="12" xfId="1" applyNumberFormat="1" applyFont="1" applyFill="1" applyBorder="1" applyAlignment="1">
      <alignment horizontal="center"/>
    </xf>
    <xf numFmtId="165" fontId="3" fillId="12" borderId="1" xfId="1" applyNumberFormat="1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2" fontId="9" fillId="12" borderId="1" xfId="1" applyNumberFormat="1" applyFont="1" applyFill="1" applyBorder="1" applyAlignment="1">
      <alignment horizontal="center"/>
    </xf>
    <xf numFmtId="2" fontId="9" fillId="12" borderId="17" xfId="1" applyNumberFormat="1" applyFont="1" applyFill="1" applyBorder="1" applyAlignment="1">
      <alignment horizontal="center"/>
    </xf>
    <xf numFmtId="0" fontId="4" fillId="12" borderId="12" xfId="1" applyNumberFormat="1" applyFont="1" applyFill="1" applyBorder="1" applyAlignment="1">
      <alignment horizontal="center"/>
    </xf>
    <xf numFmtId="0" fontId="9" fillId="12" borderId="8" xfId="1" applyNumberFormat="1" applyFont="1" applyFill="1" applyBorder="1" applyAlignment="1">
      <alignment horizontal="center"/>
    </xf>
    <xf numFmtId="165" fontId="5" fillId="12" borderId="4" xfId="1" applyNumberFormat="1" applyFont="1" applyFill="1" applyBorder="1" applyAlignment="1">
      <alignment horizontal="center"/>
    </xf>
    <xf numFmtId="165" fontId="5" fillId="12" borderId="1" xfId="1" applyNumberFormat="1" applyFont="1" applyFill="1" applyBorder="1" applyAlignment="1">
      <alignment horizontal="center"/>
    </xf>
    <xf numFmtId="1" fontId="5" fillId="12" borderId="8" xfId="1" applyNumberFormat="1" applyFont="1" applyFill="1" applyBorder="1" applyAlignment="1">
      <alignment horizontal="center"/>
    </xf>
    <xf numFmtId="2" fontId="9" fillId="12" borderId="14" xfId="1" applyNumberFormat="1" applyFont="1" applyFill="1" applyBorder="1" applyAlignment="1">
      <alignment horizontal="center"/>
    </xf>
    <xf numFmtId="165" fontId="3" fillId="12" borderId="4" xfId="1" applyNumberFormat="1" applyFont="1" applyFill="1" applyBorder="1" applyAlignment="1">
      <alignment horizontal="center"/>
    </xf>
    <xf numFmtId="165" fontId="9" fillId="12" borderId="1" xfId="1" applyNumberFormat="1" applyFont="1" applyFill="1" applyBorder="1" applyAlignment="1">
      <alignment horizontal="center"/>
    </xf>
    <xf numFmtId="165" fontId="5" fillId="12" borderId="1" xfId="0" applyNumberFormat="1" applyFont="1" applyFill="1" applyBorder="1"/>
    <xf numFmtId="165" fontId="7" fillId="12" borderId="1" xfId="1" applyNumberFormat="1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 vertical="center"/>
    </xf>
    <xf numFmtId="0" fontId="11" fillId="12" borderId="0" xfId="0" applyFont="1" applyFill="1"/>
    <xf numFmtId="0" fontId="4" fillId="12" borderId="0" xfId="0" applyFont="1" applyFill="1"/>
    <xf numFmtId="165" fontId="3" fillId="12" borderId="22" xfId="1" applyNumberFormat="1" applyFont="1" applyFill="1" applyBorder="1" applyAlignment="1">
      <alignment horizontal="center"/>
    </xf>
    <xf numFmtId="165" fontId="3" fillId="12" borderId="6" xfId="1" applyNumberFormat="1" applyFont="1" applyFill="1" applyBorder="1" applyAlignment="1">
      <alignment horizontal="center"/>
    </xf>
    <xf numFmtId="0" fontId="48" fillId="12" borderId="6" xfId="0" applyFont="1" applyFill="1" applyBorder="1" applyAlignment="1">
      <alignment horizontal="center"/>
    </xf>
    <xf numFmtId="2" fontId="9" fillId="12" borderId="6" xfId="1" applyNumberFormat="1" applyFont="1" applyFill="1" applyBorder="1" applyAlignment="1">
      <alignment horizontal="center"/>
    </xf>
    <xf numFmtId="0" fontId="9" fillId="12" borderId="6" xfId="1" applyNumberFormat="1" applyFont="1" applyFill="1" applyBorder="1" applyAlignment="1">
      <alignment horizontal="center"/>
    </xf>
    <xf numFmtId="2" fontId="9" fillId="12" borderId="23" xfId="1" applyNumberFormat="1" applyFont="1" applyFill="1" applyBorder="1" applyAlignment="1">
      <alignment horizontal="center"/>
    </xf>
    <xf numFmtId="0" fontId="4" fillId="12" borderId="22" xfId="1" applyNumberFormat="1" applyFont="1" applyFill="1" applyBorder="1" applyAlignment="1">
      <alignment horizontal="center"/>
    </xf>
    <xf numFmtId="0" fontId="9" fillId="12" borderId="20" xfId="1" applyNumberFormat="1" applyFont="1" applyFill="1" applyBorder="1" applyAlignment="1">
      <alignment horizontal="center"/>
    </xf>
    <xf numFmtId="165" fontId="5" fillId="12" borderId="5" xfId="1" applyNumberFormat="1" applyFont="1" applyFill="1" applyBorder="1" applyAlignment="1">
      <alignment horizontal="center"/>
    </xf>
    <xf numFmtId="165" fontId="5" fillId="12" borderId="6" xfId="1" applyNumberFormat="1" applyFont="1" applyFill="1" applyBorder="1" applyAlignment="1">
      <alignment horizontal="center"/>
    </xf>
    <xf numFmtId="1" fontId="5" fillId="12" borderId="20" xfId="1" applyNumberFormat="1" applyFont="1" applyFill="1" applyBorder="1" applyAlignment="1">
      <alignment horizontal="center"/>
    </xf>
    <xf numFmtId="2" fontId="9" fillId="12" borderId="15" xfId="1" applyNumberFormat="1" applyFont="1" applyFill="1" applyBorder="1" applyAlignment="1">
      <alignment horizontal="center"/>
    </xf>
    <xf numFmtId="165" fontId="3" fillId="12" borderId="5" xfId="1" applyNumberFormat="1" applyFont="1" applyFill="1" applyBorder="1" applyAlignment="1">
      <alignment horizontal="center"/>
    </xf>
    <xf numFmtId="170" fontId="3" fillId="12" borderId="20" xfId="1" applyNumberFormat="1" applyFont="1" applyFill="1" applyBorder="1" applyAlignment="1">
      <alignment horizontal="center"/>
    </xf>
    <xf numFmtId="0" fontId="3" fillId="12" borderId="5" xfId="1" applyNumberFormat="1" applyFont="1" applyFill="1" applyBorder="1" applyAlignment="1">
      <alignment horizontal="center" vertical="center"/>
    </xf>
    <xf numFmtId="165" fontId="7" fillId="12" borderId="6" xfId="1" applyNumberFormat="1" applyFont="1" applyFill="1" applyBorder="1" applyAlignment="1">
      <alignment horizontal="center"/>
    </xf>
    <xf numFmtId="0" fontId="46" fillId="12" borderId="42" xfId="0" applyFont="1" applyFill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165" fontId="3" fillId="0" borderId="2" xfId="1" applyNumberFormat="1" applyFont="1" applyFill="1" applyBorder="1" applyAlignment="1">
      <alignment horizontal="center"/>
    </xf>
    <xf numFmtId="170" fontId="3" fillId="0" borderId="1" xfId="1" applyNumberFormat="1" applyFont="1" applyFill="1" applyBorder="1" applyAlignment="1">
      <alignment horizontal="center"/>
    </xf>
    <xf numFmtId="170" fontId="3" fillId="12" borderId="1" xfId="1" applyNumberFormat="1" applyFont="1" applyFill="1" applyBorder="1" applyAlignment="1">
      <alignment horizontal="center"/>
    </xf>
    <xf numFmtId="170" fontId="3" fillId="0" borderId="3" xfId="1" applyNumberFormat="1" applyFont="1" applyFill="1" applyBorder="1" applyAlignment="1">
      <alignment horizontal="center"/>
    </xf>
    <xf numFmtId="170" fontId="7" fillId="0" borderId="21" xfId="1" applyNumberFormat="1" applyFont="1" applyFill="1" applyBorder="1" applyAlignment="1">
      <alignment horizontal="center"/>
    </xf>
    <xf numFmtId="170" fontId="7" fillId="0" borderId="17" xfId="1" applyNumberFormat="1" applyFont="1" applyFill="1" applyBorder="1" applyAlignment="1">
      <alignment horizontal="center"/>
    </xf>
    <xf numFmtId="170" fontId="7" fillId="12" borderId="17" xfId="1" applyNumberFormat="1" applyFont="1" applyFill="1" applyBorder="1" applyAlignment="1">
      <alignment horizontal="center"/>
    </xf>
    <xf numFmtId="170" fontId="3" fillId="12" borderId="6" xfId="1" applyNumberFormat="1" applyFont="1" applyFill="1" applyBorder="1" applyAlignment="1">
      <alignment horizontal="center"/>
    </xf>
    <xf numFmtId="170" fontId="7" fillId="12" borderId="23" xfId="1" applyNumberFormat="1" applyFont="1" applyFill="1" applyBorder="1" applyAlignment="1">
      <alignment horizontal="center"/>
    </xf>
    <xf numFmtId="165" fontId="5" fillId="0" borderId="3" xfId="0" applyNumberFormat="1" applyFont="1" applyBorder="1"/>
    <xf numFmtId="165" fontId="5" fillId="12" borderId="6" xfId="0" applyNumberFormat="1" applyFont="1" applyFill="1" applyBorder="1"/>
    <xf numFmtId="166" fontId="11" fillId="0" borderId="1" xfId="0" applyNumberFormat="1" applyFont="1" applyBorder="1" applyAlignment="1">
      <alignment wrapText="1"/>
    </xf>
    <xf numFmtId="166" fontId="11" fillId="12" borderId="1" xfId="0" applyNumberFormat="1" applyFont="1" applyFill="1" applyBorder="1" applyAlignment="1">
      <alignment wrapText="1"/>
    </xf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12" borderId="8" xfId="0" applyNumberFormat="1" applyFont="1" applyFill="1" applyBorder="1"/>
    <xf numFmtId="165" fontId="3" fillId="12" borderId="20" xfId="0" applyNumberFormat="1" applyFont="1" applyFill="1" applyBorder="1"/>
    <xf numFmtId="165" fontId="7" fillId="0" borderId="2" xfId="1" applyNumberFormat="1" applyFont="1" applyFill="1" applyBorder="1" applyAlignment="1">
      <alignment horizontal="center"/>
    </xf>
    <xf numFmtId="165" fontId="7" fillId="0" borderId="3" xfId="1" applyNumberFormat="1" applyFont="1" applyFill="1" applyBorder="1" applyAlignment="1">
      <alignment horizontal="center"/>
    </xf>
    <xf numFmtId="165" fontId="7" fillId="0" borderId="4" xfId="1" applyNumberFormat="1" applyFont="1" applyFill="1" applyBorder="1" applyAlignment="1">
      <alignment horizontal="center"/>
    </xf>
    <xf numFmtId="165" fontId="7" fillId="12" borderId="4" xfId="1" applyNumberFormat="1" applyFont="1" applyFill="1" applyBorder="1" applyAlignment="1">
      <alignment horizontal="center"/>
    </xf>
    <xf numFmtId="165" fontId="7" fillId="12" borderId="5" xfId="1" applyNumberFormat="1" applyFont="1" applyFill="1" applyBorder="1" applyAlignment="1">
      <alignment horizontal="center"/>
    </xf>
    <xf numFmtId="165" fontId="7" fillId="0" borderId="7" xfId="1" applyNumberFormat="1" applyFont="1" applyFill="1" applyBorder="1" applyAlignment="1">
      <alignment horizontal="center"/>
    </xf>
    <xf numFmtId="165" fontId="7" fillId="0" borderId="8" xfId="1" applyNumberFormat="1" applyFont="1" applyFill="1" applyBorder="1" applyAlignment="1">
      <alignment horizontal="center"/>
    </xf>
    <xf numFmtId="165" fontId="7" fillId="12" borderId="8" xfId="1" applyNumberFormat="1" applyFont="1" applyFill="1" applyBorder="1" applyAlignment="1">
      <alignment horizontal="center"/>
    </xf>
    <xf numFmtId="165" fontId="7" fillId="12" borderId="20" xfId="1" applyNumberFormat="1" applyFont="1" applyFill="1" applyBorder="1" applyAlignment="1">
      <alignment horizontal="center"/>
    </xf>
    <xf numFmtId="166" fontId="10" fillId="0" borderId="2" xfId="0" applyNumberFormat="1" applyFont="1" applyBorder="1" applyAlignment="1">
      <alignment wrapText="1"/>
    </xf>
    <xf numFmtId="166" fontId="11" fillId="0" borderId="3" xfId="0" applyNumberFormat="1" applyFont="1" applyBorder="1" applyAlignment="1">
      <alignment wrapText="1"/>
    </xf>
    <xf numFmtId="166" fontId="10" fillId="0" borderId="4" xfId="0" applyNumberFormat="1" applyFont="1" applyBorder="1" applyAlignment="1">
      <alignment wrapText="1"/>
    </xf>
    <xf numFmtId="166" fontId="10" fillId="12" borderId="4" xfId="0" applyNumberFormat="1" applyFont="1" applyFill="1" applyBorder="1" applyAlignment="1">
      <alignment wrapText="1"/>
    </xf>
    <xf numFmtId="166" fontId="10" fillId="12" borderId="5" xfId="0" applyNumberFormat="1" applyFont="1" applyFill="1" applyBorder="1" applyAlignment="1">
      <alignment wrapText="1"/>
    </xf>
    <xf numFmtId="166" fontId="11" fillId="12" borderId="6" xfId="0" applyNumberFormat="1" applyFont="1" applyFill="1" applyBorder="1" applyAlignment="1">
      <alignment wrapText="1"/>
    </xf>
    <xf numFmtId="166" fontId="10" fillId="0" borderId="7" xfId="0" applyNumberFormat="1" applyFont="1" applyBorder="1" applyAlignment="1">
      <alignment wrapText="1"/>
    </xf>
    <xf numFmtId="166" fontId="10" fillId="0" borderId="8" xfId="0" applyNumberFormat="1" applyFont="1" applyBorder="1" applyAlignment="1">
      <alignment wrapText="1"/>
    </xf>
    <xf numFmtId="166" fontId="10" fillId="12" borderId="8" xfId="0" applyNumberFormat="1" applyFont="1" applyFill="1" applyBorder="1" applyAlignment="1">
      <alignment wrapText="1"/>
    </xf>
    <xf numFmtId="166" fontId="10" fillId="12" borderId="20" xfId="0" applyNumberFormat="1" applyFont="1" applyFill="1" applyBorder="1" applyAlignment="1">
      <alignment wrapText="1"/>
    </xf>
    <xf numFmtId="0" fontId="17" fillId="11" borderId="65" xfId="0" applyFont="1" applyFill="1" applyBorder="1" applyAlignment="1">
      <alignment horizontal="center" vertical="center" wrapText="1"/>
    </xf>
    <xf numFmtId="165" fontId="7" fillId="0" borderId="66" xfId="1" applyNumberFormat="1" applyFont="1" applyFill="1" applyBorder="1" applyAlignment="1">
      <alignment horizontal="center"/>
    </xf>
    <xf numFmtId="1" fontId="3" fillId="0" borderId="4" xfId="1" applyNumberFormat="1" applyFont="1" applyFill="1" applyBorder="1" applyAlignment="1">
      <alignment horizontal="center" vertical="center"/>
    </xf>
    <xf numFmtId="1" fontId="3" fillId="12" borderId="4" xfId="1" applyNumberFormat="1" applyFont="1" applyFill="1" applyBorder="1" applyAlignment="1">
      <alignment horizontal="center" vertical="center"/>
    </xf>
    <xf numFmtId="1" fontId="3" fillId="12" borderId="5" xfId="1" applyNumberFormat="1" applyFont="1" applyFill="1" applyBorder="1" applyAlignment="1">
      <alignment horizontal="center" vertical="center"/>
    </xf>
    <xf numFmtId="0" fontId="16" fillId="9" borderId="53" xfId="0" applyFont="1" applyFill="1" applyBorder="1" applyAlignment="1">
      <alignment horizontal="center" vertical="center" wrapText="1"/>
    </xf>
    <xf numFmtId="0" fontId="16" fillId="9" borderId="54" xfId="0" applyFont="1" applyFill="1" applyBorder="1" applyAlignment="1">
      <alignment horizontal="center" vertical="center" wrapText="1"/>
    </xf>
    <xf numFmtId="0" fontId="17" fillId="9" borderId="54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/>
    </xf>
    <xf numFmtId="170" fontId="9" fillId="0" borderId="7" xfId="1" applyNumberFormat="1" applyFont="1" applyFill="1" applyBorder="1" applyAlignment="1">
      <alignment horizontal="center"/>
    </xf>
    <xf numFmtId="170" fontId="9" fillId="0" borderId="8" xfId="1" applyNumberFormat="1" applyFont="1" applyFill="1" applyBorder="1" applyAlignment="1">
      <alignment horizontal="center"/>
    </xf>
    <xf numFmtId="0" fontId="17" fillId="10" borderId="54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wrapText="1"/>
    </xf>
    <xf numFmtId="165" fontId="7" fillId="0" borderId="24" xfId="1" applyNumberFormat="1" applyFont="1" applyFill="1" applyBorder="1" applyAlignment="1">
      <alignment horizontal="center"/>
    </xf>
    <xf numFmtId="165" fontId="7" fillId="0" borderId="14" xfId="1" applyNumberFormat="1" applyFont="1" applyFill="1" applyBorder="1" applyAlignment="1">
      <alignment horizontal="center"/>
    </xf>
    <xf numFmtId="165" fontId="7" fillId="12" borderId="14" xfId="1" applyNumberFormat="1" applyFont="1" applyFill="1" applyBorder="1" applyAlignment="1">
      <alignment horizontal="center"/>
    </xf>
    <xf numFmtId="165" fontId="7" fillId="12" borderId="15" xfId="1" applyNumberFormat="1" applyFont="1" applyFill="1" applyBorder="1" applyAlignment="1">
      <alignment horizontal="center"/>
    </xf>
    <xf numFmtId="0" fontId="16" fillId="12" borderId="54" xfId="0" applyFont="1" applyFill="1" applyBorder="1" applyAlignment="1">
      <alignment horizontal="center" vertical="center" wrapText="1"/>
    </xf>
    <xf numFmtId="0" fontId="16" fillId="3" borderId="54" xfId="0" applyFont="1" applyFill="1" applyBorder="1" applyAlignment="1">
      <alignment horizontal="center" vertical="center" wrapText="1"/>
    </xf>
    <xf numFmtId="0" fontId="16" fillId="11" borderId="55" xfId="0" applyFont="1" applyFill="1" applyBorder="1" applyAlignment="1">
      <alignment horizontal="center" vertical="center" wrapText="1"/>
    </xf>
    <xf numFmtId="0" fontId="17" fillId="19" borderId="67" xfId="0" applyFont="1" applyFill="1" applyBorder="1" applyAlignment="1">
      <alignment horizontal="center" vertical="center" wrapText="1"/>
    </xf>
    <xf numFmtId="2" fontId="9" fillId="0" borderId="68" xfId="1" applyNumberFormat="1" applyFont="1" applyFill="1" applyBorder="1" applyAlignment="1">
      <alignment horizontal="center"/>
    </xf>
    <xf numFmtId="0" fontId="9" fillId="0" borderId="12" xfId="1" applyNumberFormat="1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0" borderId="8" xfId="0" applyFont="1" applyBorder="1" applyAlignment="1">
      <alignment horizontal="right"/>
    </xf>
    <xf numFmtId="1" fontId="4" fillId="0" borderId="4" xfId="0" applyNumberFormat="1" applyFont="1" applyBorder="1" applyAlignment="1">
      <alignment horizontal="right"/>
    </xf>
    <xf numFmtId="1" fontId="4" fillId="0" borderId="17" xfId="0" applyNumberFormat="1" applyFont="1" applyBorder="1" applyAlignment="1">
      <alignment horizontal="right"/>
    </xf>
    <xf numFmtId="165" fontId="9" fillId="0" borderId="7" xfId="0" applyNumberFormat="1" applyFont="1" applyBorder="1"/>
    <xf numFmtId="165" fontId="9" fillId="0" borderId="8" xfId="0" applyNumberFormat="1" applyFont="1" applyBorder="1"/>
    <xf numFmtId="170" fontId="9" fillId="12" borderId="20" xfId="1" applyNumberFormat="1" applyFont="1" applyFill="1" applyBorder="1" applyAlignment="1">
      <alignment horizontal="center"/>
    </xf>
    <xf numFmtId="170" fontId="9" fillId="12" borderId="8" xfId="1" applyNumberFormat="1" applyFont="1" applyFill="1" applyBorder="1" applyAlignment="1">
      <alignment horizontal="center"/>
    </xf>
    <xf numFmtId="165" fontId="5" fillId="23" borderId="24" xfId="0" applyNumberFormat="1" applyFont="1" applyFill="1" applyBorder="1"/>
    <xf numFmtId="165" fontId="5" fillId="23" borderId="14" xfId="0" applyNumberFormat="1" applyFont="1" applyFill="1" applyBorder="1"/>
    <xf numFmtId="165" fontId="5" fillId="11" borderId="14" xfId="0" applyNumberFormat="1" applyFont="1" applyFill="1" applyBorder="1"/>
    <xf numFmtId="165" fontId="5" fillId="6" borderId="14" xfId="0" applyNumberFormat="1" applyFont="1" applyFill="1" applyBorder="1"/>
    <xf numFmtId="165" fontId="5" fillId="6" borderId="15" xfId="0" applyNumberFormat="1" applyFont="1" applyFill="1" applyBorder="1"/>
    <xf numFmtId="165" fontId="4" fillId="6" borderId="0" xfId="0" applyNumberFormat="1" applyFont="1" applyFill="1" applyAlignment="1">
      <alignment horizontal="right" vertical="center"/>
    </xf>
    <xf numFmtId="165" fontId="4" fillId="11" borderId="0" xfId="0" applyNumberFormat="1" applyFont="1" applyFill="1" applyAlignment="1">
      <alignment horizontal="right" vertical="center"/>
    </xf>
    <xf numFmtId="165" fontId="5" fillId="0" borderId="0" xfId="0" applyNumberFormat="1" applyFont="1" applyAlignment="1">
      <alignment horizontal="right"/>
    </xf>
    <xf numFmtId="165" fontId="4" fillId="23" borderId="0" xfId="0" applyNumberFormat="1" applyFont="1" applyFill="1"/>
    <xf numFmtId="165" fontId="4" fillId="23" borderId="0" xfId="0" applyNumberFormat="1" applyFont="1" applyFill="1" applyAlignment="1">
      <alignment horizontal="right"/>
    </xf>
    <xf numFmtId="166" fontId="4" fillId="0" borderId="0" xfId="0" applyNumberFormat="1" applyFont="1" applyAlignment="1">
      <alignment horizontal="right"/>
    </xf>
    <xf numFmtId="1" fontId="4" fillId="0" borderId="4" xfId="0" applyNumberFormat="1" applyFont="1" applyBorder="1" applyAlignment="1">
      <alignment horizontal="right"/>
    </xf>
    <xf numFmtId="1" fontId="4" fillId="0" borderId="17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14" fontId="38" fillId="0" borderId="0" xfId="0" applyNumberFormat="1" applyFont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62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4" fillId="0" borderId="49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58" xfId="0" applyFont="1" applyFill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center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3" fillId="18" borderId="4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6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3" fillId="2" borderId="52" xfId="0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17" borderId="31" xfId="0" applyFont="1" applyFill="1" applyBorder="1" applyAlignment="1">
      <alignment horizontal="center" vertical="center" wrapText="1"/>
    </xf>
    <xf numFmtId="0" fontId="3" fillId="17" borderId="36" xfId="0" applyFont="1" applyFill="1" applyBorder="1" applyAlignment="1">
      <alignment horizontal="center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169" fontId="5" fillId="0" borderId="0" xfId="0" applyNumberFormat="1" applyFont="1" applyAlignment="1">
      <alignment horizontal="center"/>
    </xf>
    <xf numFmtId="165" fontId="4" fillId="0" borderId="5" xfId="0" applyNumberFormat="1" applyFont="1" applyBorder="1" applyAlignment="1">
      <alignment horizontal="right"/>
    </xf>
    <xf numFmtId="165" fontId="4" fillId="0" borderId="23" xfId="0" applyNumberFormat="1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22" fillId="13" borderId="31" xfId="0" applyFont="1" applyFill="1" applyBorder="1" applyAlignment="1">
      <alignment horizontal="right"/>
    </xf>
    <xf numFmtId="0" fontId="22" fillId="13" borderId="36" xfId="0" applyFont="1" applyFill="1" applyBorder="1" applyAlignment="1">
      <alignment horizontal="right"/>
    </xf>
    <xf numFmtId="0" fontId="22" fillId="13" borderId="32" xfId="0" applyFont="1" applyFill="1" applyBorder="1" applyAlignment="1">
      <alignment horizontal="right"/>
    </xf>
    <xf numFmtId="165" fontId="22" fillId="0" borderId="31" xfId="0" quotePrefix="1" applyNumberFormat="1" applyFont="1" applyBorder="1" applyAlignment="1">
      <alignment horizontal="center"/>
    </xf>
    <xf numFmtId="165" fontId="22" fillId="0" borderId="36" xfId="0" quotePrefix="1" applyNumberFormat="1" applyFont="1" applyBorder="1" applyAlignment="1">
      <alignment horizontal="center"/>
    </xf>
    <xf numFmtId="165" fontId="22" fillId="0" borderId="32" xfId="0" quotePrefix="1" applyNumberFormat="1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5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7" fillId="13" borderId="31" xfId="0" applyFont="1" applyFill="1" applyBorder="1" applyAlignment="1">
      <alignment horizontal="right" vertical="center"/>
    </xf>
    <xf numFmtId="0" fontId="27" fillId="13" borderId="36" xfId="0" applyFont="1" applyFill="1" applyBorder="1" applyAlignment="1">
      <alignment horizontal="right" vertical="center"/>
    </xf>
    <xf numFmtId="165" fontId="28" fillId="0" borderId="31" xfId="0" applyNumberFormat="1" applyFont="1" applyBorder="1" applyAlignment="1">
      <alignment horizontal="right"/>
    </xf>
    <xf numFmtId="165" fontId="28" fillId="0" borderId="36" xfId="0" applyNumberFormat="1" applyFont="1" applyBorder="1" applyAlignment="1">
      <alignment horizontal="right"/>
    </xf>
    <xf numFmtId="165" fontId="28" fillId="0" borderId="32" xfId="0" applyNumberFormat="1" applyFont="1" applyBorder="1" applyAlignment="1">
      <alignment horizontal="right"/>
    </xf>
    <xf numFmtId="0" fontId="24" fillId="0" borderId="2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35" xfId="0" applyFont="1" applyBorder="1" applyAlignment="1">
      <alignment horizontal="center"/>
    </xf>
    <xf numFmtId="0" fontId="35" fillId="14" borderId="16" xfId="0" applyFont="1" applyFill="1" applyBorder="1" applyAlignment="1">
      <alignment horizontal="center"/>
    </xf>
    <xf numFmtId="0" fontId="35" fillId="14" borderId="10" xfId="0" applyFont="1" applyFill="1" applyBorder="1" applyAlignment="1">
      <alignment horizontal="center"/>
    </xf>
    <xf numFmtId="0" fontId="35" fillId="14" borderId="9" xfId="0" applyFont="1" applyFill="1" applyBorder="1" applyAlignment="1">
      <alignment horizontal="center"/>
    </xf>
    <xf numFmtId="0" fontId="36" fillId="13" borderId="16" xfId="0" applyFont="1" applyFill="1" applyBorder="1" applyAlignment="1">
      <alignment horizontal="center" vertical="center"/>
    </xf>
    <xf numFmtId="0" fontId="36" fillId="13" borderId="10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6" fillId="13" borderId="18" xfId="0" applyFont="1" applyFill="1" applyBorder="1" applyAlignment="1">
      <alignment horizontal="center" vertical="center"/>
    </xf>
    <xf numFmtId="0" fontId="36" fillId="13" borderId="26" xfId="0" applyFont="1" applyFill="1" applyBorder="1" applyAlignment="1">
      <alignment horizontal="center" vertical="center"/>
    </xf>
    <xf numFmtId="0" fontId="36" fillId="13" borderId="29" xfId="0" applyFont="1" applyFill="1" applyBorder="1" applyAlignment="1">
      <alignment horizontal="center" vertical="center"/>
    </xf>
    <xf numFmtId="0" fontId="36" fillId="13" borderId="30" xfId="0" applyFont="1" applyFill="1" applyBorder="1" applyAlignment="1">
      <alignment horizontal="center" vertical="center" wrapText="1"/>
    </xf>
    <xf numFmtId="0" fontId="36" fillId="13" borderId="3" xfId="0" applyFont="1" applyFill="1" applyBorder="1" applyAlignment="1">
      <alignment horizontal="center" vertical="center" wrapText="1"/>
    </xf>
    <xf numFmtId="0" fontId="36" fillId="13" borderId="7" xfId="0" applyFont="1" applyFill="1" applyBorder="1" applyAlignment="1">
      <alignment horizontal="center" vertical="center" wrapText="1"/>
    </xf>
    <xf numFmtId="0" fontId="36" fillId="13" borderId="22" xfId="0" applyFont="1" applyFill="1" applyBorder="1" applyAlignment="1">
      <alignment horizontal="center" vertical="center" wrapText="1"/>
    </xf>
    <xf numFmtId="0" fontId="36" fillId="13" borderId="6" xfId="0" applyFont="1" applyFill="1" applyBorder="1" applyAlignment="1">
      <alignment horizontal="center" vertical="center" wrapText="1"/>
    </xf>
    <xf numFmtId="0" fontId="36" fillId="13" borderId="20" xfId="0" applyFont="1" applyFill="1" applyBorder="1" applyAlignment="1">
      <alignment horizontal="center" vertical="center" wrapText="1"/>
    </xf>
    <xf numFmtId="0" fontId="36" fillId="13" borderId="16" xfId="0" applyFont="1" applyFill="1" applyBorder="1" applyAlignment="1">
      <alignment horizontal="center" vertical="center" wrapText="1"/>
    </xf>
    <xf numFmtId="0" fontId="36" fillId="13" borderId="10" xfId="0" applyFont="1" applyFill="1" applyBorder="1" applyAlignment="1">
      <alignment horizontal="center" vertical="center" wrapText="1"/>
    </xf>
    <xf numFmtId="0" fontId="36" fillId="13" borderId="9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0" fontId="36" fillId="13" borderId="26" xfId="0" applyFont="1" applyFill="1" applyBorder="1" applyAlignment="1">
      <alignment horizontal="center" vertical="center" wrapText="1"/>
    </xf>
    <xf numFmtId="0" fontId="36" fillId="13" borderId="29" xfId="0" applyFont="1" applyFill="1" applyBorder="1" applyAlignment="1">
      <alignment horizontal="center" vertical="center" wrapText="1"/>
    </xf>
    <xf numFmtId="0" fontId="43" fillId="0" borderId="25" xfId="0" applyFont="1" applyBorder="1" applyAlignment="1">
      <alignment horizontal="left"/>
    </xf>
    <xf numFmtId="0" fontId="43" fillId="0" borderId="0" xfId="0" applyFont="1" applyAlignment="1">
      <alignment horizontal="left"/>
    </xf>
    <xf numFmtId="166" fontId="24" fillId="0" borderId="25" xfId="0" applyNumberFormat="1" applyFont="1" applyBorder="1" applyAlignment="1">
      <alignment horizontal="center"/>
    </xf>
    <xf numFmtId="166" fontId="24" fillId="0" borderId="0" xfId="0" applyNumberFormat="1" applyFont="1" applyAlignment="1">
      <alignment horizontal="center"/>
    </xf>
    <xf numFmtId="165" fontId="24" fillId="0" borderId="25" xfId="0" quotePrefix="1" applyNumberFormat="1" applyFont="1" applyBorder="1" applyAlignment="1">
      <alignment horizontal="center"/>
    </xf>
    <xf numFmtId="165" fontId="24" fillId="0" borderId="0" xfId="0" quotePrefix="1" applyNumberFormat="1" applyFont="1" applyAlignment="1">
      <alignment horizontal="center"/>
    </xf>
    <xf numFmtId="165" fontId="24" fillId="0" borderId="35" xfId="0" quotePrefix="1" applyNumberFormat="1" applyFont="1" applyBorder="1" applyAlignment="1">
      <alignment horizontal="center"/>
    </xf>
    <xf numFmtId="0" fontId="24" fillId="0" borderId="25" xfId="0" applyFont="1" applyBorder="1" applyAlignment="1">
      <alignment horizontal="left"/>
    </xf>
    <xf numFmtId="0" fontId="24" fillId="0" borderId="0" xfId="0" applyFont="1" applyAlignment="1">
      <alignment horizontal="left"/>
    </xf>
    <xf numFmtId="166" fontId="24" fillId="0" borderId="25" xfId="0" quotePrefix="1" applyNumberFormat="1" applyFont="1" applyBorder="1" applyAlignment="1">
      <alignment horizontal="center"/>
    </xf>
    <xf numFmtId="166" fontId="24" fillId="0" borderId="0" xfId="0" quotePrefix="1" applyNumberFormat="1" applyFont="1" applyAlignment="1">
      <alignment horizontal="center"/>
    </xf>
    <xf numFmtId="166" fontId="24" fillId="0" borderId="35" xfId="0" quotePrefix="1" applyNumberFormat="1" applyFont="1" applyBorder="1" applyAlignment="1">
      <alignment horizontal="center"/>
    </xf>
    <xf numFmtId="164" fontId="24" fillId="0" borderId="25" xfId="0" quotePrefix="1" applyNumberFormat="1" applyFont="1" applyBorder="1" applyAlignment="1">
      <alignment horizontal="center"/>
    </xf>
    <xf numFmtId="164" fontId="24" fillId="0" borderId="0" xfId="0" quotePrefix="1" applyNumberFormat="1" applyFont="1" applyAlignment="1">
      <alignment horizontal="center"/>
    </xf>
    <xf numFmtId="164" fontId="24" fillId="0" borderId="35" xfId="0" quotePrefix="1" applyNumberFormat="1" applyFont="1" applyBorder="1" applyAlignment="1">
      <alignment horizontal="center"/>
    </xf>
    <xf numFmtId="0" fontId="24" fillId="13" borderId="5" xfId="0" applyFont="1" applyFill="1" applyBorder="1" applyAlignment="1">
      <alignment horizontal="left"/>
    </xf>
    <xf numFmtId="0" fontId="24" fillId="13" borderId="6" xfId="0" applyFont="1" applyFill="1" applyBorder="1" applyAlignment="1">
      <alignment horizontal="left"/>
    </xf>
    <xf numFmtId="0" fontId="24" fillId="13" borderId="4" xfId="0" applyFont="1" applyFill="1" applyBorder="1" applyAlignment="1">
      <alignment horizontal="left"/>
    </xf>
    <xf numFmtId="0" fontId="24" fillId="13" borderId="1" xfId="0" applyFont="1" applyFill="1" applyBorder="1" applyAlignment="1">
      <alignment horizontal="left"/>
    </xf>
    <xf numFmtId="0" fontId="29" fillId="0" borderId="25" xfId="0" applyFont="1" applyBorder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9" fillId="0" borderId="35" xfId="0" applyFont="1" applyBorder="1" applyAlignment="1">
      <alignment horizontal="right" vertical="center"/>
    </xf>
    <xf numFmtId="0" fontId="29" fillId="0" borderId="18" xfId="0" applyFont="1" applyBorder="1" applyAlignment="1">
      <alignment horizontal="right" vertical="center"/>
    </xf>
    <xf numFmtId="0" fontId="29" fillId="0" borderId="26" xfId="0" applyFont="1" applyBorder="1" applyAlignment="1">
      <alignment horizontal="right" vertical="center"/>
    </xf>
    <xf numFmtId="0" fontId="29" fillId="0" borderId="29" xfId="0" applyFont="1" applyBorder="1" applyAlignment="1">
      <alignment horizontal="right" vertical="center"/>
    </xf>
    <xf numFmtId="0" fontId="24" fillId="13" borderId="4" xfId="0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right" vertical="center"/>
    </xf>
    <xf numFmtId="0" fontId="24" fillId="13" borderId="17" xfId="0" applyFont="1" applyFill="1" applyBorder="1" applyAlignment="1">
      <alignment horizontal="right" vertical="center"/>
    </xf>
    <xf numFmtId="0" fontId="24" fillId="13" borderId="5" xfId="0" applyFont="1" applyFill="1" applyBorder="1" applyAlignment="1">
      <alignment horizontal="right" vertical="center"/>
    </xf>
    <xf numFmtId="0" fontId="24" fillId="13" borderId="6" xfId="0" applyFont="1" applyFill="1" applyBorder="1" applyAlignment="1">
      <alignment horizontal="right" vertical="center"/>
    </xf>
    <xf numFmtId="0" fontId="24" fillId="13" borderId="23" xfId="0" applyFont="1" applyFill="1" applyBorder="1" applyAlignment="1">
      <alignment horizontal="right" vertical="center"/>
    </xf>
    <xf numFmtId="14" fontId="23" fillId="0" borderId="12" xfId="0" applyNumberFormat="1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14" fontId="23" fillId="0" borderId="17" xfId="0" applyNumberFormat="1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44" fillId="0" borderId="25" xfId="0" applyFont="1" applyBorder="1" applyAlignment="1">
      <alignment horizontal="left"/>
    </xf>
    <xf numFmtId="0" fontId="44" fillId="0" borderId="0" xfId="0" applyFont="1" applyAlignment="1">
      <alignment horizontal="left"/>
    </xf>
    <xf numFmtId="0" fontId="24" fillId="0" borderId="35" xfId="0" applyFont="1" applyBorder="1" applyAlignment="1">
      <alignment horizontal="left"/>
    </xf>
    <xf numFmtId="0" fontId="24" fillId="13" borderId="2" xfId="0" applyFont="1" applyFill="1" applyBorder="1" applyAlignment="1">
      <alignment horizontal="left"/>
    </xf>
    <xf numFmtId="0" fontId="24" fillId="13" borderId="3" xfId="0" applyFont="1" applyFill="1" applyBorder="1" applyAlignment="1">
      <alignment horizontal="left"/>
    </xf>
    <xf numFmtId="0" fontId="25" fillId="13" borderId="2" xfId="0" applyFont="1" applyFill="1" applyBorder="1" applyAlignment="1">
      <alignment horizontal="left"/>
    </xf>
    <xf numFmtId="0" fontId="25" fillId="13" borderId="3" xfId="0" applyFont="1" applyFill="1" applyBorder="1" applyAlignment="1">
      <alignment horizontal="left"/>
    </xf>
    <xf numFmtId="0" fontId="25" fillId="13" borderId="4" xfId="0" applyFont="1" applyFill="1" applyBorder="1" applyAlignment="1">
      <alignment horizontal="left"/>
    </xf>
    <xf numFmtId="0" fontId="25" fillId="13" borderId="1" xfId="0" applyFont="1" applyFill="1" applyBorder="1" applyAlignment="1">
      <alignment horizontal="left"/>
    </xf>
    <xf numFmtId="0" fontId="33" fillId="14" borderId="16" xfId="0" applyFont="1" applyFill="1" applyBorder="1" applyAlignment="1">
      <alignment horizontal="center"/>
    </xf>
    <xf numFmtId="0" fontId="33" fillId="14" borderId="10" xfId="0" applyFont="1" applyFill="1" applyBorder="1" applyAlignment="1">
      <alignment horizontal="center"/>
    </xf>
    <xf numFmtId="0" fontId="33" fillId="14" borderId="9" xfId="0" applyFont="1" applyFill="1" applyBorder="1" applyAlignment="1">
      <alignment horizontal="center"/>
    </xf>
    <xf numFmtId="0" fontId="34" fillId="14" borderId="16" xfId="0" applyFont="1" applyFill="1" applyBorder="1" applyAlignment="1">
      <alignment horizontal="center" wrapText="1"/>
    </xf>
    <xf numFmtId="0" fontId="34" fillId="14" borderId="10" xfId="0" applyFont="1" applyFill="1" applyBorder="1" applyAlignment="1">
      <alignment horizontal="center" wrapText="1"/>
    </xf>
    <xf numFmtId="0" fontId="34" fillId="14" borderId="9" xfId="0" applyFont="1" applyFill="1" applyBorder="1" applyAlignment="1">
      <alignment horizontal="center" wrapText="1"/>
    </xf>
    <xf numFmtId="0" fontId="33" fillId="14" borderId="25" xfId="0" applyFont="1" applyFill="1" applyBorder="1" applyAlignment="1">
      <alignment horizontal="center" wrapText="1"/>
    </xf>
    <xf numFmtId="0" fontId="33" fillId="14" borderId="0" xfId="0" applyFont="1" applyFill="1" applyAlignment="1">
      <alignment horizontal="center" wrapText="1"/>
    </xf>
    <xf numFmtId="0" fontId="33" fillId="14" borderId="35" xfId="0" applyFont="1" applyFill="1" applyBorder="1" applyAlignment="1">
      <alignment horizontal="center" wrapText="1"/>
    </xf>
    <xf numFmtId="0" fontId="34" fillId="14" borderId="18" xfId="0" applyFont="1" applyFill="1" applyBorder="1" applyAlignment="1">
      <alignment horizontal="center"/>
    </xf>
    <xf numFmtId="0" fontId="34" fillId="14" borderId="26" xfId="0" applyFont="1" applyFill="1" applyBorder="1" applyAlignment="1">
      <alignment horizontal="center"/>
    </xf>
    <xf numFmtId="0" fontId="34" fillId="14" borderId="29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center"/>
    </xf>
    <xf numFmtId="0" fontId="21" fillId="13" borderId="27" xfId="0" applyFont="1" applyFill="1" applyBorder="1" applyAlignment="1">
      <alignment horizontal="center"/>
    </xf>
    <xf numFmtId="0" fontId="21" fillId="13" borderId="19" xfId="0" applyFont="1" applyFill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2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5" xfId="0" applyFont="1" applyBorder="1" applyAlignment="1">
      <alignment horizontal="center"/>
    </xf>
    <xf numFmtId="0" fontId="20" fillId="0" borderId="34" xfId="0" applyFont="1" applyBorder="1" applyAlignment="1">
      <alignment horizontal="center"/>
    </xf>
    <xf numFmtId="0" fontId="33" fillId="14" borderId="2" xfId="0" applyFont="1" applyFill="1" applyBorder="1" applyAlignment="1">
      <alignment horizontal="center" vertical="center"/>
    </xf>
    <xf numFmtId="0" fontId="33" fillId="14" borderId="3" xfId="0" applyFont="1" applyFill="1" applyBorder="1" applyAlignment="1">
      <alignment horizontal="center" vertical="center"/>
    </xf>
    <xf numFmtId="0" fontId="33" fillId="14" borderId="21" xfId="0" applyFont="1" applyFill="1" applyBorder="1" applyAlignment="1">
      <alignment horizontal="center" vertical="center"/>
    </xf>
    <xf numFmtId="0" fontId="33" fillId="14" borderId="5" xfId="0" applyFont="1" applyFill="1" applyBorder="1" applyAlignment="1">
      <alignment horizontal="center" vertical="center"/>
    </xf>
    <xf numFmtId="0" fontId="33" fillId="14" borderId="6" xfId="0" applyFont="1" applyFill="1" applyBorder="1" applyAlignment="1">
      <alignment horizontal="center" vertical="center"/>
    </xf>
    <xf numFmtId="0" fontId="33" fillId="14" borderId="23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33" fillId="14" borderId="16" xfId="0" applyFont="1" applyFill="1" applyBorder="1" applyAlignment="1">
      <alignment horizontal="center" vertical="center" wrapText="1"/>
    </xf>
    <xf numFmtId="0" fontId="33" fillId="14" borderId="10" xfId="0" applyFont="1" applyFill="1" applyBorder="1" applyAlignment="1">
      <alignment horizontal="center" vertical="center" wrapText="1"/>
    </xf>
    <xf numFmtId="0" fontId="33" fillId="14" borderId="18" xfId="0" applyFont="1" applyFill="1" applyBorder="1" applyAlignment="1">
      <alignment horizontal="center" vertical="center" wrapText="1"/>
    </xf>
    <xf numFmtId="0" fontId="33" fillId="14" borderId="26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center"/>
    </xf>
    <xf numFmtId="0" fontId="33" fillId="14" borderId="21" xfId="0" applyFont="1" applyFill="1" applyBorder="1" applyAlignment="1">
      <alignment horizontal="center"/>
    </xf>
    <xf numFmtId="1" fontId="24" fillId="0" borderId="30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24" fillId="0" borderId="21" xfId="0" applyNumberFormat="1" applyFont="1" applyBorder="1" applyAlignment="1">
      <alignment horizontal="center"/>
    </xf>
    <xf numFmtId="0" fontId="33" fillId="14" borderId="5" xfId="0" applyFont="1" applyFill="1" applyBorder="1" applyAlignment="1">
      <alignment horizontal="center" wrapText="1"/>
    </xf>
    <xf numFmtId="0" fontId="33" fillId="14" borderId="23" xfId="0" applyFont="1" applyFill="1" applyBorder="1" applyAlignment="1">
      <alignment horizontal="center" wrapText="1"/>
    </xf>
    <xf numFmtId="14" fontId="24" fillId="0" borderId="22" xfId="0" applyNumberFormat="1" applyFont="1" applyBorder="1" applyAlignment="1">
      <alignment horizontal="center"/>
    </xf>
    <xf numFmtId="14" fontId="24" fillId="0" borderId="6" xfId="0" applyNumberFormat="1" applyFont="1" applyBorder="1" applyAlignment="1">
      <alignment horizontal="center"/>
    </xf>
    <xf numFmtId="14" fontId="24" fillId="0" borderId="23" xfId="0" applyNumberFormat="1" applyFont="1" applyBorder="1" applyAlignment="1">
      <alignment horizontal="center"/>
    </xf>
    <xf numFmtId="0" fontId="27" fillId="0" borderId="2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35" fillId="14" borderId="31" xfId="0" applyFont="1" applyFill="1" applyBorder="1" applyAlignment="1">
      <alignment horizontal="center"/>
    </xf>
    <xf numFmtId="0" fontId="35" fillId="14" borderId="36" xfId="0" applyFont="1" applyFill="1" applyBorder="1" applyAlignment="1">
      <alignment horizontal="center"/>
    </xf>
    <xf numFmtId="0" fontId="35" fillId="14" borderId="3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35" xfId="0" applyFont="1" applyBorder="1" applyAlignment="1">
      <alignment horizontal="center"/>
    </xf>
    <xf numFmtId="166" fontId="24" fillId="0" borderId="18" xfId="0" quotePrefix="1" applyNumberFormat="1" applyFont="1" applyBorder="1" applyAlignment="1">
      <alignment horizontal="center"/>
    </xf>
    <xf numFmtId="166" fontId="24" fillId="0" borderId="26" xfId="0" quotePrefix="1" applyNumberFormat="1" applyFont="1" applyBorder="1" applyAlignment="1">
      <alignment horizontal="center"/>
    </xf>
    <xf numFmtId="166" fontId="24" fillId="0" borderId="29" xfId="0" quotePrefix="1" applyNumberFormat="1" applyFont="1" applyBorder="1" applyAlignment="1">
      <alignment horizontal="center"/>
    </xf>
    <xf numFmtId="164" fontId="24" fillId="0" borderId="18" xfId="0" quotePrefix="1" applyNumberFormat="1" applyFont="1" applyBorder="1" applyAlignment="1">
      <alignment horizontal="center"/>
    </xf>
    <xf numFmtId="164" fontId="24" fillId="0" borderId="26" xfId="0" quotePrefix="1" applyNumberFormat="1" applyFont="1" applyBorder="1" applyAlignment="1">
      <alignment horizontal="center"/>
    </xf>
    <xf numFmtId="164" fontId="24" fillId="0" borderId="29" xfId="0" quotePrefix="1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4" fillId="0" borderId="18" xfId="0" applyFont="1" applyBorder="1" applyAlignment="1">
      <alignment horizontal="left"/>
    </xf>
    <xf numFmtId="0" fontId="24" fillId="0" borderId="26" xfId="0" applyFont="1" applyBorder="1" applyAlignment="1">
      <alignment horizontal="left"/>
    </xf>
    <xf numFmtId="0" fontId="24" fillId="0" borderId="29" xfId="0" applyFont="1" applyBorder="1" applyAlignment="1">
      <alignment horizontal="left"/>
    </xf>
  </cellXfs>
  <cellStyles count="4">
    <cellStyle name="Monétaire" xfId="1" builtinId="4"/>
    <cellStyle name="Normal" xfId="0" builtinId="0"/>
    <cellStyle name="Normal_03" xfId="3" xr:uid="{736D2C3B-A64D-46A6-9039-08BDBBE9FAFD}"/>
    <cellStyle name="Normal_05" xfId="2" xr:uid="{189BF287-6F1E-4EDC-BF70-0BF3AAB5E83D}"/>
  </cellStyles>
  <dxfs count="0"/>
  <tableStyles count="0" defaultTableStyle="TableStyleMedium2" defaultPivotStyle="PivotStyleLight16"/>
  <colors>
    <mruColors>
      <color rgb="FFF7BFDB"/>
      <color rgb="FFD466FF"/>
      <color rgb="FF0E22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AC89-A5F2-4C4B-906C-DFCFD6EB11B3}">
  <dimension ref="A1:DP67"/>
  <sheetViews>
    <sheetView tabSelected="1" zoomScaleNormal="100" workbookViewId="0">
      <selection activeCell="A16" sqref="A16:XFD16"/>
    </sheetView>
  </sheetViews>
  <sheetFormatPr defaultColWidth="9.140625" defaultRowHeight="15" customHeight="1"/>
  <cols>
    <col min="1" max="1" width="7" style="4" customWidth="1"/>
    <col min="2" max="2" width="36.85546875" style="4" bestFit="1" customWidth="1"/>
    <col min="3" max="3" width="15.7109375" style="4" customWidth="1"/>
    <col min="4" max="4" width="10.28515625" style="5" customWidth="1"/>
    <col min="5" max="5" width="14.140625" style="4" customWidth="1"/>
    <col min="6" max="6" width="13.42578125" style="6" customWidth="1"/>
    <col min="7" max="7" width="15.85546875" style="5" customWidth="1"/>
    <col min="8" max="8" width="11.42578125" style="4" customWidth="1"/>
    <col min="9" max="9" width="12.5703125" style="4" customWidth="1"/>
    <col min="10" max="10" width="14.85546875" style="4" customWidth="1"/>
    <col min="11" max="11" width="13.85546875" style="4" customWidth="1"/>
    <col min="12" max="12" width="8.140625" style="4" customWidth="1"/>
    <col min="13" max="17" width="7.5703125" style="4" customWidth="1"/>
    <col min="18" max="21" width="6.7109375" style="4" customWidth="1"/>
    <col min="22" max="24" width="11.28515625" style="4" customWidth="1"/>
    <col min="25" max="25" width="10.140625" style="4" customWidth="1"/>
    <col min="26" max="26" width="10" style="4" customWidth="1"/>
    <col min="27" max="27" width="7.5703125" style="4" customWidth="1"/>
    <col min="28" max="30" width="11.28515625" style="4" customWidth="1"/>
    <col min="31" max="31" width="5.28515625" style="6" customWidth="1"/>
    <col min="32" max="32" width="9.42578125" style="4" customWidth="1"/>
    <col min="33" max="33" width="8.7109375" style="4" customWidth="1"/>
    <col min="34" max="34" width="5.7109375" style="4" customWidth="1"/>
    <col min="35" max="35" width="10.28515625" style="4" customWidth="1"/>
    <col min="36" max="36" width="6.5703125" style="4" customWidth="1"/>
    <col min="37" max="37" width="11" style="4" customWidth="1"/>
    <col min="38" max="38" width="4.85546875" style="6" customWidth="1"/>
    <col min="39" max="39" width="7.85546875" style="4" customWidth="1"/>
    <col min="40" max="42" width="9.85546875" style="4" customWidth="1"/>
    <col min="43" max="43" width="12.7109375" style="4" customWidth="1"/>
    <col min="44" max="44" width="13.5703125" style="4" customWidth="1"/>
    <col min="45" max="46" width="15.140625" style="4" customWidth="1"/>
    <col min="47" max="47" width="15.7109375" style="4" customWidth="1"/>
    <col min="48" max="48" width="13" style="4" customWidth="1"/>
    <col min="49" max="49" width="14.140625" style="4" customWidth="1"/>
    <col min="50" max="50" width="13.5703125" style="4" customWidth="1"/>
    <col min="51" max="51" width="15.85546875" style="4" customWidth="1"/>
    <col min="52" max="52" width="87.42578125" style="4" customWidth="1"/>
    <col min="53" max="53" width="9.140625" style="60" customWidth="1"/>
    <col min="54" max="59" width="9.140625" style="60"/>
    <col min="60" max="16384" width="9.140625" style="4"/>
  </cols>
  <sheetData>
    <row r="1" spans="1:59" s="22" customFormat="1" ht="32.25">
      <c r="A1" s="93" t="s">
        <v>0</v>
      </c>
      <c r="B1" s="18"/>
      <c r="C1" s="19"/>
      <c r="D1" s="20"/>
      <c r="E1" s="288">
        <v>46053</v>
      </c>
      <c r="F1" s="288"/>
      <c r="G1" s="288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1"/>
      <c r="AF1" s="19"/>
      <c r="AG1" s="19"/>
      <c r="AH1" s="19"/>
      <c r="AI1" s="19"/>
      <c r="AJ1" s="19"/>
      <c r="AK1" s="19"/>
      <c r="AL1" s="21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59"/>
      <c r="BB1" s="59"/>
      <c r="BC1" s="59"/>
      <c r="BD1" s="59"/>
      <c r="BE1" s="59"/>
      <c r="BF1" s="59"/>
      <c r="BG1" s="59"/>
    </row>
    <row r="2" spans="1:59" ht="12">
      <c r="B2" s="11"/>
      <c r="C2" s="1"/>
      <c r="D2" s="2"/>
      <c r="E2" s="1"/>
      <c r="F2" s="3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3"/>
      <c r="AF2" s="1"/>
      <c r="AG2" s="1"/>
      <c r="AH2" s="1"/>
      <c r="AI2" s="1"/>
      <c r="AJ2" s="1"/>
      <c r="AK2" s="1"/>
      <c r="AL2" s="3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9" ht="12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</row>
    <row r="4" spans="1:59" ht="15" customHeight="1">
      <c r="A4" s="316" t="s">
        <v>1</v>
      </c>
      <c r="B4" s="317"/>
      <c r="C4" s="317"/>
      <c r="D4" s="317"/>
      <c r="E4" s="317"/>
      <c r="F4" s="317"/>
      <c r="G4" s="318"/>
      <c r="H4" s="324" t="s">
        <v>2</v>
      </c>
      <c r="I4" s="324"/>
      <c r="J4" s="324"/>
      <c r="K4" s="324"/>
      <c r="L4" s="325" t="s">
        <v>3</v>
      </c>
      <c r="M4" s="326"/>
      <c r="N4" s="326"/>
      <c r="O4" s="326"/>
      <c r="P4" s="326"/>
      <c r="Q4" s="326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26"/>
      <c r="AF4" s="326"/>
      <c r="AG4" s="326"/>
      <c r="AH4" s="326"/>
      <c r="AI4" s="326"/>
      <c r="AJ4" s="326"/>
      <c r="AK4" s="326"/>
      <c r="AL4" s="307"/>
      <c r="AM4" s="307"/>
      <c r="AN4" s="307"/>
      <c r="AO4" s="307"/>
      <c r="AP4" s="307"/>
      <c r="AQ4" s="307"/>
      <c r="AR4" s="307"/>
      <c r="AS4" s="321" t="s">
        <v>4</v>
      </c>
      <c r="AT4" s="322"/>
      <c r="AU4" s="323"/>
      <c r="AV4" s="87" t="s">
        <v>5</v>
      </c>
      <c r="AW4" s="306" t="s">
        <v>6</v>
      </c>
      <c r="AX4" s="307"/>
      <c r="AY4" s="307"/>
      <c r="AZ4" s="289" t="s">
        <v>7</v>
      </c>
    </row>
    <row r="5" spans="1:59" s="89" customFormat="1" ht="30" customHeight="1">
      <c r="A5" s="319" t="s">
        <v>8</v>
      </c>
      <c r="B5" s="292" t="s">
        <v>9</v>
      </c>
      <c r="C5" s="327" t="s">
        <v>10</v>
      </c>
      <c r="D5" s="292" t="s">
        <v>11</v>
      </c>
      <c r="E5" s="327" t="s">
        <v>12</v>
      </c>
      <c r="F5" s="292" t="s">
        <v>13</v>
      </c>
      <c r="G5" s="291" t="s">
        <v>14</v>
      </c>
      <c r="H5" s="330" t="s">
        <v>15</v>
      </c>
      <c r="I5" s="332" t="s">
        <v>16</v>
      </c>
      <c r="J5" s="332" t="s">
        <v>17</v>
      </c>
      <c r="K5" s="350" t="s">
        <v>18</v>
      </c>
      <c r="L5" s="337" t="s">
        <v>19</v>
      </c>
      <c r="M5" s="338"/>
      <c r="N5" s="338"/>
      <c r="O5" s="338"/>
      <c r="P5" s="338"/>
      <c r="Q5" s="338"/>
      <c r="R5" s="354" t="s">
        <v>20</v>
      </c>
      <c r="S5" s="355"/>
      <c r="T5" s="355"/>
      <c r="U5" s="355"/>
      <c r="V5" s="355"/>
      <c r="W5" s="355"/>
      <c r="X5" s="355"/>
      <c r="Y5" s="355"/>
      <c r="Z5" s="356"/>
      <c r="AA5" s="339" t="s">
        <v>21</v>
      </c>
      <c r="AB5" s="334" t="s">
        <v>22</v>
      </c>
      <c r="AC5" s="335"/>
      <c r="AD5" s="336"/>
      <c r="AE5" s="329" t="s">
        <v>23</v>
      </c>
      <c r="AF5" s="329"/>
      <c r="AG5" s="329"/>
      <c r="AH5" s="329"/>
      <c r="AI5" s="329"/>
      <c r="AJ5" s="329"/>
      <c r="AK5" s="329"/>
      <c r="AL5" s="352" t="s">
        <v>24</v>
      </c>
      <c r="AM5" s="329"/>
      <c r="AN5" s="353"/>
      <c r="AO5" s="314" t="s">
        <v>25</v>
      </c>
      <c r="AP5" s="312" t="s">
        <v>26</v>
      </c>
      <c r="AQ5" s="342" t="s">
        <v>27</v>
      </c>
      <c r="AR5" s="294" t="s">
        <v>5</v>
      </c>
      <c r="AS5" s="296" t="s">
        <v>28</v>
      </c>
      <c r="AT5" s="300" t="s">
        <v>29</v>
      </c>
      <c r="AU5" s="308" t="s">
        <v>26</v>
      </c>
      <c r="AV5" s="298" t="s">
        <v>30</v>
      </c>
      <c r="AW5" s="310" t="s">
        <v>31</v>
      </c>
      <c r="AX5" s="304" t="s">
        <v>32</v>
      </c>
      <c r="AY5" s="302" t="s">
        <v>33</v>
      </c>
      <c r="AZ5" s="290"/>
      <c r="BA5" s="88"/>
      <c r="BB5" s="88"/>
      <c r="BC5" s="88"/>
      <c r="BD5" s="88"/>
      <c r="BE5" s="88"/>
      <c r="BF5" s="88"/>
      <c r="BG5" s="88"/>
    </row>
    <row r="6" spans="1:59" s="89" customFormat="1" ht="51.75" customHeight="1">
      <c r="A6" s="320"/>
      <c r="B6" s="293"/>
      <c r="C6" s="328"/>
      <c r="D6" s="293"/>
      <c r="E6" s="328"/>
      <c r="F6" s="293"/>
      <c r="G6" s="291"/>
      <c r="H6" s="331"/>
      <c r="I6" s="333"/>
      <c r="J6" s="333"/>
      <c r="K6" s="351"/>
      <c r="L6" s="84" t="s">
        <v>34</v>
      </c>
      <c r="M6" s="81" t="s">
        <v>35</v>
      </c>
      <c r="N6" s="81" t="s">
        <v>36</v>
      </c>
      <c r="O6" s="82" t="s">
        <v>37</v>
      </c>
      <c r="P6" s="82" t="s">
        <v>38</v>
      </c>
      <c r="Q6" s="83" t="s">
        <v>39</v>
      </c>
      <c r="R6" s="131" t="s">
        <v>40</v>
      </c>
      <c r="S6" s="132" t="s">
        <v>41</v>
      </c>
      <c r="T6" s="133" t="s">
        <v>42</v>
      </c>
      <c r="U6" s="134" t="s">
        <v>43</v>
      </c>
      <c r="V6" s="148" t="s">
        <v>44</v>
      </c>
      <c r="W6" s="149" t="s">
        <v>45</v>
      </c>
      <c r="X6" s="150" t="s">
        <v>42</v>
      </c>
      <c r="Y6" s="151" t="s">
        <v>43</v>
      </c>
      <c r="Z6" s="152" t="s">
        <v>46</v>
      </c>
      <c r="AA6" s="340"/>
      <c r="AB6" s="262" t="s">
        <v>47</v>
      </c>
      <c r="AC6" s="158" t="s">
        <v>48</v>
      </c>
      <c r="AD6" s="242" t="s">
        <v>49</v>
      </c>
      <c r="AE6" s="247" t="s">
        <v>50</v>
      </c>
      <c r="AF6" s="248" t="s">
        <v>51</v>
      </c>
      <c r="AG6" s="249" t="s">
        <v>52</v>
      </c>
      <c r="AH6" s="253" t="s">
        <v>36</v>
      </c>
      <c r="AI6" s="253" t="s">
        <v>53</v>
      </c>
      <c r="AJ6" s="253" t="s">
        <v>52</v>
      </c>
      <c r="AK6" s="254" t="s">
        <v>54</v>
      </c>
      <c r="AL6" s="259" t="s">
        <v>55</v>
      </c>
      <c r="AM6" s="260" t="s">
        <v>56</v>
      </c>
      <c r="AN6" s="261" t="s">
        <v>54</v>
      </c>
      <c r="AO6" s="315"/>
      <c r="AP6" s="313"/>
      <c r="AQ6" s="343"/>
      <c r="AR6" s="295"/>
      <c r="AS6" s="297"/>
      <c r="AT6" s="301"/>
      <c r="AU6" s="309"/>
      <c r="AV6" s="299"/>
      <c r="AW6" s="311"/>
      <c r="AX6" s="305"/>
      <c r="AY6" s="303"/>
      <c r="AZ6" s="290"/>
      <c r="BA6" s="88"/>
      <c r="BB6" s="88"/>
      <c r="BC6" s="88"/>
      <c r="BD6" s="88"/>
      <c r="BE6" s="88"/>
      <c r="BF6" s="88"/>
      <c r="BG6" s="88"/>
    </row>
    <row r="7" spans="1:59" ht="12" customHeight="1">
      <c r="A7" s="49" t="s">
        <v>57</v>
      </c>
      <c r="B7" s="50" t="s">
        <v>58</v>
      </c>
      <c r="C7" s="51" t="s">
        <v>59</v>
      </c>
      <c r="D7" s="52" t="s">
        <v>60</v>
      </c>
      <c r="E7" s="122"/>
      <c r="F7" s="121">
        <v>10028058458199</v>
      </c>
      <c r="G7" s="202" t="s">
        <v>61</v>
      </c>
      <c r="H7" s="206">
        <f t="shared" ref="H7:H41" si="0">K7*60%</f>
        <v>2580</v>
      </c>
      <c r="I7" s="26">
        <f t="shared" ref="I7:I41" si="1">K7*20%</f>
        <v>860</v>
      </c>
      <c r="J7" s="26">
        <f t="shared" ref="J7:J41" si="2">K7*20%</f>
        <v>860</v>
      </c>
      <c r="K7" s="269">
        <v>4300</v>
      </c>
      <c r="L7" s="49">
        <v>28</v>
      </c>
      <c r="M7" s="115">
        <v>3</v>
      </c>
      <c r="N7" s="80">
        <v>0</v>
      </c>
      <c r="O7" s="116">
        <v>0</v>
      </c>
      <c r="P7" s="80">
        <v>0</v>
      </c>
      <c r="Q7" s="105">
        <f>L7+M7+N7+O7+P7</f>
        <v>31</v>
      </c>
      <c r="R7" s="136">
        <v>0</v>
      </c>
      <c r="S7" s="80">
        <v>0</v>
      </c>
      <c r="T7" s="135">
        <v>0</v>
      </c>
      <c r="U7" s="147">
        <v>0</v>
      </c>
      <c r="V7" s="153">
        <f>K7/31*R7</f>
        <v>0</v>
      </c>
      <c r="W7" s="154">
        <f>K7/31*S7</f>
        <v>0</v>
      </c>
      <c r="X7" s="154">
        <f>K7/31*T7</f>
        <v>0</v>
      </c>
      <c r="Y7" s="154">
        <f>K7/31*U7</f>
        <v>0</v>
      </c>
      <c r="Z7" s="155">
        <f>R7+S7+T7+U7</f>
        <v>0</v>
      </c>
      <c r="AA7" s="263">
        <f>Q7+Z7</f>
        <v>31</v>
      </c>
      <c r="AB7" s="159">
        <f>K7/31*O7</f>
        <v>0</v>
      </c>
      <c r="AC7" s="120">
        <f>K7/31*P7</f>
        <v>0</v>
      </c>
      <c r="AD7" s="243">
        <f>SUM(K7/31*Q7)</f>
        <v>4300</v>
      </c>
      <c r="AE7" s="98">
        <v>5</v>
      </c>
      <c r="AF7" s="209">
        <v>12</v>
      </c>
      <c r="AG7" s="251">
        <f>AE7*AF7</f>
        <v>60</v>
      </c>
      <c r="AH7" s="250">
        <v>0</v>
      </c>
      <c r="AI7" s="209">
        <v>14</v>
      </c>
      <c r="AJ7" s="99">
        <f>AH7*AI7</f>
        <v>0</v>
      </c>
      <c r="AK7" s="255">
        <f>AG7+AJ7</f>
        <v>60</v>
      </c>
      <c r="AL7" s="49">
        <v>2</v>
      </c>
      <c r="AM7" s="209">
        <v>141</v>
      </c>
      <c r="AN7" s="210">
        <f>AL7*AM7</f>
        <v>282</v>
      </c>
      <c r="AO7" s="90"/>
      <c r="AP7" s="26"/>
      <c r="AQ7" s="215">
        <v>0</v>
      </c>
      <c r="AR7" s="219">
        <f>SUM(AD7+AK7+AN7+AO7+AP7+AQ7)</f>
        <v>4642</v>
      </c>
      <c r="AS7" s="223">
        <v>0</v>
      </c>
      <c r="AT7" s="224">
        <v>0</v>
      </c>
      <c r="AU7" s="228">
        <v>0</v>
      </c>
      <c r="AV7" s="273">
        <f>AR7-AS7-AT7-AU7</f>
        <v>4642</v>
      </c>
      <c r="AW7" s="232">
        <f>SUM(K7*80%)</f>
        <v>3440</v>
      </c>
      <c r="AX7" s="233">
        <f>AV7-AW7</f>
        <v>1202</v>
      </c>
      <c r="AY7" s="238">
        <f>+AV7-AW7-AX7</f>
        <v>0</v>
      </c>
      <c r="AZ7" s="144"/>
    </row>
    <row r="8" spans="1:59" ht="12" customHeight="1">
      <c r="A8" s="48" t="s">
        <v>62</v>
      </c>
      <c r="B8" s="38" t="s">
        <v>63</v>
      </c>
      <c r="C8" s="41" t="s">
        <v>64</v>
      </c>
      <c r="D8" s="42">
        <v>44414</v>
      </c>
      <c r="E8" s="47"/>
      <c r="F8" s="43">
        <v>10005027939914</v>
      </c>
      <c r="G8" s="203" t="s">
        <v>61</v>
      </c>
      <c r="H8" s="125">
        <f t="shared" si="0"/>
        <v>2640</v>
      </c>
      <c r="I8" s="7">
        <f t="shared" si="1"/>
        <v>880</v>
      </c>
      <c r="J8" s="7">
        <f t="shared" si="2"/>
        <v>880</v>
      </c>
      <c r="K8" s="270">
        <v>4400</v>
      </c>
      <c r="L8" s="48">
        <v>29</v>
      </c>
      <c r="M8" s="113">
        <v>2</v>
      </c>
      <c r="N8" s="12">
        <v>0</v>
      </c>
      <c r="O8" s="114">
        <v>0</v>
      </c>
      <c r="P8" s="12">
        <v>0</v>
      </c>
      <c r="Q8" s="106">
        <f>L8+M8+N8+O8+P8</f>
        <v>31</v>
      </c>
      <c r="R8" s="137">
        <v>0</v>
      </c>
      <c r="S8" s="12">
        <v>0</v>
      </c>
      <c r="T8" s="12">
        <v>0</v>
      </c>
      <c r="U8" s="109">
        <v>0</v>
      </c>
      <c r="V8" s="107">
        <f>K8/31*R8</f>
        <v>0</v>
      </c>
      <c r="W8" s="39">
        <f>K8/31*S8</f>
        <v>0</v>
      </c>
      <c r="X8" s="39">
        <f>K8/31*T8</f>
        <v>0</v>
      </c>
      <c r="Y8" s="39">
        <f>K8/31*U8</f>
        <v>0</v>
      </c>
      <c r="Z8" s="156">
        <f t="shared" ref="Z8:Z48" si="3">R8+S8+T8+U8</f>
        <v>0</v>
      </c>
      <c r="AA8" s="157">
        <f t="shared" ref="AA8:AA48" si="4">Q8+Z8</f>
        <v>31</v>
      </c>
      <c r="AB8" s="125">
        <f>K8/31*O8</f>
        <v>0</v>
      </c>
      <c r="AC8" s="7">
        <f>K8/31*P8</f>
        <v>0</v>
      </c>
      <c r="AD8" s="229">
        <f>SUM(K8/31*Q8)</f>
        <v>4400</v>
      </c>
      <c r="AE8" s="244">
        <v>6</v>
      </c>
      <c r="AF8" s="207">
        <v>12</v>
      </c>
      <c r="AG8" s="252">
        <f>AE8*AF8</f>
        <v>72</v>
      </c>
      <c r="AH8" s="95">
        <v>0</v>
      </c>
      <c r="AI8" s="207">
        <v>14</v>
      </c>
      <c r="AJ8" s="92">
        <f>AH8*AI8</f>
        <v>0</v>
      </c>
      <c r="AK8" s="256">
        <f>AG8+AJ8</f>
        <v>72</v>
      </c>
      <c r="AL8" s="48">
        <v>3</v>
      </c>
      <c r="AM8" s="207">
        <v>145</v>
      </c>
      <c r="AN8" s="211">
        <f>AL8*AM8</f>
        <v>435</v>
      </c>
      <c r="AO8" s="91"/>
      <c r="AP8" s="161"/>
      <c r="AQ8" s="160">
        <v>0</v>
      </c>
      <c r="AR8" s="220">
        <f>SUM(AD8+AK8+AN8+AO8+AP8+AQ8)</f>
        <v>4907</v>
      </c>
      <c r="AS8" s="225">
        <v>0</v>
      </c>
      <c r="AT8" s="25">
        <v>520</v>
      </c>
      <c r="AU8" s="229">
        <v>0</v>
      </c>
      <c r="AV8" s="274">
        <f>AR8-AS8-AT8-AU8</f>
        <v>4387</v>
      </c>
      <c r="AW8" s="234">
        <f>SUM(K8*80%)</f>
        <v>3520</v>
      </c>
      <c r="AX8" s="217">
        <f t="shared" ref="AX8:AX48" si="5">AV8-AW8</f>
        <v>867</v>
      </c>
      <c r="AY8" s="239">
        <f t="shared" ref="AY8:AY48" si="6">+AV8-AW8-AX8</f>
        <v>0</v>
      </c>
      <c r="AZ8" s="144"/>
    </row>
    <row r="9" spans="1:59" ht="12" customHeight="1">
      <c r="A9" s="48" t="s">
        <v>65</v>
      </c>
      <c r="B9" s="38" t="s">
        <v>66</v>
      </c>
      <c r="C9" s="41" t="s">
        <v>67</v>
      </c>
      <c r="D9" s="42" t="s">
        <v>68</v>
      </c>
      <c r="E9" s="47"/>
      <c r="F9" s="43">
        <v>10013067459387</v>
      </c>
      <c r="G9" s="203" t="s">
        <v>61</v>
      </c>
      <c r="H9" s="125">
        <f t="shared" si="0"/>
        <v>2640</v>
      </c>
      <c r="I9" s="7">
        <f t="shared" si="1"/>
        <v>880</v>
      </c>
      <c r="J9" s="7">
        <f t="shared" si="2"/>
        <v>880</v>
      </c>
      <c r="K9" s="270">
        <v>4400</v>
      </c>
      <c r="L9" s="48">
        <v>28</v>
      </c>
      <c r="M9" s="113">
        <v>3</v>
      </c>
      <c r="N9" s="12">
        <v>0</v>
      </c>
      <c r="O9" s="114">
        <v>0</v>
      </c>
      <c r="P9" s="12">
        <v>0</v>
      </c>
      <c r="Q9" s="106">
        <f>L9+M9+N9+O9+P9</f>
        <v>31</v>
      </c>
      <c r="R9" s="137">
        <v>0</v>
      </c>
      <c r="S9" s="12">
        <v>0</v>
      </c>
      <c r="T9" s="12">
        <v>0</v>
      </c>
      <c r="U9" s="109">
        <v>0</v>
      </c>
      <c r="V9" s="107">
        <f>K9/31*R9</f>
        <v>0</v>
      </c>
      <c r="W9" s="39">
        <f>K9/31*S9</f>
        <v>0</v>
      </c>
      <c r="X9" s="39">
        <f>K9/31*T9</f>
        <v>0</v>
      </c>
      <c r="Y9" s="39">
        <f>K9/31*U9</f>
        <v>0</v>
      </c>
      <c r="Z9" s="156">
        <f t="shared" si="3"/>
        <v>0</v>
      </c>
      <c r="AA9" s="157">
        <f t="shared" si="4"/>
        <v>31</v>
      </c>
      <c r="AB9" s="125">
        <f>K9/31*O9</f>
        <v>0</v>
      </c>
      <c r="AC9" s="7">
        <f>K9/31*P9</f>
        <v>0</v>
      </c>
      <c r="AD9" s="229">
        <f>SUM(K9/31*Q9)</f>
        <v>4400</v>
      </c>
      <c r="AE9" s="244">
        <v>6</v>
      </c>
      <c r="AF9" s="207">
        <v>12</v>
      </c>
      <c r="AG9" s="252">
        <f t="shared" ref="AG9:AG46" si="7">AE9*AF9</f>
        <v>72</v>
      </c>
      <c r="AH9" s="95">
        <v>1</v>
      </c>
      <c r="AI9" s="207">
        <v>14</v>
      </c>
      <c r="AJ9" s="92">
        <f t="shared" ref="AJ9:AJ46" si="8">AH9*AI9</f>
        <v>14</v>
      </c>
      <c r="AK9" s="256">
        <f t="shared" ref="AK9:AK41" si="9">AG9+AJ9</f>
        <v>86</v>
      </c>
      <c r="AL9" s="48">
        <v>2</v>
      </c>
      <c r="AM9" s="207">
        <v>145</v>
      </c>
      <c r="AN9" s="211">
        <f t="shared" ref="AN9:AN48" si="10">AL9*AM9</f>
        <v>290</v>
      </c>
      <c r="AO9" s="91"/>
      <c r="AP9" s="161"/>
      <c r="AQ9" s="160">
        <v>0</v>
      </c>
      <c r="AR9" s="220">
        <f t="shared" ref="AR9:AR46" si="11">SUM(AD9+AK9+AN9+AO9+AP9+AQ9)</f>
        <v>4776</v>
      </c>
      <c r="AS9" s="225">
        <v>0</v>
      </c>
      <c r="AT9" s="25">
        <v>300</v>
      </c>
      <c r="AU9" s="229">
        <v>0</v>
      </c>
      <c r="AV9" s="274">
        <f>AR9-AS9-AT9-AU9</f>
        <v>4476</v>
      </c>
      <c r="AW9" s="234">
        <f>SUM(K9*80%)</f>
        <v>3520</v>
      </c>
      <c r="AX9" s="217">
        <f t="shared" si="5"/>
        <v>956</v>
      </c>
      <c r="AY9" s="239">
        <f t="shared" si="6"/>
        <v>0</v>
      </c>
      <c r="AZ9" s="112"/>
    </row>
    <row r="10" spans="1:59" ht="12">
      <c r="A10" s="48" t="s">
        <v>69</v>
      </c>
      <c r="B10" s="38" t="s">
        <v>70</v>
      </c>
      <c r="C10" s="41" t="s">
        <v>71</v>
      </c>
      <c r="D10" s="42">
        <v>42470</v>
      </c>
      <c r="E10" s="62"/>
      <c r="F10" s="43">
        <v>31620017062269</v>
      </c>
      <c r="G10" s="203" t="s">
        <v>61</v>
      </c>
      <c r="H10" s="125">
        <f t="shared" si="0"/>
        <v>2700</v>
      </c>
      <c r="I10" s="7">
        <f t="shared" si="1"/>
        <v>900</v>
      </c>
      <c r="J10" s="7">
        <f t="shared" si="2"/>
        <v>900</v>
      </c>
      <c r="K10" s="270">
        <v>4500</v>
      </c>
      <c r="L10" s="48">
        <v>27</v>
      </c>
      <c r="M10" s="113">
        <v>4</v>
      </c>
      <c r="N10" s="12">
        <v>0</v>
      </c>
      <c r="O10" s="114">
        <v>0</v>
      </c>
      <c r="P10" s="12">
        <v>0</v>
      </c>
      <c r="Q10" s="106">
        <f>L10+M10+N10+O10+P10</f>
        <v>31</v>
      </c>
      <c r="R10" s="137">
        <v>0</v>
      </c>
      <c r="S10" s="12">
        <v>0</v>
      </c>
      <c r="T10" s="12">
        <v>0</v>
      </c>
      <c r="U10" s="109">
        <v>0</v>
      </c>
      <c r="V10" s="107">
        <f>K10/31*R10</f>
        <v>0</v>
      </c>
      <c r="W10" s="39">
        <f>K10/31*S10</f>
        <v>0</v>
      </c>
      <c r="X10" s="39">
        <f>K10/31*T10</f>
        <v>0</v>
      </c>
      <c r="Y10" s="39">
        <f>K10/31*U10</f>
        <v>0</v>
      </c>
      <c r="Z10" s="156">
        <f t="shared" si="3"/>
        <v>0</v>
      </c>
      <c r="AA10" s="157">
        <f t="shared" si="4"/>
        <v>31</v>
      </c>
      <c r="AB10" s="125">
        <f>K10/31*O10</f>
        <v>0</v>
      </c>
      <c r="AC10" s="7">
        <f>K10/31*P10</f>
        <v>0</v>
      </c>
      <c r="AD10" s="229">
        <f>SUM(K10/31*Q10)</f>
        <v>4500</v>
      </c>
      <c r="AE10" s="244">
        <v>7</v>
      </c>
      <c r="AF10" s="207">
        <v>12</v>
      </c>
      <c r="AG10" s="252">
        <f t="shared" si="7"/>
        <v>84</v>
      </c>
      <c r="AH10" s="95">
        <v>0</v>
      </c>
      <c r="AI10" s="207">
        <v>15</v>
      </c>
      <c r="AJ10" s="92">
        <f t="shared" si="8"/>
        <v>0</v>
      </c>
      <c r="AK10" s="256">
        <f t="shared" si="9"/>
        <v>84</v>
      </c>
      <c r="AL10" s="48">
        <v>1</v>
      </c>
      <c r="AM10" s="207">
        <v>148</v>
      </c>
      <c r="AN10" s="211">
        <f t="shared" si="10"/>
        <v>148</v>
      </c>
      <c r="AO10" s="91"/>
      <c r="AP10" s="161"/>
      <c r="AQ10" s="160">
        <v>0</v>
      </c>
      <c r="AR10" s="220">
        <f t="shared" si="11"/>
        <v>4732</v>
      </c>
      <c r="AS10" s="225">
        <v>0</v>
      </c>
      <c r="AT10" s="25">
        <v>0</v>
      </c>
      <c r="AU10" s="229">
        <v>0</v>
      </c>
      <c r="AV10" s="274">
        <f>AR10-AS10-AT10-AU10</f>
        <v>4732</v>
      </c>
      <c r="AW10" s="234">
        <f>SUM(K10*80%)</f>
        <v>3600</v>
      </c>
      <c r="AX10" s="217">
        <f t="shared" si="5"/>
        <v>1132</v>
      </c>
      <c r="AY10" s="239">
        <f t="shared" si="6"/>
        <v>0</v>
      </c>
      <c r="AZ10" s="101"/>
    </row>
    <row r="11" spans="1:59" ht="12" customHeight="1">
      <c r="A11" s="48" t="s">
        <v>72</v>
      </c>
      <c r="B11" s="38" t="s">
        <v>73</v>
      </c>
      <c r="C11" s="41" t="s">
        <v>74</v>
      </c>
      <c r="D11" s="42">
        <v>42898</v>
      </c>
      <c r="E11" s="62"/>
      <c r="F11" s="43">
        <v>10019057895758</v>
      </c>
      <c r="G11" s="203" t="s">
        <v>61</v>
      </c>
      <c r="H11" s="125">
        <f t="shared" si="0"/>
        <v>2700</v>
      </c>
      <c r="I11" s="7">
        <f t="shared" si="1"/>
        <v>900</v>
      </c>
      <c r="J11" s="7">
        <f t="shared" si="2"/>
        <v>900</v>
      </c>
      <c r="K11" s="270">
        <v>4500</v>
      </c>
      <c r="L11" s="48">
        <v>28</v>
      </c>
      <c r="M11" s="113">
        <v>3</v>
      </c>
      <c r="N11" s="12">
        <v>0</v>
      </c>
      <c r="O11" s="114">
        <v>0</v>
      </c>
      <c r="P11" s="12">
        <v>0</v>
      </c>
      <c r="Q11" s="106">
        <f>L11+M11+N11+O11+P11</f>
        <v>31</v>
      </c>
      <c r="R11" s="137">
        <v>0</v>
      </c>
      <c r="S11" s="12">
        <v>0</v>
      </c>
      <c r="T11" s="12">
        <v>0</v>
      </c>
      <c r="U11" s="109">
        <v>0</v>
      </c>
      <c r="V11" s="107">
        <f>K11/31*R11</f>
        <v>0</v>
      </c>
      <c r="W11" s="39">
        <f>K11/31*S11</f>
        <v>0</v>
      </c>
      <c r="X11" s="39">
        <f>K11/31*T11</f>
        <v>0</v>
      </c>
      <c r="Y11" s="39">
        <f>K11/31*U11</f>
        <v>0</v>
      </c>
      <c r="Z11" s="156">
        <f t="shared" si="3"/>
        <v>0</v>
      </c>
      <c r="AA11" s="157">
        <f t="shared" si="4"/>
        <v>31</v>
      </c>
      <c r="AB11" s="125">
        <f>K11/31*O11</f>
        <v>0</v>
      </c>
      <c r="AC11" s="7">
        <f>K11/31*P11</f>
        <v>0</v>
      </c>
      <c r="AD11" s="229">
        <f>SUM(K11/31*Q11)</f>
        <v>4500</v>
      </c>
      <c r="AE11" s="244">
        <v>2</v>
      </c>
      <c r="AF11" s="207">
        <v>12</v>
      </c>
      <c r="AG11" s="252">
        <f t="shared" si="7"/>
        <v>24</v>
      </c>
      <c r="AH11" s="95">
        <v>0</v>
      </c>
      <c r="AI11" s="207">
        <v>15</v>
      </c>
      <c r="AJ11" s="92">
        <f t="shared" si="8"/>
        <v>0</v>
      </c>
      <c r="AK11" s="256">
        <f t="shared" si="9"/>
        <v>24</v>
      </c>
      <c r="AL11" s="48">
        <v>2</v>
      </c>
      <c r="AM11" s="207">
        <v>148</v>
      </c>
      <c r="AN11" s="211">
        <f t="shared" si="10"/>
        <v>296</v>
      </c>
      <c r="AO11" s="91"/>
      <c r="AP11" s="161"/>
      <c r="AQ11" s="160">
        <v>0</v>
      </c>
      <c r="AR11" s="220">
        <f>SUM(AD11+AK11+AN11+AO11+AP11+AQ11)</f>
        <v>4820</v>
      </c>
      <c r="AS11" s="225">
        <v>0</v>
      </c>
      <c r="AT11" s="25">
        <v>0</v>
      </c>
      <c r="AU11" s="229">
        <v>0</v>
      </c>
      <c r="AV11" s="274">
        <f>AR11-AS11-AT11-AU11</f>
        <v>4820</v>
      </c>
      <c r="AW11" s="234">
        <f>SUM(K11*80%)</f>
        <v>3600</v>
      </c>
      <c r="AX11" s="217">
        <f t="shared" si="5"/>
        <v>1220</v>
      </c>
      <c r="AY11" s="239">
        <f t="shared" si="6"/>
        <v>0</v>
      </c>
      <c r="AZ11" s="112"/>
    </row>
    <row r="12" spans="1:59" ht="12" customHeight="1">
      <c r="A12" s="48" t="s">
        <v>75</v>
      </c>
      <c r="B12" s="38" t="s">
        <v>76</v>
      </c>
      <c r="C12" s="41" t="s">
        <v>77</v>
      </c>
      <c r="D12" s="42">
        <v>44501</v>
      </c>
      <c r="E12" s="62"/>
      <c r="F12" s="43">
        <v>10030078086699</v>
      </c>
      <c r="G12" s="203" t="s">
        <v>61</v>
      </c>
      <c r="H12" s="125">
        <f t="shared" si="0"/>
        <v>2640</v>
      </c>
      <c r="I12" s="7">
        <f t="shared" si="1"/>
        <v>880</v>
      </c>
      <c r="J12" s="7">
        <f t="shared" si="2"/>
        <v>880</v>
      </c>
      <c r="K12" s="270">
        <v>4400</v>
      </c>
      <c r="L12" s="48">
        <v>27</v>
      </c>
      <c r="M12" s="113">
        <v>4</v>
      </c>
      <c r="N12" s="12">
        <v>0</v>
      </c>
      <c r="O12" s="114">
        <v>0</v>
      </c>
      <c r="P12" s="12">
        <v>0</v>
      </c>
      <c r="Q12" s="106">
        <f>L12+M12+N12+O12+P12</f>
        <v>31</v>
      </c>
      <c r="R12" s="137">
        <v>0</v>
      </c>
      <c r="S12" s="12">
        <v>0</v>
      </c>
      <c r="T12" s="12">
        <v>0</v>
      </c>
      <c r="U12" s="109">
        <v>0</v>
      </c>
      <c r="V12" s="107">
        <f>K12/31*R12</f>
        <v>0</v>
      </c>
      <c r="W12" s="39">
        <f>K12/31*S12</f>
        <v>0</v>
      </c>
      <c r="X12" s="39">
        <f>K12/31*T12</f>
        <v>0</v>
      </c>
      <c r="Y12" s="39">
        <f>K12/31*U12</f>
        <v>0</v>
      </c>
      <c r="Z12" s="156">
        <f t="shared" si="3"/>
        <v>0</v>
      </c>
      <c r="AA12" s="157">
        <f t="shared" si="4"/>
        <v>31</v>
      </c>
      <c r="AB12" s="125">
        <f>K12/31*O12</f>
        <v>0</v>
      </c>
      <c r="AC12" s="7">
        <f>K12/31*P12</f>
        <v>0</v>
      </c>
      <c r="AD12" s="229">
        <f>SUM(K12/31*Q12)</f>
        <v>4400</v>
      </c>
      <c r="AE12" s="244">
        <v>20</v>
      </c>
      <c r="AF12" s="207">
        <v>12</v>
      </c>
      <c r="AG12" s="252">
        <f t="shared" si="7"/>
        <v>240</v>
      </c>
      <c r="AH12" s="95">
        <v>0</v>
      </c>
      <c r="AI12" s="207">
        <v>14</v>
      </c>
      <c r="AJ12" s="92">
        <f t="shared" si="8"/>
        <v>0</v>
      </c>
      <c r="AK12" s="256">
        <f t="shared" si="9"/>
        <v>240</v>
      </c>
      <c r="AL12" s="48">
        <v>0</v>
      </c>
      <c r="AM12" s="207">
        <v>145</v>
      </c>
      <c r="AN12" s="211">
        <f t="shared" si="10"/>
        <v>0</v>
      </c>
      <c r="AO12" s="91"/>
      <c r="AP12" s="161"/>
      <c r="AQ12" s="160">
        <v>0</v>
      </c>
      <c r="AR12" s="220">
        <f t="shared" si="11"/>
        <v>4640</v>
      </c>
      <c r="AS12" s="225">
        <v>0</v>
      </c>
      <c r="AT12" s="25">
        <v>0</v>
      </c>
      <c r="AU12" s="229">
        <v>0</v>
      </c>
      <c r="AV12" s="274">
        <f>AR12-AS12-AT12-AU12</f>
        <v>4640</v>
      </c>
      <c r="AW12" s="234">
        <f>SUM(K12*80%)</f>
        <v>3520</v>
      </c>
      <c r="AX12" s="217">
        <f t="shared" si="5"/>
        <v>1120</v>
      </c>
      <c r="AY12" s="239">
        <f t="shared" si="6"/>
        <v>0</v>
      </c>
      <c r="AZ12" s="145"/>
    </row>
    <row r="13" spans="1:59" ht="12" customHeight="1">
      <c r="A13" s="48" t="s">
        <v>78</v>
      </c>
      <c r="B13" s="38" t="s">
        <v>79</v>
      </c>
      <c r="C13" s="41" t="s">
        <v>80</v>
      </c>
      <c r="D13" s="42">
        <v>44726</v>
      </c>
      <c r="E13" s="62"/>
      <c r="F13" s="43">
        <v>20001018653644</v>
      </c>
      <c r="G13" s="203" t="s">
        <v>61</v>
      </c>
      <c r="H13" s="125">
        <f t="shared" si="0"/>
        <v>2580</v>
      </c>
      <c r="I13" s="7">
        <f t="shared" si="1"/>
        <v>860</v>
      </c>
      <c r="J13" s="7">
        <f t="shared" si="2"/>
        <v>860</v>
      </c>
      <c r="K13" s="270">
        <v>4300</v>
      </c>
      <c r="L13" s="48">
        <v>28</v>
      </c>
      <c r="M13" s="113">
        <v>3</v>
      </c>
      <c r="N13" s="12">
        <v>0</v>
      </c>
      <c r="O13" s="114">
        <v>0</v>
      </c>
      <c r="P13" s="12">
        <v>0</v>
      </c>
      <c r="Q13" s="106">
        <f>L13+M13+N13+O13+P13</f>
        <v>31</v>
      </c>
      <c r="R13" s="137">
        <v>0</v>
      </c>
      <c r="S13" s="12">
        <v>0</v>
      </c>
      <c r="T13" s="12">
        <v>0</v>
      </c>
      <c r="U13" s="109">
        <v>0</v>
      </c>
      <c r="V13" s="107">
        <f>K13/31*R13</f>
        <v>0</v>
      </c>
      <c r="W13" s="39">
        <f>K13/31*S13</f>
        <v>0</v>
      </c>
      <c r="X13" s="39">
        <f>K13/31*T13</f>
        <v>0</v>
      </c>
      <c r="Y13" s="39">
        <f>K13/31*U13</f>
        <v>0</v>
      </c>
      <c r="Z13" s="156">
        <f t="shared" si="3"/>
        <v>0</v>
      </c>
      <c r="AA13" s="157">
        <f t="shared" si="4"/>
        <v>31</v>
      </c>
      <c r="AB13" s="125">
        <f>K13/31*O13</f>
        <v>0</v>
      </c>
      <c r="AC13" s="7">
        <f>K13/31*P13</f>
        <v>0</v>
      </c>
      <c r="AD13" s="229">
        <f>SUM(K13/31*Q13)</f>
        <v>4300</v>
      </c>
      <c r="AE13" s="244">
        <v>4</v>
      </c>
      <c r="AF13" s="207">
        <v>12</v>
      </c>
      <c r="AG13" s="252">
        <f t="shared" si="7"/>
        <v>48</v>
      </c>
      <c r="AH13" s="95">
        <v>0</v>
      </c>
      <c r="AI13" s="207">
        <v>14</v>
      </c>
      <c r="AJ13" s="92">
        <f t="shared" si="8"/>
        <v>0</v>
      </c>
      <c r="AK13" s="256">
        <f t="shared" si="9"/>
        <v>48</v>
      </c>
      <c r="AL13" s="48">
        <v>2</v>
      </c>
      <c r="AM13" s="207">
        <v>141</v>
      </c>
      <c r="AN13" s="211">
        <f t="shared" si="10"/>
        <v>282</v>
      </c>
      <c r="AO13" s="91"/>
      <c r="AP13" s="161"/>
      <c r="AQ13" s="160">
        <v>0</v>
      </c>
      <c r="AR13" s="220">
        <f t="shared" si="11"/>
        <v>4630</v>
      </c>
      <c r="AS13" s="225">
        <v>0</v>
      </c>
      <c r="AT13" s="25">
        <v>0</v>
      </c>
      <c r="AU13" s="229">
        <v>0</v>
      </c>
      <c r="AV13" s="274">
        <f>AR13-AS13-AT13-AU13</f>
        <v>4630</v>
      </c>
      <c r="AW13" s="234">
        <f>SUM(K13*80%)</f>
        <v>3440</v>
      </c>
      <c r="AX13" s="217">
        <f t="shared" si="5"/>
        <v>1190</v>
      </c>
      <c r="AY13" s="239">
        <f t="shared" si="6"/>
        <v>0</v>
      </c>
      <c r="AZ13" s="112"/>
    </row>
    <row r="14" spans="1:59" ht="12.75" customHeight="1">
      <c r="A14" s="48" t="s">
        <v>81</v>
      </c>
      <c r="B14" s="38" t="s">
        <v>82</v>
      </c>
      <c r="C14" s="41" t="s">
        <v>83</v>
      </c>
      <c r="D14" s="42">
        <v>42642</v>
      </c>
      <c r="E14" s="62"/>
      <c r="F14" s="43">
        <v>20015018877124</v>
      </c>
      <c r="G14" s="203" t="s">
        <v>61</v>
      </c>
      <c r="H14" s="125">
        <f t="shared" si="0"/>
        <v>2700</v>
      </c>
      <c r="I14" s="7">
        <f t="shared" si="1"/>
        <v>900</v>
      </c>
      <c r="J14" s="7">
        <f t="shared" si="2"/>
        <v>900</v>
      </c>
      <c r="K14" s="270">
        <v>4500</v>
      </c>
      <c r="L14" s="48">
        <v>29</v>
      </c>
      <c r="M14" s="113">
        <v>2</v>
      </c>
      <c r="N14" s="12">
        <v>0</v>
      </c>
      <c r="O14" s="114">
        <v>0</v>
      </c>
      <c r="P14" s="12">
        <v>0</v>
      </c>
      <c r="Q14" s="106">
        <f>L14+M14+N14+O14+P14</f>
        <v>31</v>
      </c>
      <c r="R14" s="137">
        <v>0</v>
      </c>
      <c r="S14" s="12">
        <v>0</v>
      </c>
      <c r="T14" s="12">
        <v>0</v>
      </c>
      <c r="U14" s="109">
        <v>0</v>
      </c>
      <c r="V14" s="107">
        <f>K14/31*R14</f>
        <v>0</v>
      </c>
      <c r="W14" s="39">
        <f>K14/31*S14</f>
        <v>0</v>
      </c>
      <c r="X14" s="39">
        <f>K14/31*T14</f>
        <v>0</v>
      </c>
      <c r="Y14" s="39">
        <f>K14/31*U14</f>
        <v>0</v>
      </c>
      <c r="Z14" s="156">
        <f t="shared" si="3"/>
        <v>0</v>
      </c>
      <c r="AA14" s="157">
        <f t="shared" si="4"/>
        <v>31</v>
      </c>
      <c r="AB14" s="125">
        <f>K14/31*O14</f>
        <v>0</v>
      </c>
      <c r="AC14" s="7">
        <f>K14/31*P14</f>
        <v>0</v>
      </c>
      <c r="AD14" s="229">
        <f>SUM(K14/31*Q14)</f>
        <v>4500</v>
      </c>
      <c r="AE14" s="244">
        <v>5</v>
      </c>
      <c r="AF14" s="207">
        <v>12</v>
      </c>
      <c r="AG14" s="252">
        <f t="shared" si="7"/>
        <v>60</v>
      </c>
      <c r="AH14" s="95">
        <v>0</v>
      </c>
      <c r="AI14" s="207">
        <v>15</v>
      </c>
      <c r="AJ14" s="92">
        <f t="shared" si="8"/>
        <v>0</v>
      </c>
      <c r="AK14" s="256">
        <f t="shared" si="9"/>
        <v>60</v>
      </c>
      <c r="AL14" s="48">
        <v>3</v>
      </c>
      <c r="AM14" s="207">
        <v>148</v>
      </c>
      <c r="AN14" s="211">
        <f t="shared" si="10"/>
        <v>444</v>
      </c>
      <c r="AO14" s="91"/>
      <c r="AP14" s="161"/>
      <c r="AQ14" s="160">
        <v>0</v>
      </c>
      <c r="AR14" s="220">
        <f t="shared" si="11"/>
        <v>5004</v>
      </c>
      <c r="AS14" s="225">
        <v>0</v>
      </c>
      <c r="AT14" s="25">
        <v>0</v>
      </c>
      <c r="AU14" s="229">
        <v>0</v>
      </c>
      <c r="AV14" s="274">
        <f t="shared" ref="AV14:AV43" si="12">AR14-AS14-AT14-AU14</f>
        <v>5004</v>
      </c>
      <c r="AW14" s="234">
        <f>SUM(K14*80%)</f>
        <v>3600</v>
      </c>
      <c r="AX14" s="217">
        <f t="shared" si="5"/>
        <v>1404</v>
      </c>
      <c r="AY14" s="239">
        <f t="shared" si="6"/>
        <v>0</v>
      </c>
      <c r="AZ14" s="146"/>
    </row>
    <row r="15" spans="1:59" ht="11.25" customHeight="1">
      <c r="A15" s="48" t="s">
        <v>84</v>
      </c>
      <c r="B15" s="38" t="s">
        <v>85</v>
      </c>
      <c r="C15" s="41" t="s">
        <v>86</v>
      </c>
      <c r="D15" s="42">
        <v>43507</v>
      </c>
      <c r="E15" s="62"/>
      <c r="F15" s="43">
        <v>20010118687794</v>
      </c>
      <c r="G15" s="203" t="s">
        <v>61</v>
      </c>
      <c r="H15" s="125">
        <f t="shared" si="0"/>
        <v>2700</v>
      </c>
      <c r="I15" s="7">
        <f t="shared" si="1"/>
        <v>900</v>
      </c>
      <c r="J15" s="7">
        <f t="shared" si="2"/>
        <v>900</v>
      </c>
      <c r="K15" s="270">
        <v>4500</v>
      </c>
      <c r="L15" s="48">
        <v>28</v>
      </c>
      <c r="M15" s="113">
        <v>3</v>
      </c>
      <c r="N15" s="12">
        <v>0</v>
      </c>
      <c r="O15" s="114">
        <v>0</v>
      </c>
      <c r="P15" s="12">
        <v>0</v>
      </c>
      <c r="Q15" s="106">
        <f>L15+M15+N15+O15+P15</f>
        <v>31</v>
      </c>
      <c r="R15" s="137">
        <v>0</v>
      </c>
      <c r="S15" s="12">
        <v>0</v>
      </c>
      <c r="T15" s="12">
        <v>0</v>
      </c>
      <c r="U15" s="109">
        <v>0</v>
      </c>
      <c r="V15" s="107">
        <f>K15/31*R15</f>
        <v>0</v>
      </c>
      <c r="W15" s="39">
        <f>K15/31*S15</f>
        <v>0</v>
      </c>
      <c r="X15" s="39">
        <f>K15/31*T15</f>
        <v>0</v>
      </c>
      <c r="Y15" s="39">
        <f>K15/31*U15</f>
        <v>0</v>
      </c>
      <c r="Z15" s="156">
        <f t="shared" si="3"/>
        <v>0</v>
      </c>
      <c r="AA15" s="157">
        <f t="shared" si="4"/>
        <v>31</v>
      </c>
      <c r="AB15" s="125">
        <f>K15/31*O15</f>
        <v>0</v>
      </c>
      <c r="AC15" s="7">
        <f>K15/31*P15</f>
        <v>0</v>
      </c>
      <c r="AD15" s="229">
        <f>SUM(K15/31*Q15)</f>
        <v>4500</v>
      </c>
      <c r="AE15" s="244">
        <v>7</v>
      </c>
      <c r="AF15" s="207">
        <v>12</v>
      </c>
      <c r="AG15" s="252">
        <f t="shared" si="7"/>
        <v>84</v>
      </c>
      <c r="AH15" s="95">
        <v>0</v>
      </c>
      <c r="AI15" s="207">
        <v>15</v>
      </c>
      <c r="AJ15" s="92">
        <f t="shared" si="8"/>
        <v>0</v>
      </c>
      <c r="AK15" s="256">
        <f t="shared" si="9"/>
        <v>84</v>
      </c>
      <c r="AL15" s="48">
        <v>1</v>
      </c>
      <c r="AM15" s="207">
        <v>148</v>
      </c>
      <c r="AN15" s="211">
        <f t="shared" si="10"/>
        <v>148</v>
      </c>
      <c r="AO15" s="91"/>
      <c r="AP15" s="161"/>
      <c r="AQ15" s="160">
        <v>0</v>
      </c>
      <c r="AR15" s="220">
        <f t="shared" si="11"/>
        <v>4732</v>
      </c>
      <c r="AS15" s="225">
        <v>0</v>
      </c>
      <c r="AT15" s="25">
        <v>0</v>
      </c>
      <c r="AU15" s="229">
        <v>0</v>
      </c>
      <c r="AV15" s="274">
        <f t="shared" si="12"/>
        <v>4732</v>
      </c>
      <c r="AW15" s="234">
        <f>SUM(K15*80%)</f>
        <v>3600</v>
      </c>
      <c r="AX15" s="217">
        <f t="shared" si="5"/>
        <v>1132</v>
      </c>
      <c r="AY15" s="239">
        <f t="shared" si="6"/>
        <v>0</v>
      </c>
      <c r="AZ15" s="101"/>
    </row>
    <row r="16" spans="1:59" ht="12" customHeight="1">
      <c r="A16" s="48" t="s">
        <v>87</v>
      </c>
      <c r="B16" s="38" t="s">
        <v>88</v>
      </c>
      <c r="C16" s="41" t="s">
        <v>89</v>
      </c>
      <c r="D16" s="42">
        <v>44664</v>
      </c>
      <c r="E16" s="38"/>
      <c r="F16" s="43">
        <v>20011019277621</v>
      </c>
      <c r="G16" s="203" t="s">
        <v>61</v>
      </c>
      <c r="H16" s="125">
        <f t="shared" si="0"/>
        <v>2580</v>
      </c>
      <c r="I16" s="7">
        <f t="shared" si="1"/>
        <v>860</v>
      </c>
      <c r="J16" s="7">
        <f t="shared" si="2"/>
        <v>860</v>
      </c>
      <c r="K16" s="270">
        <v>4300</v>
      </c>
      <c r="L16" s="48">
        <v>25</v>
      </c>
      <c r="M16" s="113">
        <v>4</v>
      </c>
      <c r="N16" s="12">
        <v>0</v>
      </c>
      <c r="O16" s="114">
        <v>0</v>
      </c>
      <c r="P16" s="12">
        <v>2</v>
      </c>
      <c r="Q16" s="106">
        <f>L16+M16+N16+O16+P16</f>
        <v>31</v>
      </c>
      <c r="R16" s="137">
        <v>0</v>
      </c>
      <c r="S16" s="12">
        <v>0</v>
      </c>
      <c r="T16" s="12">
        <v>0</v>
      </c>
      <c r="U16" s="109">
        <v>0</v>
      </c>
      <c r="V16" s="107">
        <f>K16/31*R16</f>
        <v>0</v>
      </c>
      <c r="W16" s="39">
        <f>K16/31*S16</f>
        <v>0</v>
      </c>
      <c r="X16" s="39">
        <f>K16/31*T16</f>
        <v>0</v>
      </c>
      <c r="Y16" s="39">
        <f>K16/31*U16</f>
        <v>0</v>
      </c>
      <c r="Z16" s="156">
        <f t="shared" si="3"/>
        <v>0</v>
      </c>
      <c r="AA16" s="157">
        <f t="shared" si="4"/>
        <v>31</v>
      </c>
      <c r="AB16" s="125">
        <f>K16/31*O16</f>
        <v>0</v>
      </c>
      <c r="AC16" s="7">
        <f>K16/31*P16</f>
        <v>277.41935483870969</v>
      </c>
      <c r="AD16" s="229">
        <f>SUM(K16/31*Q16)</f>
        <v>4300</v>
      </c>
      <c r="AE16" s="244">
        <v>9</v>
      </c>
      <c r="AF16" s="207">
        <v>12</v>
      </c>
      <c r="AG16" s="252">
        <f t="shared" si="7"/>
        <v>108</v>
      </c>
      <c r="AH16" s="95">
        <v>0</v>
      </c>
      <c r="AI16" s="207">
        <v>14</v>
      </c>
      <c r="AJ16" s="92">
        <f t="shared" si="8"/>
        <v>0</v>
      </c>
      <c r="AK16" s="256">
        <f t="shared" si="9"/>
        <v>108</v>
      </c>
      <c r="AL16" s="48">
        <v>1</v>
      </c>
      <c r="AM16" s="207">
        <v>141</v>
      </c>
      <c r="AN16" s="211">
        <f t="shared" si="10"/>
        <v>141</v>
      </c>
      <c r="AO16" s="91"/>
      <c r="AP16" s="161"/>
      <c r="AQ16" s="160">
        <v>0</v>
      </c>
      <c r="AR16" s="220">
        <f t="shared" si="11"/>
        <v>4549</v>
      </c>
      <c r="AS16" s="225">
        <v>0</v>
      </c>
      <c r="AT16" s="25">
        <v>0</v>
      </c>
      <c r="AU16" s="229">
        <v>0</v>
      </c>
      <c r="AV16" s="274">
        <f t="shared" si="12"/>
        <v>4549</v>
      </c>
      <c r="AW16" s="234">
        <f>SUM(K16*80%)</f>
        <v>3440</v>
      </c>
      <c r="AX16" s="217">
        <f t="shared" si="5"/>
        <v>1109</v>
      </c>
      <c r="AY16" s="239">
        <f t="shared" si="6"/>
        <v>0</v>
      </c>
      <c r="AZ16" s="111" t="s">
        <v>90</v>
      </c>
    </row>
    <row r="17" spans="1:120" ht="12" customHeight="1">
      <c r="A17" s="48" t="s">
        <v>91</v>
      </c>
      <c r="B17" s="44" t="s">
        <v>92</v>
      </c>
      <c r="C17" s="41" t="s">
        <v>93</v>
      </c>
      <c r="D17" s="45">
        <v>45310</v>
      </c>
      <c r="E17" s="44"/>
      <c r="F17" s="63">
        <v>10030079016477</v>
      </c>
      <c r="G17" s="203" t="s">
        <v>61</v>
      </c>
      <c r="H17" s="125">
        <f>K17*60%</f>
        <v>2520</v>
      </c>
      <c r="I17" s="7">
        <f>K17*20%</f>
        <v>840</v>
      </c>
      <c r="J17" s="7">
        <f>K17*20%</f>
        <v>840</v>
      </c>
      <c r="K17" s="270">
        <v>4200</v>
      </c>
      <c r="L17" s="48">
        <v>28</v>
      </c>
      <c r="M17" s="113">
        <v>3</v>
      </c>
      <c r="N17" s="12">
        <v>0</v>
      </c>
      <c r="O17" s="114">
        <v>0</v>
      </c>
      <c r="P17" s="12">
        <v>0</v>
      </c>
      <c r="Q17" s="106">
        <f>L17+M17+N17+O17+P17</f>
        <v>31</v>
      </c>
      <c r="R17" s="137">
        <v>0</v>
      </c>
      <c r="S17" s="12">
        <v>0</v>
      </c>
      <c r="T17" s="12">
        <v>0</v>
      </c>
      <c r="U17" s="109">
        <v>0</v>
      </c>
      <c r="V17" s="107">
        <f>K17/31*R17</f>
        <v>0</v>
      </c>
      <c r="W17" s="39">
        <f>K17/31*S17</f>
        <v>0</v>
      </c>
      <c r="X17" s="39">
        <f>K17/31*T17</f>
        <v>0</v>
      </c>
      <c r="Y17" s="39">
        <f>K17/31*U17</f>
        <v>0</v>
      </c>
      <c r="Z17" s="156">
        <f t="shared" si="3"/>
        <v>0</v>
      </c>
      <c r="AA17" s="157">
        <f t="shared" si="4"/>
        <v>31</v>
      </c>
      <c r="AB17" s="125">
        <f>K17/31*O17</f>
        <v>0</v>
      </c>
      <c r="AC17" s="7">
        <f>K17/31*P17</f>
        <v>0</v>
      </c>
      <c r="AD17" s="229">
        <f>SUM(K17/31*Q17)</f>
        <v>4200</v>
      </c>
      <c r="AE17" s="244">
        <v>6</v>
      </c>
      <c r="AF17" s="207">
        <v>12</v>
      </c>
      <c r="AG17" s="252">
        <f t="shared" si="7"/>
        <v>72</v>
      </c>
      <c r="AH17" s="95">
        <v>0</v>
      </c>
      <c r="AI17" s="207">
        <v>14</v>
      </c>
      <c r="AJ17" s="92">
        <f t="shared" si="8"/>
        <v>0</v>
      </c>
      <c r="AK17" s="256">
        <f t="shared" si="9"/>
        <v>72</v>
      </c>
      <c r="AL17" s="48">
        <v>2</v>
      </c>
      <c r="AM17" s="207">
        <v>138</v>
      </c>
      <c r="AN17" s="211">
        <f t="shared" si="10"/>
        <v>276</v>
      </c>
      <c r="AO17" s="91"/>
      <c r="AP17" s="161"/>
      <c r="AQ17" s="160">
        <v>0</v>
      </c>
      <c r="AR17" s="220">
        <f t="shared" si="11"/>
        <v>4548</v>
      </c>
      <c r="AS17" s="225">
        <v>0</v>
      </c>
      <c r="AT17" s="25">
        <v>0</v>
      </c>
      <c r="AU17" s="229">
        <v>0</v>
      </c>
      <c r="AV17" s="274">
        <f t="shared" si="12"/>
        <v>4548</v>
      </c>
      <c r="AW17" s="234">
        <f>SUM(K17*80%)</f>
        <v>3360</v>
      </c>
      <c r="AX17" s="217">
        <f t="shared" si="5"/>
        <v>1188</v>
      </c>
      <c r="AY17" s="239">
        <f t="shared" si="6"/>
        <v>0</v>
      </c>
      <c r="AZ17" s="102"/>
    </row>
    <row r="18" spans="1:120" ht="12" customHeight="1">
      <c r="A18" s="48" t="s">
        <v>94</v>
      </c>
      <c r="B18" s="38" t="s">
        <v>95</v>
      </c>
      <c r="C18" s="41" t="s">
        <v>96</v>
      </c>
      <c r="D18" s="42">
        <v>43671</v>
      </c>
      <c r="E18" s="62"/>
      <c r="F18" s="43">
        <v>10017048332090</v>
      </c>
      <c r="G18" s="203" t="s">
        <v>61</v>
      </c>
      <c r="H18" s="125">
        <f t="shared" si="0"/>
        <v>2700</v>
      </c>
      <c r="I18" s="7">
        <f t="shared" si="1"/>
        <v>900</v>
      </c>
      <c r="J18" s="7">
        <f t="shared" si="2"/>
        <v>900</v>
      </c>
      <c r="K18" s="270">
        <v>4500</v>
      </c>
      <c r="L18" s="48">
        <v>27</v>
      </c>
      <c r="M18" s="113">
        <v>4</v>
      </c>
      <c r="N18" s="12">
        <v>0</v>
      </c>
      <c r="O18" s="114">
        <v>0</v>
      </c>
      <c r="P18" s="12">
        <v>0</v>
      </c>
      <c r="Q18" s="106">
        <f>L18+M18+N18+O18+P18</f>
        <v>31</v>
      </c>
      <c r="R18" s="137">
        <v>0</v>
      </c>
      <c r="S18" s="12">
        <v>0</v>
      </c>
      <c r="T18" s="12">
        <v>0</v>
      </c>
      <c r="U18" s="109">
        <v>0</v>
      </c>
      <c r="V18" s="107">
        <f>K18/31*R18</f>
        <v>0</v>
      </c>
      <c r="W18" s="39">
        <f>K18/31*S18</f>
        <v>0</v>
      </c>
      <c r="X18" s="39">
        <f>K18/31*T18</f>
        <v>0</v>
      </c>
      <c r="Y18" s="39">
        <f>K18/31*U18</f>
        <v>0</v>
      </c>
      <c r="Z18" s="156">
        <f t="shared" si="3"/>
        <v>0</v>
      </c>
      <c r="AA18" s="157">
        <f t="shared" si="4"/>
        <v>31</v>
      </c>
      <c r="AB18" s="125">
        <f>K18/31*O18</f>
        <v>0</v>
      </c>
      <c r="AC18" s="7">
        <f>K18/31*P18</f>
        <v>0</v>
      </c>
      <c r="AD18" s="229">
        <f>SUM(K18/31*Q18)</f>
        <v>4500</v>
      </c>
      <c r="AE18" s="244">
        <v>12</v>
      </c>
      <c r="AF18" s="207">
        <v>12</v>
      </c>
      <c r="AG18" s="252">
        <f t="shared" si="7"/>
        <v>144</v>
      </c>
      <c r="AH18" s="95">
        <v>0</v>
      </c>
      <c r="AI18" s="207">
        <v>15</v>
      </c>
      <c r="AJ18" s="92">
        <f t="shared" si="8"/>
        <v>0</v>
      </c>
      <c r="AK18" s="256">
        <f t="shared" si="9"/>
        <v>144</v>
      </c>
      <c r="AL18" s="48">
        <v>0</v>
      </c>
      <c r="AM18" s="207">
        <v>148</v>
      </c>
      <c r="AN18" s="211">
        <f t="shared" si="10"/>
        <v>0</v>
      </c>
      <c r="AO18" s="91"/>
      <c r="AP18" s="161"/>
      <c r="AQ18" s="160">
        <v>1306.6400000000001</v>
      </c>
      <c r="AR18" s="220">
        <f t="shared" si="11"/>
        <v>5950.64</v>
      </c>
      <c r="AS18" s="225">
        <v>0</v>
      </c>
      <c r="AT18" s="25">
        <v>800</v>
      </c>
      <c r="AU18" s="229">
        <v>0</v>
      </c>
      <c r="AV18" s="274">
        <f t="shared" si="12"/>
        <v>5150.6400000000003</v>
      </c>
      <c r="AW18" s="234">
        <f>SUM(K18*80%)</f>
        <v>3600</v>
      </c>
      <c r="AX18" s="217">
        <f t="shared" si="5"/>
        <v>1550.6400000000003</v>
      </c>
      <c r="AY18" s="239">
        <f t="shared" si="6"/>
        <v>0</v>
      </c>
      <c r="AZ18" s="101" t="s">
        <v>97</v>
      </c>
    </row>
    <row r="19" spans="1:120" ht="12" customHeight="1">
      <c r="A19" s="48" t="s">
        <v>98</v>
      </c>
      <c r="B19" s="38" t="s">
        <v>99</v>
      </c>
      <c r="C19" s="41" t="s">
        <v>100</v>
      </c>
      <c r="D19" s="42">
        <v>44855</v>
      </c>
      <c r="E19" s="62"/>
      <c r="F19" s="43">
        <v>20002038203486</v>
      </c>
      <c r="G19" s="203" t="s">
        <v>61</v>
      </c>
      <c r="H19" s="125">
        <f t="shared" si="0"/>
        <v>2580</v>
      </c>
      <c r="I19" s="7">
        <f t="shared" si="1"/>
        <v>860</v>
      </c>
      <c r="J19" s="7">
        <f t="shared" si="2"/>
        <v>860</v>
      </c>
      <c r="K19" s="270">
        <v>4300</v>
      </c>
      <c r="L19" s="48">
        <v>28</v>
      </c>
      <c r="M19" s="113">
        <v>3</v>
      </c>
      <c r="N19" s="12">
        <v>0</v>
      </c>
      <c r="O19" s="114">
        <v>0</v>
      </c>
      <c r="P19" s="12">
        <v>0</v>
      </c>
      <c r="Q19" s="106">
        <f>L19+M19+N19+O19+P19</f>
        <v>31</v>
      </c>
      <c r="R19" s="137">
        <v>0</v>
      </c>
      <c r="S19" s="12">
        <v>0</v>
      </c>
      <c r="T19" s="12">
        <v>0</v>
      </c>
      <c r="U19" s="109">
        <v>0</v>
      </c>
      <c r="V19" s="107">
        <f>K19/31*R19</f>
        <v>0</v>
      </c>
      <c r="W19" s="39">
        <f>K19/31*S19</f>
        <v>0</v>
      </c>
      <c r="X19" s="39">
        <f>K19/31*T19</f>
        <v>0</v>
      </c>
      <c r="Y19" s="39">
        <f>K19/31*U19</f>
        <v>0</v>
      </c>
      <c r="Z19" s="156">
        <f t="shared" si="3"/>
        <v>0</v>
      </c>
      <c r="AA19" s="157">
        <f t="shared" si="4"/>
        <v>31</v>
      </c>
      <c r="AB19" s="125">
        <f>K19/31*O19</f>
        <v>0</v>
      </c>
      <c r="AC19" s="7">
        <f>K19/31*P19</f>
        <v>0</v>
      </c>
      <c r="AD19" s="229">
        <f>SUM(K19/31*Q19)</f>
        <v>4300</v>
      </c>
      <c r="AE19" s="244">
        <v>13</v>
      </c>
      <c r="AF19" s="207">
        <v>12</v>
      </c>
      <c r="AG19" s="252">
        <f t="shared" si="7"/>
        <v>156</v>
      </c>
      <c r="AH19" s="95">
        <v>0</v>
      </c>
      <c r="AI19" s="207">
        <v>14</v>
      </c>
      <c r="AJ19" s="92">
        <f t="shared" si="8"/>
        <v>0</v>
      </c>
      <c r="AK19" s="256">
        <f t="shared" si="9"/>
        <v>156</v>
      </c>
      <c r="AL19" s="48">
        <v>1</v>
      </c>
      <c r="AM19" s="207">
        <v>141</v>
      </c>
      <c r="AN19" s="211">
        <f t="shared" si="10"/>
        <v>141</v>
      </c>
      <c r="AO19" s="91"/>
      <c r="AP19" s="161"/>
      <c r="AQ19" s="160">
        <v>0</v>
      </c>
      <c r="AR19" s="220">
        <f t="shared" si="11"/>
        <v>4597</v>
      </c>
      <c r="AS19" s="225">
        <v>0</v>
      </c>
      <c r="AT19" s="25">
        <v>0</v>
      </c>
      <c r="AU19" s="229">
        <v>0</v>
      </c>
      <c r="AV19" s="274">
        <f t="shared" si="12"/>
        <v>4597</v>
      </c>
      <c r="AW19" s="234">
        <f>SUM(K19*80%)</f>
        <v>3440</v>
      </c>
      <c r="AX19" s="217">
        <f t="shared" si="5"/>
        <v>1157</v>
      </c>
      <c r="AY19" s="239">
        <f t="shared" si="6"/>
        <v>0</v>
      </c>
      <c r="AZ19" s="101"/>
    </row>
    <row r="20" spans="1:120" s="182" customFormat="1" ht="12" customHeight="1">
      <c r="A20" s="164" t="s">
        <v>101</v>
      </c>
      <c r="B20" s="126"/>
      <c r="C20" s="127" t="s">
        <v>102</v>
      </c>
      <c r="D20" s="128">
        <v>46030</v>
      </c>
      <c r="E20" s="129"/>
      <c r="F20" s="130">
        <v>20029018381980</v>
      </c>
      <c r="G20" s="204" t="s">
        <v>61</v>
      </c>
      <c r="H20" s="176">
        <f t="shared" ref="H20:H21" si="13">K20*60%</f>
        <v>2100</v>
      </c>
      <c r="I20" s="166">
        <f t="shared" ref="I20:I21" si="14">K20*20%</f>
        <v>700</v>
      </c>
      <c r="J20" s="166">
        <f t="shared" ref="J20:J21" si="15">K20*20%</f>
        <v>700</v>
      </c>
      <c r="K20" s="163">
        <v>3500</v>
      </c>
      <c r="L20" s="164">
        <v>21</v>
      </c>
      <c r="M20" s="167">
        <v>3</v>
      </c>
      <c r="N20" s="168">
        <v>0</v>
      </c>
      <c r="O20" s="167">
        <v>0</v>
      </c>
      <c r="P20" s="168">
        <v>0</v>
      </c>
      <c r="Q20" s="169">
        <f>L20+M20+N20+O20+P20</f>
        <v>24</v>
      </c>
      <c r="R20" s="170">
        <v>0</v>
      </c>
      <c r="S20" s="168">
        <v>0</v>
      </c>
      <c r="T20" s="168">
        <v>0</v>
      </c>
      <c r="U20" s="171">
        <v>0</v>
      </c>
      <c r="V20" s="172">
        <f>K20/31*R20</f>
        <v>0</v>
      </c>
      <c r="W20" s="173">
        <f>K20/31*S20</f>
        <v>0</v>
      </c>
      <c r="X20" s="173">
        <f>K20/31*T20</f>
        <v>0</v>
      </c>
      <c r="Y20" s="173">
        <f>K20/31*U20</f>
        <v>0</v>
      </c>
      <c r="Z20" s="174">
        <f t="shared" ref="Z20" si="16">R20+S20+T20+U20</f>
        <v>0</v>
      </c>
      <c r="AA20" s="175">
        <f t="shared" ref="AA20" si="17">Q20+Z20</f>
        <v>24</v>
      </c>
      <c r="AB20" s="176">
        <f>K20/31*O20</f>
        <v>0</v>
      </c>
      <c r="AC20" s="166">
        <f>K20/31*P20</f>
        <v>0</v>
      </c>
      <c r="AD20" s="230">
        <f>SUM(K20/31*Q20)</f>
        <v>2709.677419354839</v>
      </c>
      <c r="AE20" s="245">
        <v>2</v>
      </c>
      <c r="AF20" s="208">
        <v>10</v>
      </c>
      <c r="AG20" s="272">
        <f t="shared" si="7"/>
        <v>20</v>
      </c>
      <c r="AH20" s="143">
        <v>0</v>
      </c>
      <c r="AI20" s="208">
        <v>12</v>
      </c>
      <c r="AJ20" s="142">
        <f t="shared" si="8"/>
        <v>0</v>
      </c>
      <c r="AK20" s="257"/>
      <c r="AL20" s="164">
        <v>0</v>
      </c>
      <c r="AM20" s="208">
        <v>115</v>
      </c>
      <c r="AN20" s="212">
        <f t="shared" si="10"/>
        <v>0</v>
      </c>
      <c r="AO20" s="165"/>
      <c r="AP20" s="177"/>
      <c r="AQ20" s="178">
        <v>0</v>
      </c>
      <c r="AR20" s="221">
        <f>SUM(AD20+AK20+AN20+AO20+AP20+AQ20)</f>
        <v>2709.677419354839</v>
      </c>
      <c r="AS20" s="226">
        <v>0</v>
      </c>
      <c r="AT20" s="179">
        <v>426</v>
      </c>
      <c r="AU20" s="230">
        <v>0</v>
      </c>
      <c r="AV20" s="274">
        <f t="shared" ref="AV20" si="18">AR20-AS20-AT20-AU20</f>
        <v>2283.677419354839</v>
      </c>
      <c r="AW20" s="235">
        <f t="shared" ref="AW20:AW21" si="19">SUM(K20*80%)</f>
        <v>2800</v>
      </c>
      <c r="AX20" s="218">
        <f t="shared" ref="AX20:AX21" si="20">AV20-AW20</f>
        <v>-516.322580645161</v>
      </c>
      <c r="AY20" s="240">
        <f t="shared" ref="AY20:AY21" si="21">+AV20-AW20-AX20</f>
        <v>0</v>
      </c>
      <c r="AZ20" s="180"/>
      <c r="BA20" s="181"/>
      <c r="BB20" s="181"/>
      <c r="BC20" s="181"/>
      <c r="BD20" s="181"/>
      <c r="BE20" s="181"/>
      <c r="BF20" s="181"/>
      <c r="BG20" s="181"/>
    </row>
    <row r="21" spans="1:120" ht="12" customHeight="1">
      <c r="A21" s="48" t="s">
        <v>103</v>
      </c>
      <c r="B21" s="38" t="s">
        <v>104</v>
      </c>
      <c r="C21" s="41" t="s">
        <v>105</v>
      </c>
      <c r="D21" s="42">
        <v>43653</v>
      </c>
      <c r="E21" s="62"/>
      <c r="F21" s="43">
        <v>10001066217554</v>
      </c>
      <c r="G21" s="203" t="s">
        <v>61</v>
      </c>
      <c r="H21" s="125">
        <f t="shared" si="13"/>
        <v>2700</v>
      </c>
      <c r="I21" s="7">
        <f t="shared" si="14"/>
        <v>900</v>
      </c>
      <c r="J21" s="7">
        <f t="shared" si="15"/>
        <v>900</v>
      </c>
      <c r="K21" s="270">
        <v>4500</v>
      </c>
      <c r="L21" s="48">
        <v>14</v>
      </c>
      <c r="M21" s="113">
        <v>2</v>
      </c>
      <c r="N21" s="12">
        <v>0</v>
      </c>
      <c r="O21" s="114">
        <v>0</v>
      </c>
      <c r="P21" s="12">
        <v>0</v>
      </c>
      <c r="Q21" s="106">
        <f>L21+M21+N21+O21+P21</f>
        <v>16</v>
      </c>
      <c r="R21" s="137">
        <v>15</v>
      </c>
      <c r="S21" s="12">
        <v>0</v>
      </c>
      <c r="T21" s="12">
        <v>0</v>
      </c>
      <c r="U21" s="109">
        <v>0</v>
      </c>
      <c r="V21" s="107">
        <f>K21/31*R21</f>
        <v>2177.4193548387098</v>
      </c>
      <c r="W21" s="39">
        <f>K21/31*S21</f>
        <v>0</v>
      </c>
      <c r="X21" s="39">
        <f>K21/31*T21</f>
        <v>0</v>
      </c>
      <c r="Y21" s="39">
        <f>K21/31*U21</f>
        <v>0</v>
      </c>
      <c r="Z21" s="156">
        <f t="shared" si="3"/>
        <v>15</v>
      </c>
      <c r="AA21" s="157">
        <f t="shared" si="4"/>
        <v>31</v>
      </c>
      <c r="AB21" s="125">
        <f>K21/31*O21</f>
        <v>0</v>
      </c>
      <c r="AC21" s="7">
        <f>K21/31*P21</f>
        <v>0</v>
      </c>
      <c r="AD21" s="229">
        <f>SUM(K21/31*Q21)</f>
        <v>2322.5806451612902</v>
      </c>
      <c r="AE21" s="244">
        <v>4</v>
      </c>
      <c r="AF21" s="207">
        <v>12</v>
      </c>
      <c r="AG21" s="252">
        <f t="shared" si="7"/>
        <v>48</v>
      </c>
      <c r="AH21" s="95">
        <v>0</v>
      </c>
      <c r="AI21" s="207">
        <v>15</v>
      </c>
      <c r="AJ21" s="92">
        <f t="shared" si="8"/>
        <v>0</v>
      </c>
      <c r="AK21" s="256">
        <f t="shared" si="9"/>
        <v>48</v>
      </c>
      <c r="AL21" s="48">
        <v>1</v>
      </c>
      <c r="AM21" s="207">
        <v>148</v>
      </c>
      <c r="AN21" s="211">
        <f t="shared" si="10"/>
        <v>148</v>
      </c>
      <c r="AO21" s="91"/>
      <c r="AP21" s="161"/>
      <c r="AQ21" s="160">
        <v>0</v>
      </c>
      <c r="AR21" s="220">
        <f t="shared" si="11"/>
        <v>2518.5806451612902</v>
      </c>
      <c r="AS21" s="225">
        <v>0</v>
      </c>
      <c r="AT21" s="25">
        <v>0</v>
      </c>
      <c r="AU21" s="229">
        <v>0</v>
      </c>
      <c r="AV21" s="274">
        <f t="shared" si="12"/>
        <v>2518.5806451612902</v>
      </c>
      <c r="AW21" s="234">
        <f t="shared" si="19"/>
        <v>3600</v>
      </c>
      <c r="AX21" s="217">
        <f t="shared" si="20"/>
        <v>-1081.4193548387098</v>
      </c>
      <c r="AY21" s="239">
        <f t="shared" si="21"/>
        <v>0</v>
      </c>
      <c r="AZ21" s="117"/>
    </row>
    <row r="22" spans="1:120" ht="11.25" customHeight="1">
      <c r="A22" s="48" t="s">
        <v>106</v>
      </c>
      <c r="B22" s="38" t="s">
        <v>107</v>
      </c>
      <c r="C22" s="41" t="s">
        <v>108</v>
      </c>
      <c r="D22" s="42">
        <v>42956</v>
      </c>
      <c r="E22" s="62"/>
      <c r="F22" s="43">
        <v>10029036003822</v>
      </c>
      <c r="G22" s="203" t="s">
        <v>61</v>
      </c>
      <c r="H22" s="125">
        <f>K22*60%</f>
        <v>2700</v>
      </c>
      <c r="I22" s="7">
        <f t="shared" si="1"/>
        <v>900</v>
      </c>
      <c r="J22" s="7">
        <f t="shared" si="2"/>
        <v>900</v>
      </c>
      <c r="K22" s="270">
        <v>4500</v>
      </c>
      <c r="L22" s="48">
        <v>28</v>
      </c>
      <c r="M22" s="113">
        <v>3</v>
      </c>
      <c r="N22" s="12">
        <v>0</v>
      </c>
      <c r="O22" s="114">
        <v>0</v>
      </c>
      <c r="P22" s="12">
        <v>0</v>
      </c>
      <c r="Q22" s="106">
        <f>L22+M22+N22+O22+P22</f>
        <v>31</v>
      </c>
      <c r="R22" s="137">
        <v>0</v>
      </c>
      <c r="S22" s="12">
        <v>0</v>
      </c>
      <c r="T22" s="12">
        <v>0</v>
      </c>
      <c r="U22" s="109">
        <v>0</v>
      </c>
      <c r="V22" s="107">
        <f>K22/31*R22</f>
        <v>0</v>
      </c>
      <c r="W22" s="39">
        <f>K22/31*S22</f>
        <v>0</v>
      </c>
      <c r="X22" s="39">
        <f>K22/31*T22</f>
        <v>0</v>
      </c>
      <c r="Y22" s="39">
        <f>K22/31*U22</f>
        <v>0</v>
      </c>
      <c r="Z22" s="156">
        <f t="shared" si="3"/>
        <v>0</v>
      </c>
      <c r="AA22" s="157">
        <f t="shared" si="4"/>
        <v>31</v>
      </c>
      <c r="AB22" s="125">
        <f>K22/31*O22</f>
        <v>0</v>
      </c>
      <c r="AC22" s="7">
        <f>K22/31*P22</f>
        <v>0</v>
      </c>
      <c r="AD22" s="229">
        <f>SUM(K22/31*Q22)</f>
        <v>4500</v>
      </c>
      <c r="AE22" s="244">
        <v>1</v>
      </c>
      <c r="AF22" s="207">
        <v>12</v>
      </c>
      <c r="AG22" s="252">
        <f t="shared" si="7"/>
        <v>12</v>
      </c>
      <c r="AH22" s="95">
        <v>0</v>
      </c>
      <c r="AI22" s="207">
        <v>15</v>
      </c>
      <c r="AJ22" s="92">
        <f t="shared" si="8"/>
        <v>0</v>
      </c>
      <c r="AK22" s="256">
        <f t="shared" si="9"/>
        <v>12</v>
      </c>
      <c r="AL22" s="48">
        <v>2</v>
      </c>
      <c r="AM22" s="207">
        <v>148</v>
      </c>
      <c r="AN22" s="211">
        <f t="shared" si="10"/>
        <v>296</v>
      </c>
      <c r="AO22" s="91"/>
      <c r="AP22" s="161"/>
      <c r="AQ22" s="160">
        <v>0</v>
      </c>
      <c r="AR22" s="220">
        <f t="shared" si="11"/>
        <v>4808</v>
      </c>
      <c r="AS22" s="225">
        <v>0</v>
      </c>
      <c r="AT22" s="25">
        <v>0</v>
      </c>
      <c r="AU22" s="229">
        <v>0</v>
      </c>
      <c r="AV22" s="274">
        <f t="shared" si="12"/>
        <v>4808</v>
      </c>
      <c r="AW22" s="234">
        <f>SUM(K22*80%)</f>
        <v>3600</v>
      </c>
      <c r="AX22" s="217">
        <f t="shared" si="5"/>
        <v>1208</v>
      </c>
      <c r="AY22" s="239">
        <f t="shared" si="6"/>
        <v>0</v>
      </c>
      <c r="AZ22" s="112"/>
    </row>
    <row r="23" spans="1:120" ht="10.5" customHeight="1">
      <c r="A23" s="48" t="s">
        <v>109</v>
      </c>
      <c r="B23" s="38" t="s">
        <v>110</v>
      </c>
      <c r="C23" s="41" t="s">
        <v>111</v>
      </c>
      <c r="D23" s="42">
        <v>44797</v>
      </c>
      <c r="E23" s="62"/>
      <c r="F23" s="43">
        <v>20028129188803</v>
      </c>
      <c r="G23" s="203" t="s">
        <v>61</v>
      </c>
      <c r="H23" s="125">
        <f t="shared" si="0"/>
        <v>2580</v>
      </c>
      <c r="I23" s="7">
        <f t="shared" si="1"/>
        <v>860</v>
      </c>
      <c r="J23" s="7">
        <f t="shared" si="2"/>
        <v>860</v>
      </c>
      <c r="K23" s="270">
        <v>4300</v>
      </c>
      <c r="L23" s="48">
        <v>28</v>
      </c>
      <c r="M23" s="113">
        <v>3</v>
      </c>
      <c r="N23" s="12">
        <v>0</v>
      </c>
      <c r="O23" s="114">
        <v>0</v>
      </c>
      <c r="P23" s="12">
        <v>0</v>
      </c>
      <c r="Q23" s="106">
        <f>L23+M23+N23+O23+P23</f>
        <v>31</v>
      </c>
      <c r="R23" s="137">
        <v>0</v>
      </c>
      <c r="S23" s="12">
        <v>0</v>
      </c>
      <c r="T23" s="12">
        <v>0</v>
      </c>
      <c r="U23" s="109">
        <v>0</v>
      </c>
      <c r="V23" s="107">
        <f>K23/31*R23</f>
        <v>0</v>
      </c>
      <c r="W23" s="39">
        <f>K23/31*S23</f>
        <v>0</v>
      </c>
      <c r="X23" s="39">
        <f>K23/31*T23</f>
        <v>0</v>
      </c>
      <c r="Y23" s="39">
        <f>K23/31*U23</f>
        <v>0</v>
      </c>
      <c r="Z23" s="156">
        <f t="shared" si="3"/>
        <v>0</v>
      </c>
      <c r="AA23" s="157">
        <f t="shared" si="4"/>
        <v>31</v>
      </c>
      <c r="AB23" s="125">
        <f>K23/31*O23</f>
        <v>0</v>
      </c>
      <c r="AC23" s="7">
        <f>K23/31*P23</f>
        <v>0</v>
      </c>
      <c r="AD23" s="229">
        <f>SUM(K23/31*Q23)</f>
        <v>4300</v>
      </c>
      <c r="AE23" s="244">
        <v>29</v>
      </c>
      <c r="AF23" s="207">
        <v>12</v>
      </c>
      <c r="AG23" s="252">
        <f t="shared" si="7"/>
        <v>348</v>
      </c>
      <c r="AH23" s="95">
        <v>0</v>
      </c>
      <c r="AI23" s="207">
        <v>14</v>
      </c>
      <c r="AJ23" s="92">
        <f t="shared" si="8"/>
        <v>0</v>
      </c>
      <c r="AK23" s="256">
        <f t="shared" si="9"/>
        <v>348</v>
      </c>
      <c r="AL23" s="48">
        <v>2</v>
      </c>
      <c r="AM23" s="207">
        <v>141</v>
      </c>
      <c r="AN23" s="211">
        <f t="shared" si="10"/>
        <v>282</v>
      </c>
      <c r="AO23" s="91">
        <v>160</v>
      </c>
      <c r="AP23" s="161"/>
      <c r="AQ23" s="160">
        <v>0</v>
      </c>
      <c r="AR23" s="220">
        <f t="shared" si="11"/>
        <v>5090</v>
      </c>
      <c r="AS23" s="225">
        <v>0</v>
      </c>
      <c r="AT23" s="25">
        <v>0</v>
      </c>
      <c r="AU23" s="229">
        <v>0</v>
      </c>
      <c r="AV23" s="274">
        <f t="shared" si="12"/>
        <v>5090</v>
      </c>
      <c r="AW23" s="234">
        <f>SUM(K23*80%)</f>
        <v>3440</v>
      </c>
      <c r="AX23" s="217">
        <f t="shared" si="5"/>
        <v>1650</v>
      </c>
      <c r="AY23" s="239">
        <f t="shared" si="6"/>
        <v>0</v>
      </c>
      <c r="AZ23" s="101"/>
    </row>
    <row r="24" spans="1:120" ht="10.5" customHeight="1">
      <c r="A24" s="48" t="s">
        <v>112</v>
      </c>
      <c r="B24" s="73" t="s">
        <v>113</v>
      </c>
      <c r="C24" s="74" t="s">
        <v>114</v>
      </c>
      <c r="D24" s="64">
        <v>45287</v>
      </c>
      <c r="E24" s="62"/>
      <c r="F24" s="43">
        <v>41023128217554</v>
      </c>
      <c r="G24" s="203" t="s">
        <v>61</v>
      </c>
      <c r="H24" s="125">
        <f>K24*60%</f>
        <v>2520</v>
      </c>
      <c r="I24" s="7">
        <f>K24*20%</f>
        <v>840</v>
      </c>
      <c r="J24" s="7">
        <f>K24*20%</f>
        <v>840</v>
      </c>
      <c r="K24" s="270">
        <v>4200</v>
      </c>
      <c r="L24" s="48">
        <v>28</v>
      </c>
      <c r="M24" s="113">
        <v>3</v>
      </c>
      <c r="N24" s="12">
        <v>0</v>
      </c>
      <c r="O24" s="114">
        <v>0</v>
      </c>
      <c r="P24" s="12">
        <v>0</v>
      </c>
      <c r="Q24" s="106">
        <f>L24+M24+N24+O24+P24</f>
        <v>31</v>
      </c>
      <c r="R24" s="137">
        <v>0</v>
      </c>
      <c r="S24" s="12">
        <v>0</v>
      </c>
      <c r="T24" s="12">
        <v>0</v>
      </c>
      <c r="U24" s="109">
        <v>0</v>
      </c>
      <c r="V24" s="107">
        <f>K24/31*R24</f>
        <v>0</v>
      </c>
      <c r="W24" s="39">
        <f>K24/31*S24</f>
        <v>0</v>
      </c>
      <c r="X24" s="39">
        <f>K24/31*T24</f>
        <v>0</v>
      </c>
      <c r="Y24" s="39">
        <f>K24/31*U24</f>
        <v>0</v>
      </c>
      <c r="Z24" s="156">
        <f t="shared" si="3"/>
        <v>0</v>
      </c>
      <c r="AA24" s="157">
        <f t="shared" si="4"/>
        <v>31</v>
      </c>
      <c r="AB24" s="125">
        <f>K24/31*O24</f>
        <v>0</v>
      </c>
      <c r="AC24" s="7">
        <f>K24/31*P24</f>
        <v>0</v>
      </c>
      <c r="AD24" s="229">
        <f>SUM(K24/31*Q24)</f>
        <v>4200</v>
      </c>
      <c r="AE24" s="244">
        <v>18</v>
      </c>
      <c r="AF24" s="207">
        <v>12</v>
      </c>
      <c r="AG24" s="252">
        <f t="shared" si="7"/>
        <v>216</v>
      </c>
      <c r="AH24" s="95">
        <v>0</v>
      </c>
      <c r="AI24" s="207">
        <v>14</v>
      </c>
      <c r="AJ24" s="92">
        <f t="shared" si="8"/>
        <v>0</v>
      </c>
      <c r="AK24" s="256">
        <f t="shared" si="9"/>
        <v>216</v>
      </c>
      <c r="AL24" s="48">
        <v>2</v>
      </c>
      <c r="AM24" s="207">
        <v>138</v>
      </c>
      <c r="AN24" s="211">
        <f t="shared" si="10"/>
        <v>276</v>
      </c>
      <c r="AO24" s="91"/>
      <c r="AP24" s="161"/>
      <c r="AQ24" s="160">
        <v>0</v>
      </c>
      <c r="AR24" s="220">
        <f t="shared" si="11"/>
        <v>4692</v>
      </c>
      <c r="AS24" s="225">
        <v>0</v>
      </c>
      <c r="AT24" s="25">
        <v>0</v>
      </c>
      <c r="AU24" s="229">
        <v>0</v>
      </c>
      <c r="AV24" s="274">
        <f t="shared" si="12"/>
        <v>4692</v>
      </c>
      <c r="AW24" s="234">
        <f>SUM(K24*80%)</f>
        <v>3360</v>
      </c>
      <c r="AX24" s="217">
        <f t="shared" si="5"/>
        <v>1332</v>
      </c>
      <c r="AY24" s="239">
        <f t="shared" si="6"/>
        <v>0</v>
      </c>
      <c r="AZ24" s="102"/>
    </row>
    <row r="25" spans="1:120" ht="10.5" customHeight="1">
      <c r="A25" s="48" t="s">
        <v>115</v>
      </c>
      <c r="B25" s="38" t="s">
        <v>116</v>
      </c>
      <c r="C25" s="41" t="s">
        <v>117</v>
      </c>
      <c r="D25" s="42">
        <v>43079</v>
      </c>
      <c r="E25" s="62"/>
      <c r="F25" s="43">
        <v>10022028260817</v>
      </c>
      <c r="G25" s="203" t="s">
        <v>61</v>
      </c>
      <c r="H25" s="125">
        <f t="shared" si="0"/>
        <v>2700</v>
      </c>
      <c r="I25" s="7">
        <f t="shared" si="1"/>
        <v>900</v>
      </c>
      <c r="J25" s="7">
        <f t="shared" si="2"/>
        <v>900</v>
      </c>
      <c r="K25" s="270">
        <v>4500</v>
      </c>
      <c r="L25" s="48">
        <v>20</v>
      </c>
      <c r="M25" s="113">
        <v>2</v>
      </c>
      <c r="N25" s="12">
        <v>0</v>
      </c>
      <c r="O25" s="114">
        <v>0</v>
      </c>
      <c r="P25" s="12">
        <v>0</v>
      </c>
      <c r="Q25" s="106">
        <f>L25+M25+N25+O25+P25</f>
        <v>22</v>
      </c>
      <c r="R25" s="137">
        <v>0</v>
      </c>
      <c r="S25" s="124">
        <v>9</v>
      </c>
      <c r="T25" s="12">
        <v>0</v>
      </c>
      <c r="U25" s="109">
        <v>0</v>
      </c>
      <c r="V25" s="107">
        <f>K25/31*R25</f>
        <v>0</v>
      </c>
      <c r="W25" s="39">
        <f>K25/31*S25</f>
        <v>1306.4516129032259</v>
      </c>
      <c r="X25" s="39">
        <f>K25/31*T25</f>
        <v>0</v>
      </c>
      <c r="Y25" s="39">
        <f>K25/31*U25</f>
        <v>0</v>
      </c>
      <c r="Z25" s="156">
        <f t="shared" si="3"/>
        <v>9</v>
      </c>
      <c r="AA25" s="157">
        <f t="shared" si="4"/>
        <v>31</v>
      </c>
      <c r="AB25" s="125">
        <f>K25/31*O25</f>
        <v>0</v>
      </c>
      <c r="AC25" s="7">
        <f>K25/31*P25</f>
        <v>0</v>
      </c>
      <c r="AD25" s="229">
        <f>SUM(K25/31*Q25)</f>
        <v>3193.5483870967741</v>
      </c>
      <c r="AE25" s="244">
        <v>9</v>
      </c>
      <c r="AF25" s="207">
        <v>12</v>
      </c>
      <c r="AG25" s="252">
        <f t="shared" si="7"/>
        <v>108</v>
      </c>
      <c r="AH25" s="95">
        <v>0</v>
      </c>
      <c r="AI25" s="207">
        <v>15</v>
      </c>
      <c r="AJ25" s="92">
        <f t="shared" si="8"/>
        <v>0</v>
      </c>
      <c r="AK25" s="256">
        <f t="shared" si="9"/>
        <v>108</v>
      </c>
      <c r="AL25" s="48">
        <v>2</v>
      </c>
      <c r="AM25" s="207">
        <v>148</v>
      </c>
      <c r="AN25" s="211">
        <f t="shared" si="10"/>
        <v>296</v>
      </c>
      <c r="AO25" s="91"/>
      <c r="AP25" s="161"/>
      <c r="AQ25" s="160">
        <v>0</v>
      </c>
      <c r="AR25" s="220">
        <f t="shared" si="11"/>
        <v>3597.5483870967741</v>
      </c>
      <c r="AS25" s="225">
        <v>0</v>
      </c>
      <c r="AT25" s="25">
        <v>0</v>
      </c>
      <c r="AU25" s="229">
        <v>0</v>
      </c>
      <c r="AV25" s="274">
        <f t="shared" si="12"/>
        <v>3597.5483870967741</v>
      </c>
      <c r="AW25" s="234">
        <f>SUM(K25*80%)</f>
        <v>3600</v>
      </c>
      <c r="AX25" s="217">
        <f t="shared" si="5"/>
        <v>-2.4516129032258505</v>
      </c>
      <c r="AY25" s="239">
        <f t="shared" si="6"/>
        <v>0</v>
      </c>
      <c r="AZ25" s="101"/>
    </row>
    <row r="26" spans="1:120" ht="10.5" customHeight="1">
      <c r="A26" s="48" t="s">
        <v>118</v>
      </c>
      <c r="B26" s="38" t="s">
        <v>119</v>
      </c>
      <c r="C26" s="41" t="s">
        <v>120</v>
      </c>
      <c r="D26" s="42">
        <v>44845</v>
      </c>
      <c r="E26" s="62"/>
      <c r="F26" s="43">
        <v>10001067941432</v>
      </c>
      <c r="G26" s="203" t="s">
        <v>61</v>
      </c>
      <c r="H26" s="125">
        <f t="shared" si="0"/>
        <v>2580</v>
      </c>
      <c r="I26" s="7">
        <f t="shared" si="1"/>
        <v>860</v>
      </c>
      <c r="J26" s="7">
        <f t="shared" si="2"/>
        <v>860</v>
      </c>
      <c r="K26" s="270">
        <v>4300</v>
      </c>
      <c r="L26" s="48">
        <v>16</v>
      </c>
      <c r="M26" s="113">
        <v>1</v>
      </c>
      <c r="N26" s="12">
        <v>0</v>
      </c>
      <c r="O26" s="114">
        <v>0</v>
      </c>
      <c r="P26" s="12">
        <v>0</v>
      </c>
      <c r="Q26" s="106">
        <f>L26+M26+N26+O26+P26</f>
        <v>17</v>
      </c>
      <c r="R26" s="137">
        <v>0</v>
      </c>
      <c r="S26" s="124">
        <v>14</v>
      </c>
      <c r="T26" s="12">
        <v>0</v>
      </c>
      <c r="U26" s="109">
        <v>0</v>
      </c>
      <c r="V26" s="107">
        <f>K26/31*R26</f>
        <v>0</v>
      </c>
      <c r="W26" s="39">
        <f>K26/31*S26</f>
        <v>1941.9354838709678</v>
      </c>
      <c r="X26" s="39">
        <f>K26/31*T26</f>
        <v>0</v>
      </c>
      <c r="Y26" s="39">
        <f>K26/31*U26</f>
        <v>0</v>
      </c>
      <c r="Z26" s="156">
        <f t="shared" si="3"/>
        <v>14</v>
      </c>
      <c r="AA26" s="157">
        <f t="shared" si="4"/>
        <v>31</v>
      </c>
      <c r="AB26" s="125">
        <f>K26/31*O26</f>
        <v>0</v>
      </c>
      <c r="AC26" s="7">
        <f>K26/31*P26</f>
        <v>0</v>
      </c>
      <c r="AD26" s="229">
        <f>SUM(K26/31*Q26)</f>
        <v>2358.0645161290322</v>
      </c>
      <c r="AE26" s="244">
        <v>19</v>
      </c>
      <c r="AF26" s="207">
        <v>12</v>
      </c>
      <c r="AG26" s="252">
        <f t="shared" si="7"/>
        <v>228</v>
      </c>
      <c r="AH26" s="95">
        <v>0</v>
      </c>
      <c r="AI26" s="207">
        <v>14</v>
      </c>
      <c r="AJ26" s="92">
        <f t="shared" si="8"/>
        <v>0</v>
      </c>
      <c r="AK26" s="256">
        <f t="shared" si="9"/>
        <v>228</v>
      </c>
      <c r="AL26" s="48">
        <v>2</v>
      </c>
      <c r="AM26" s="207">
        <v>141</v>
      </c>
      <c r="AN26" s="211">
        <f t="shared" si="10"/>
        <v>282</v>
      </c>
      <c r="AO26" s="91"/>
      <c r="AP26" s="161"/>
      <c r="AQ26" s="160">
        <v>0</v>
      </c>
      <c r="AR26" s="220">
        <f t="shared" si="11"/>
        <v>2868.0645161290322</v>
      </c>
      <c r="AS26" s="225">
        <v>0</v>
      </c>
      <c r="AT26" s="25">
        <v>0</v>
      </c>
      <c r="AU26" s="229">
        <v>0</v>
      </c>
      <c r="AV26" s="274">
        <f t="shared" si="12"/>
        <v>2868.0645161290322</v>
      </c>
      <c r="AW26" s="234">
        <f>SUM(K26*80%)</f>
        <v>3440</v>
      </c>
      <c r="AX26" s="217">
        <f t="shared" si="5"/>
        <v>-571.9354838709678</v>
      </c>
      <c r="AY26" s="239">
        <f t="shared" si="6"/>
        <v>0</v>
      </c>
      <c r="AZ26" s="111" t="s">
        <v>90</v>
      </c>
    </row>
    <row r="27" spans="1:120" ht="10.5" customHeight="1">
      <c r="A27" s="48" t="s">
        <v>121</v>
      </c>
      <c r="B27" s="44" t="s">
        <v>122</v>
      </c>
      <c r="C27" s="41" t="s">
        <v>123</v>
      </c>
      <c r="D27" s="42">
        <v>45276</v>
      </c>
      <c r="E27" s="62"/>
      <c r="F27" s="43">
        <v>10030109962464</v>
      </c>
      <c r="G27" s="203" t="s">
        <v>61</v>
      </c>
      <c r="H27" s="125">
        <f>K27*60%</f>
        <v>2520</v>
      </c>
      <c r="I27" s="7">
        <f>K27*20%</f>
        <v>840</v>
      </c>
      <c r="J27" s="7">
        <f>K27*20%</f>
        <v>840</v>
      </c>
      <c r="K27" s="270">
        <v>4200</v>
      </c>
      <c r="L27" s="48">
        <v>27</v>
      </c>
      <c r="M27" s="113">
        <v>4</v>
      </c>
      <c r="N27" s="12">
        <v>0</v>
      </c>
      <c r="O27" s="114">
        <v>0</v>
      </c>
      <c r="P27" s="12">
        <v>0</v>
      </c>
      <c r="Q27" s="106">
        <f>L27+M27+N27+O27+P27</f>
        <v>31</v>
      </c>
      <c r="R27" s="137">
        <v>0</v>
      </c>
      <c r="S27" s="12">
        <v>0</v>
      </c>
      <c r="T27" s="12">
        <v>0</v>
      </c>
      <c r="U27" s="109">
        <v>0</v>
      </c>
      <c r="V27" s="107">
        <f>K27/31*R27</f>
        <v>0</v>
      </c>
      <c r="W27" s="39">
        <f>K27/31*S27</f>
        <v>0</v>
      </c>
      <c r="X27" s="39">
        <f>K27/31*T27</f>
        <v>0</v>
      </c>
      <c r="Y27" s="39">
        <f>K27/31*U27</f>
        <v>0</v>
      </c>
      <c r="Z27" s="156">
        <f t="shared" si="3"/>
        <v>0</v>
      </c>
      <c r="AA27" s="157">
        <f t="shared" si="4"/>
        <v>31</v>
      </c>
      <c r="AB27" s="125">
        <f>K27/31*O27</f>
        <v>0</v>
      </c>
      <c r="AC27" s="7">
        <f>K27/31*P27</f>
        <v>0</v>
      </c>
      <c r="AD27" s="229">
        <f>SUM(K27/31*Q27)</f>
        <v>4200</v>
      </c>
      <c r="AE27" s="244">
        <v>20</v>
      </c>
      <c r="AF27" s="207">
        <v>12</v>
      </c>
      <c r="AG27" s="252">
        <f t="shared" si="7"/>
        <v>240</v>
      </c>
      <c r="AH27" s="95">
        <v>0</v>
      </c>
      <c r="AI27" s="207">
        <v>14</v>
      </c>
      <c r="AJ27" s="92">
        <f t="shared" si="8"/>
        <v>0</v>
      </c>
      <c r="AK27" s="256">
        <f t="shared" si="9"/>
        <v>240</v>
      </c>
      <c r="AL27" s="48">
        <v>1</v>
      </c>
      <c r="AM27" s="207">
        <v>138</v>
      </c>
      <c r="AN27" s="211">
        <f t="shared" si="10"/>
        <v>138</v>
      </c>
      <c r="AO27" s="91"/>
      <c r="AP27" s="161"/>
      <c r="AQ27" s="160">
        <v>0</v>
      </c>
      <c r="AR27" s="220">
        <f t="shared" si="11"/>
        <v>4578</v>
      </c>
      <c r="AS27" s="225">
        <v>0</v>
      </c>
      <c r="AT27" s="25">
        <v>0</v>
      </c>
      <c r="AU27" s="229">
        <v>0</v>
      </c>
      <c r="AV27" s="275">
        <f t="shared" si="12"/>
        <v>4578</v>
      </c>
      <c r="AW27" s="234">
        <f>SUM(K27*80%)</f>
        <v>3360</v>
      </c>
      <c r="AX27" s="217">
        <f t="shared" si="5"/>
        <v>1218</v>
      </c>
      <c r="AY27" s="239">
        <f t="shared" si="6"/>
        <v>0</v>
      </c>
      <c r="AZ27" s="102"/>
    </row>
    <row r="28" spans="1:120" ht="12" customHeight="1">
      <c r="A28" s="48" t="s">
        <v>124</v>
      </c>
      <c r="B28" s="38" t="s">
        <v>125</v>
      </c>
      <c r="C28" s="41" t="s">
        <v>126</v>
      </c>
      <c r="D28" s="42">
        <v>42076</v>
      </c>
      <c r="E28" s="62"/>
      <c r="F28" s="43">
        <v>10010018229793</v>
      </c>
      <c r="G28" s="203" t="s">
        <v>61</v>
      </c>
      <c r="H28" s="125">
        <f t="shared" si="0"/>
        <v>2700</v>
      </c>
      <c r="I28" s="7">
        <f t="shared" si="1"/>
        <v>900</v>
      </c>
      <c r="J28" s="7">
        <f t="shared" si="2"/>
        <v>900</v>
      </c>
      <c r="K28" s="270">
        <v>4500</v>
      </c>
      <c r="L28" s="48">
        <v>27</v>
      </c>
      <c r="M28" s="113">
        <v>4</v>
      </c>
      <c r="N28" s="12">
        <v>0</v>
      </c>
      <c r="O28" s="114">
        <v>0</v>
      </c>
      <c r="P28" s="12">
        <v>0</v>
      </c>
      <c r="Q28" s="106">
        <f>L28+M28+N28+O28+P28</f>
        <v>31</v>
      </c>
      <c r="R28" s="137">
        <v>0</v>
      </c>
      <c r="S28" s="12">
        <v>0</v>
      </c>
      <c r="T28" s="12">
        <v>0</v>
      </c>
      <c r="U28" s="109">
        <v>0</v>
      </c>
      <c r="V28" s="107">
        <f>K28/31*R28</f>
        <v>0</v>
      </c>
      <c r="W28" s="39">
        <f>K28/31*S28</f>
        <v>0</v>
      </c>
      <c r="X28" s="39">
        <f>K28/31*T28</f>
        <v>0</v>
      </c>
      <c r="Y28" s="39">
        <f>K28/31*U28</f>
        <v>0</v>
      </c>
      <c r="Z28" s="156">
        <f t="shared" si="3"/>
        <v>0</v>
      </c>
      <c r="AA28" s="157">
        <f t="shared" si="4"/>
        <v>31</v>
      </c>
      <c r="AB28" s="125">
        <f>K28/31*O28</f>
        <v>0</v>
      </c>
      <c r="AC28" s="7">
        <f>K28/31*P28</f>
        <v>0</v>
      </c>
      <c r="AD28" s="229">
        <f>SUM(K28/31*Q28)</f>
        <v>4500</v>
      </c>
      <c r="AE28" s="244">
        <v>18</v>
      </c>
      <c r="AF28" s="207">
        <v>12</v>
      </c>
      <c r="AG28" s="252">
        <f t="shared" si="7"/>
        <v>216</v>
      </c>
      <c r="AH28" s="95">
        <v>0</v>
      </c>
      <c r="AI28" s="207">
        <v>15</v>
      </c>
      <c r="AJ28" s="92">
        <f t="shared" si="8"/>
        <v>0</v>
      </c>
      <c r="AK28" s="256">
        <f t="shared" si="9"/>
        <v>216</v>
      </c>
      <c r="AL28" s="48">
        <v>1</v>
      </c>
      <c r="AM28" s="207">
        <v>148</v>
      </c>
      <c r="AN28" s="211">
        <f t="shared" si="10"/>
        <v>148</v>
      </c>
      <c r="AO28" s="91"/>
      <c r="AP28" s="161"/>
      <c r="AQ28" s="160">
        <v>0</v>
      </c>
      <c r="AR28" s="220">
        <f t="shared" si="11"/>
        <v>4864</v>
      </c>
      <c r="AS28" s="225">
        <v>0</v>
      </c>
      <c r="AT28" s="25">
        <v>0</v>
      </c>
      <c r="AU28" s="229">
        <v>0</v>
      </c>
      <c r="AV28" s="275">
        <f t="shared" si="12"/>
        <v>4864</v>
      </c>
      <c r="AW28" s="234">
        <f>SUM(K28*80%)</f>
        <v>3600</v>
      </c>
      <c r="AX28" s="217">
        <f t="shared" si="5"/>
        <v>1264</v>
      </c>
      <c r="AY28" s="239">
        <f t="shared" si="6"/>
        <v>0</v>
      </c>
      <c r="AZ28" s="118"/>
    </row>
    <row r="29" spans="1:120" ht="12" customHeight="1">
      <c r="A29" s="48" t="s">
        <v>127</v>
      </c>
      <c r="B29" s="75" t="s">
        <v>128</v>
      </c>
      <c r="C29" s="46" t="s">
        <v>129</v>
      </c>
      <c r="D29" s="45">
        <v>45232</v>
      </c>
      <c r="E29" s="62"/>
      <c r="F29" s="65" t="s">
        <v>130</v>
      </c>
      <c r="G29" s="203" t="s">
        <v>61</v>
      </c>
      <c r="H29" s="125">
        <f>K29*60%</f>
        <v>2520</v>
      </c>
      <c r="I29" s="7">
        <f>K29*20%</f>
        <v>840</v>
      </c>
      <c r="J29" s="7">
        <f>K29*20%</f>
        <v>840</v>
      </c>
      <c r="K29" s="270">
        <v>4200</v>
      </c>
      <c r="L29" s="48">
        <v>28</v>
      </c>
      <c r="M29" s="113">
        <v>3</v>
      </c>
      <c r="N29" s="12">
        <v>0</v>
      </c>
      <c r="O29" s="114">
        <v>0</v>
      </c>
      <c r="P29" s="12">
        <v>0</v>
      </c>
      <c r="Q29" s="106">
        <f>L29+M29+N29+O29+P29</f>
        <v>31</v>
      </c>
      <c r="R29" s="137">
        <v>0</v>
      </c>
      <c r="S29" s="12">
        <v>0</v>
      </c>
      <c r="T29" s="12">
        <v>0</v>
      </c>
      <c r="U29" s="109">
        <v>0</v>
      </c>
      <c r="V29" s="107">
        <f>K29/31*R29</f>
        <v>0</v>
      </c>
      <c r="W29" s="39">
        <f>K29/31*S29</f>
        <v>0</v>
      </c>
      <c r="X29" s="39">
        <f>K29/31*T29</f>
        <v>0</v>
      </c>
      <c r="Y29" s="39">
        <f>K29/31*U29</f>
        <v>0</v>
      </c>
      <c r="Z29" s="156">
        <f t="shared" si="3"/>
        <v>0</v>
      </c>
      <c r="AA29" s="157">
        <f t="shared" si="4"/>
        <v>31</v>
      </c>
      <c r="AB29" s="125">
        <f>K29/31*O29</f>
        <v>0</v>
      </c>
      <c r="AC29" s="7">
        <f>K29/31*P29</f>
        <v>0</v>
      </c>
      <c r="AD29" s="229">
        <f>SUM(K29/31*Q29)</f>
        <v>4200</v>
      </c>
      <c r="AE29" s="244">
        <v>9</v>
      </c>
      <c r="AF29" s="207">
        <v>12</v>
      </c>
      <c r="AG29" s="252">
        <f t="shared" si="7"/>
        <v>108</v>
      </c>
      <c r="AH29" s="95">
        <v>0</v>
      </c>
      <c r="AI29" s="207">
        <v>14</v>
      </c>
      <c r="AJ29" s="92">
        <f t="shared" si="8"/>
        <v>0</v>
      </c>
      <c r="AK29" s="256">
        <f t="shared" si="9"/>
        <v>108</v>
      </c>
      <c r="AL29" s="48">
        <v>2</v>
      </c>
      <c r="AM29" s="207">
        <v>138</v>
      </c>
      <c r="AN29" s="211">
        <f t="shared" si="10"/>
        <v>276</v>
      </c>
      <c r="AO29" s="91"/>
      <c r="AP29" s="161"/>
      <c r="AQ29" s="160">
        <v>0</v>
      </c>
      <c r="AR29" s="220">
        <f t="shared" si="11"/>
        <v>4584</v>
      </c>
      <c r="AS29" s="225">
        <v>0</v>
      </c>
      <c r="AT29" s="25">
        <v>0</v>
      </c>
      <c r="AU29" s="229">
        <v>0</v>
      </c>
      <c r="AV29" s="275">
        <f t="shared" si="12"/>
        <v>4584</v>
      </c>
      <c r="AW29" s="234">
        <f>SUM(K29*80%)</f>
        <v>3360</v>
      </c>
      <c r="AX29" s="217">
        <f t="shared" si="5"/>
        <v>1224</v>
      </c>
      <c r="AY29" s="239">
        <f t="shared" si="6"/>
        <v>0</v>
      </c>
      <c r="AZ29" s="103"/>
    </row>
    <row r="30" spans="1:120" ht="12" customHeight="1">
      <c r="A30" s="48" t="s">
        <v>131</v>
      </c>
      <c r="B30" s="38" t="s">
        <v>132</v>
      </c>
      <c r="C30" s="41" t="s">
        <v>133</v>
      </c>
      <c r="D30" s="42">
        <v>43661</v>
      </c>
      <c r="E30" s="47"/>
      <c r="F30" s="43">
        <v>10013029316206</v>
      </c>
      <c r="G30" s="203" t="s">
        <v>61</v>
      </c>
      <c r="H30" s="125">
        <f t="shared" si="0"/>
        <v>2700</v>
      </c>
      <c r="I30" s="7">
        <f t="shared" si="1"/>
        <v>900</v>
      </c>
      <c r="J30" s="7">
        <f t="shared" si="2"/>
        <v>900</v>
      </c>
      <c r="K30" s="270">
        <v>4500</v>
      </c>
      <c r="L30" s="48">
        <v>28</v>
      </c>
      <c r="M30" s="113">
        <v>3</v>
      </c>
      <c r="N30" s="12">
        <v>0</v>
      </c>
      <c r="O30" s="114">
        <v>0</v>
      </c>
      <c r="P30" s="12">
        <v>0</v>
      </c>
      <c r="Q30" s="106">
        <f>L30+M30+N30+O30+P30</f>
        <v>31</v>
      </c>
      <c r="R30" s="137">
        <v>0</v>
      </c>
      <c r="S30" s="12">
        <v>0</v>
      </c>
      <c r="T30" s="12">
        <v>0</v>
      </c>
      <c r="U30" s="109">
        <v>0</v>
      </c>
      <c r="V30" s="107">
        <f>K30/31*R30</f>
        <v>0</v>
      </c>
      <c r="W30" s="39">
        <f>K30/31*S30</f>
        <v>0</v>
      </c>
      <c r="X30" s="39">
        <f>K30/31*T30</f>
        <v>0</v>
      </c>
      <c r="Y30" s="39">
        <f>K30/31*U30</f>
        <v>0</v>
      </c>
      <c r="Z30" s="156">
        <f t="shared" si="3"/>
        <v>0</v>
      </c>
      <c r="AA30" s="157">
        <f t="shared" si="4"/>
        <v>31</v>
      </c>
      <c r="AB30" s="125">
        <f>K30/31*O30</f>
        <v>0</v>
      </c>
      <c r="AC30" s="7">
        <f>K30/31*P30</f>
        <v>0</v>
      </c>
      <c r="AD30" s="229">
        <f>SUM(K30/31*Q30)</f>
        <v>4500</v>
      </c>
      <c r="AE30" s="244">
        <v>12</v>
      </c>
      <c r="AF30" s="207">
        <v>12</v>
      </c>
      <c r="AG30" s="252">
        <f t="shared" si="7"/>
        <v>144</v>
      </c>
      <c r="AH30" s="95">
        <v>0</v>
      </c>
      <c r="AI30" s="207">
        <v>15</v>
      </c>
      <c r="AJ30" s="92">
        <f t="shared" si="8"/>
        <v>0</v>
      </c>
      <c r="AK30" s="256">
        <f t="shared" si="9"/>
        <v>144</v>
      </c>
      <c r="AL30" s="48">
        <v>2</v>
      </c>
      <c r="AM30" s="207">
        <v>148</v>
      </c>
      <c r="AN30" s="211">
        <f t="shared" si="10"/>
        <v>296</v>
      </c>
      <c r="AO30" s="91"/>
      <c r="AP30" s="161"/>
      <c r="AQ30" s="160">
        <v>0</v>
      </c>
      <c r="AR30" s="220">
        <f t="shared" si="11"/>
        <v>4940</v>
      </c>
      <c r="AS30" s="225">
        <v>0</v>
      </c>
      <c r="AT30" s="25">
        <v>0</v>
      </c>
      <c r="AU30" s="229">
        <v>0</v>
      </c>
      <c r="AV30" s="275">
        <f t="shared" si="12"/>
        <v>4940</v>
      </c>
      <c r="AW30" s="234">
        <f>SUM(K30*80%)</f>
        <v>3600</v>
      </c>
      <c r="AX30" s="217">
        <f t="shared" si="5"/>
        <v>1340</v>
      </c>
      <c r="AY30" s="239">
        <f t="shared" si="6"/>
        <v>0</v>
      </c>
      <c r="AZ30" s="119"/>
    </row>
    <row r="31" spans="1:120" ht="12" customHeight="1">
      <c r="A31" s="48" t="s">
        <v>134</v>
      </c>
      <c r="B31" s="38" t="s">
        <v>135</v>
      </c>
      <c r="C31" s="41" t="s">
        <v>136</v>
      </c>
      <c r="D31" s="42">
        <v>43650</v>
      </c>
      <c r="E31" s="47"/>
      <c r="F31" s="43">
        <v>10020038912465</v>
      </c>
      <c r="G31" s="203" t="s">
        <v>61</v>
      </c>
      <c r="H31" s="125">
        <f t="shared" si="0"/>
        <v>2700</v>
      </c>
      <c r="I31" s="7">
        <f t="shared" si="1"/>
        <v>900</v>
      </c>
      <c r="J31" s="7">
        <f t="shared" si="2"/>
        <v>900</v>
      </c>
      <c r="K31" s="270">
        <v>4500</v>
      </c>
      <c r="L31" s="48">
        <v>28</v>
      </c>
      <c r="M31" s="113">
        <v>3</v>
      </c>
      <c r="N31" s="12">
        <v>0</v>
      </c>
      <c r="O31" s="114">
        <v>0</v>
      </c>
      <c r="P31" s="12">
        <v>0</v>
      </c>
      <c r="Q31" s="106">
        <f>L31+M31+N31+O31+P31</f>
        <v>31</v>
      </c>
      <c r="R31" s="137">
        <v>0</v>
      </c>
      <c r="S31" s="12">
        <v>0</v>
      </c>
      <c r="T31" s="12">
        <v>0</v>
      </c>
      <c r="U31" s="109">
        <v>0</v>
      </c>
      <c r="V31" s="107">
        <f>K31/31*R31</f>
        <v>0</v>
      </c>
      <c r="W31" s="39">
        <f>K31/31*S31</f>
        <v>0</v>
      </c>
      <c r="X31" s="39">
        <f>K31/31*T31</f>
        <v>0</v>
      </c>
      <c r="Y31" s="39">
        <f>K31/31*U31</f>
        <v>0</v>
      </c>
      <c r="Z31" s="156">
        <f t="shared" si="3"/>
        <v>0</v>
      </c>
      <c r="AA31" s="157">
        <f t="shared" si="4"/>
        <v>31</v>
      </c>
      <c r="AB31" s="125">
        <f>K31/31*O31</f>
        <v>0</v>
      </c>
      <c r="AC31" s="7">
        <f>K31/31*P31</f>
        <v>0</v>
      </c>
      <c r="AD31" s="229">
        <f>SUM(K31/31*Q31)</f>
        <v>4500</v>
      </c>
      <c r="AE31" s="244">
        <v>9</v>
      </c>
      <c r="AF31" s="207">
        <v>12</v>
      </c>
      <c r="AG31" s="252">
        <f t="shared" si="7"/>
        <v>108</v>
      </c>
      <c r="AH31" s="95">
        <v>0</v>
      </c>
      <c r="AI31" s="207">
        <v>15</v>
      </c>
      <c r="AJ31" s="92">
        <f t="shared" si="8"/>
        <v>0</v>
      </c>
      <c r="AK31" s="256">
        <f t="shared" si="9"/>
        <v>108</v>
      </c>
      <c r="AL31" s="48">
        <v>2</v>
      </c>
      <c r="AM31" s="207">
        <v>148</v>
      </c>
      <c r="AN31" s="211">
        <f t="shared" si="10"/>
        <v>296</v>
      </c>
      <c r="AO31" s="91"/>
      <c r="AP31" s="161"/>
      <c r="AQ31" s="160">
        <v>0</v>
      </c>
      <c r="AR31" s="220">
        <f t="shared" si="11"/>
        <v>4904</v>
      </c>
      <c r="AS31" s="225">
        <v>0</v>
      </c>
      <c r="AT31" s="25">
        <v>0</v>
      </c>
      <c r="AU31" s="229">
        <v>0</v>
      </c>
      <c r="AV31" s="275">
        <f t="shared" si="12"/>
        <v>4904</v>
      </c>
      <c r="AW31" s="234">
        <f>SUM(K31*80%)</f>
        <v>3600</v>
      </c>
      <c r="AX31" s="217">
        <f t="shared" si="5"/>
        <v>1304</v>
      </c>
      <c r="AY31" s="239">
        <f t="shared" si="6"/>
        <v>0</v>
      </c>
      <c r="AZ31" s="117"/>
    </row>
    <row r="32" spans="1:120" s="57" customFormat="1" ht="12" customHeight="1">
      <c r="A32" s="48" t="s">
        <v>137</v>
      </c>
      <c r="B32" s="38" t="s">
        <v>138</v>
      </c>
      <c r="C32" s="41" t="s">
        <v>139</v>
      </c>
      <c r="D32" s="42">
        <v>45287</v>
      </c>
      <c r="E32" s="62"/>
      <c r="F32" s="43">
        <v>20024049662792</v>
      </c>
      <c r="G32" s="203" t="s">
        <v>61</v>
      </c>
      <c r="H32" s="125">
        <f>K32*60%</f>
        <v>2520</v>
      </c>
      <c r="I32" s="7">
        <f>K32*20%</f>
        <v>840</v>
      </c>
      <c r="J32" s="7">
        <f>K32*20%</f>
        <v>840</v>
      </c>
      <c r="K32" s="270">
        <v>4200</v>
      </c>
      <c r="L32" s="48">
        <v>28</v>
      </c>
      <c r="M32" s="114">
        <v>3</v>
      </c>
      <c r="N32" s="12">
        <v>0</v>
      </c>
      <c r="O32" s="114">
        <v>0</v>
      </c>
      <c r="P32" s="12">
        <v>0</v>
      </c>
      <c r="Q32" s="106">
        <f>L32+M32+N32+O32+P32</f>
        <v>31</v>
      </c>
      <c r="R32" s="137">
        <v>0</v>
      </c>
      <c r="S32" s="12">
        <v>0</v>
      </c>
      <c r="T32" s="12">
        <v>0</v>
      </c>
      <c r="U32" s="109">
        <v>0</v>
      </c>
      <c r="V32" s="107">
        <f>K32/31*R32</f>
        <v>0</v>
      </c>
      <c r="W32" s="39">
        <f>K32/31*S32</f>
        <v>0</v>
      </c>
      <c r="X32" s="39">
        <f>K32/31*T32</f>
        <v>0</v>
      </c>
      <c r="Y32" s="39">
        <f>K32/31*U32</f>
        <v>0</v>
      </c>
      <c r="Z32" s="156">
        <f t="shared" si="3"/>
        <v>0</v>
      </c>
      <c r="AA32" s="157">
        <f t="shared" si="4"/>
        <v>31</v>
      </c>
      <c r="AB32" s="125">
        <f>K32/31*O32</f>
        <v>0</v>
      </c>
      <c r="AC32" s="7">
        <f>K32/31*P32</f>
        <v>0</v>
      </c>
      <c r="AD32" s="229">
        <f>SUM(K32/31*Q32)</f>
        <v>4200</v>
      </c>
      <c r="AE32" s="244">
        <v>5</v>
      </c>
      <c r="AF32" s="207">
        <v>12</v>
      </c>
      <c r="AG32" s="252">
        <f t="shared" si="7"/>
        <v>60</v>
      </c>
      <c r="AH32" s="95">
        <v>0</v>
      </c>
      <c r="AI32" s="207">
        <v>14</v>
      </c>
      <c r="AJ32" s="92">
        <f t="shared" si="8"/>
        <v>0</v>
      </c>
      <c r="AK32" s="256">
        <f t="shared" si="9"/>
        <v>60</v>
      </c>
      <c r="AL32" s="48">
        <v>2</v>
      </c>
      <c r="AM32" s="207">
        <v>138</v>
      </c>
      <c r="AN32" s="211">
        <f t="shared" si="10"/>
        <v>276</v>
      </c>
      <c r="AO32" s="91"/>
      <c r="AP32" s="161"/>
      <c r="AQ32" s="160">
        <v>0</v>
      </c>
      <c r="AR32" s="220">
        <f t="shared" si="11"/>
        <v>4536</v>
      </c>
      <c r="AS32" s="225">
        <v>0</v>
      </c>
      <c r="AT32" s="25">
        <v>0</v>
      </c>
      <c r="AU32" s="229">
        <v>0</v>
      </c>
      <c r="AV32" s="275">
        <f t="shared" si="12"/>
        <v>4536</v>
      </c>
      <c r="AW32" s="234">
        <f>SUM(K32*80%)</f>
        <v>3360</v>
      </c>
      <c r="AX32" s="217">
        <f t="shared" si="5"/>
        <v>1176</v>
      </c>
      <c r="AY32" s="239">
        <f t="shared" si="6"/>
        <v>0</v>
      </c>
      <c r="AZ32" s="102"/>
      <c r="BA32" s="60"/>
      <c r="BB32" s="60"/>
      <c r="BC32" s="60"/>
      <c r="BD32" s="60"/>
      <c r="BE32" s="60"/>
      <c r="BF32" s="60"/>
      <c r="BG32" s="60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</row>
    <row r="33" spans="1:120" ht="12" customHeight="1">
      <c r="A33" s="48" t="s">
        <v>140</v>
      </c>
      <c r="B33" s="38" t="s">
        <v>141</v>
      </c>
      <c r="C33" s="41" t="s">
        <v>142</v>
      </c>
      <c r="D33" s="42">
        <v>43570</v>
      </c>
      <c r="E33" s="62"/>
      <c r="F33" s="43">
        <v>10021057922829</v>
      </c>
      <c r="G33" s="203" t="s">
        <v>61</v>
      </c>
      <c r="H33" s="125">
        <f t="shared" si="0"/>
        <v>2700</v>
      </c>
      <c r="I33" s="7">
        <f t="shared" si="1"/>
        <v>900</v>
      </c>
      <c r="J33" s="7">
        <f t="shared" si="2"/>
        <v>900</v>
      </c>
      <c r="K33" s="270">
        <v>4500</v>
      </c>
      <c r="L33" s="48">
        <v>28</v>
      </c>
      <c r="M33" s="113">
        <v>3</v>
      </c>
      <c r="N33" s="12">
        <v>0</v>
      </c>
      <c r="O33" s="114">
        <v>0</v>
      </c>
      <c r="P33" s="12">
        <v>0</v>
      </c>
      <c r="Q33" s="106">
        <f>L33+M33+N33+O33+P33</f>
        <v>31</v>
      </c>
      <c r="R33" s="137">
        <v>0</v>
      </c>
      <c r="S33" s="12">
        <v>0</v>
      </c>
      <c r="T33" s="12">
        <v>0</v>
      </c>
      <c r="U33" s="109">
        <v>0</v>
      </c>
      <c r="V33" s="107">
        <f>K33/31*R33</f>
        <v>0</v>
      </c>
      <c r="W33" s="39">
        <f>K33/31*S33</f>
        <v>0</v>
      </c>
      <c r="X33" s="39">
        <f>K33/31*T33</f>
        <v>0</v>
      </c>
      <c r="Y33" s="39">
        <f>K33/31*U33</f>
        <v>0</v>
      </c>
      <c r="Z33" s="156">
        <f t="shared" si="3"/>
        <v>0</v>
      </c>
      <c r="AA33" s="157">
        <f t="shared" si="4"/>
        <v>31</v>
      </c>
      <c r="AB33" s="125">
        <f>K33/31*O33</f>
        <v>0</v>
      </c>
      <c r="AC33" s="7">
        <f>K33/31*P33</f>
        <v>0</v>
      </c>
      <c r="AD33" s="229">
        <f>SUM(K33/31*Q33)</f>
        <v>4500</v>
      </c>
      <c r="AE33" s="244">
        <v>50</v>
      </c>
      <c r="AF33" s="207">
        <v>12</v>
      </c>
      <c r="AG33" s="252">
        <f t="shared" si="7"/>
        <v>600</v>
      </c>
      <c r="AH33" s="95">
        <v>0</v>
      </c>
      <c r="AI33" s="207">
        <v>15</v>
      </c>
      <c r="AJ33" s="92">
        <f t="shared" si="8"/>
        <v>0</v>
      </c>
      <c r="AK33" s="256">
        <f t="shared" si="9"/>
        <v>600</v>
      </c>
      <c r="AL33" s="48">
        <v>2</v>
      </c>
      <c r="AM33" s="207">
        <v>148</v>
      </c>
      <c r="AN33" s="211">
        <f t="shared" si="10"/>
        <v>296</v>
      </c>
      <c r="AO33" s="91"/>
      <c r="AP33" s="161"/>
      <c r="AQ33" s="160">
        <v>0</v>
      </c>
      <c r="AR33" s="220">
        <f t="shared" si="11"/>
        <v>5396</v>
      </c>
      <c r="AS33" s="225">
        <v>0</v>
      </c>
      <c r="AT33" s="25">
        <v>0</v>
      </c>
      <c r="AU33" s="229">
        <v>0</v>
      </c>
      <c r="AV33" s="275">
        <f t="shared" si="12"/>
        <v>5396</v>
      </c>
      <c r="AW33" s="234">
        <f>SUM(K33*80%)</f>
        <v>3600</v>
      </c>
      <c r="AX33" s="217">
        <f t="shared" si="5"/>
        <v>1796</v>
      </c>
      <c r="AY33" s="239">
        <f t="shared" si="6"/>
        <v>0</v>
      </c>
      <c r="AZ33" s="111" t="s">
        <v>90</v>
      </c>
    </row>
    <row r="34" spans="1:120" ht="12" customHeight="1">
      <c r="A34" s="48" t="s">
        <v>143</v>
      </c>
      <c r="B34" s="38" t="s">
        <v>144</v>
      </c>
      <c r="C34" s="41" t="s">
        <v>145</v>
      </c>
      <c r="D34" s="42">
        <v>44830</v>
      </c>
      <c r="E34" s="47"/>
      <c r="F34" s="43">
        <v>31601127390678</v>
      </c>
      <c r="G34" s="203" t="s">
        <v>61</v>
      </c>
      <c r="H34" s="125">
        <f t="shared" si="0"/>
        <v>2580</v>
      </c>
      <c r="I34" s="7">
        <f t="shared" si="1"/>
        <v>860</v>
      </c>
      <c r="J34" s="7">
        <f t="shared" si="2"/>
        <v>860</v>
      </c>
      <c r="K34" s="270">
        <v>4300</v>
      </c>
      <c r="L34" s="48">
        <v>27</v>
      </c>
      <c r="M34" s="113">
        <v>4</v>
      </c>
      <c r="N34" s="12">
        <v>0</v>
      </c>
      <c r="O34" s="114">
        <v>0</v>
      </c>
      <c r="P34" s="12">
        <v>0</v>
      </c>
      <c r="Q34" s="106">
        <f>L34+M34+N34+O34+P34</f>
        <v>31</v>
      </c>
      <c r="R34" s="137">
        <v>0</v>
      </c>
      <c r="S34" s="12">
        <v>0</v>
      </c>
      <c r="T34" s="12">
        <v>0</v>
      </c>
      <c r="U34" s="109">
        <v>0</v>
      </c>
      <c r="V34" s="107">
        <f>K34/31*R34</f>
        <v>0</v>
      </c>
      <c r="W34" s="39">
        <f>K34/31*S34</f>
        <v>0</v>
      </c>
      <c r="X34" s="39">
        <f>K34/31*T34</f>
        <v>0</v>
      </c>
      <c r="Y34" s="39">
        <f>K34/31*U34</f>
        <v>0</v>
      </c>
      <c r="Z34" s="156">
        <f t="shared" si="3"/>
        <v>0</v>
      </c>
      <c r="AA34" s="157">
        <f t="shared" si="4"/>
        <v>31</v>
      </c>
      <c r="AB34" s="125">
        <f>K34/31*O34</f>
        <v>0</v>
      </c>
      <c r="AC34" s="7">
        <f>K34/31*P34</f>
        <v>0</v>
      </c>
      <c r="AD34" s="229">
        <f>SUM(K34/31*Q34)</f>
        <v>4300</v>
      </c>
      <c r="AE34" s="244">
        <v>10</v>
      </c>
      <c r="AF34" s="207">
        <v>12</v>
      </c>
      <c r="AG34" s="252">
        <f t="shared" si="7"/>
        <v>120</v>
      </c>
      <c r="AH34" s="95">
        <v>0</v>
      </c>
      <c r="AI34" s="207">
        <v>14</v>
      </c>
      <c r="AJ34" s="92">
        <f t="shared" si="8"/>
        <v>0</v>
      </c>
      <c r="AK34" s="256">
        <f t="shared" si="9"/>
        <v>120</v>
      </c>
      <c r="AL34" s="48">
        <v>1</v>
      </c>
      <c r="AM34" s="207">
        <v>141</v>
      </c>
      <c r="AN34" s="211">
        <f t="shared" si="10"/>
        <v>141</v>
      </c>
      <c r="AO34" s="91"/>
      <c r="AP34" s="7"/>
      <c r="AQ34" s="160">
        <v>0</v>
      </c>
      <c r="AR34" s="220">
        <f>SUM(AD34+AK34+AN34+AO34+AP34+AQ34)</f>
        <v>4561</v>
      </c>
      <c r="AS34" s="225">
        <v>0</v>
      </c>
      <c r="AT34" s="25">
        <v>0</v>
      </c>
      <c r="AU34" s="229">
        <v>0</v>
      </c>
      <c r="AV34" s="275">
        <f t="shared" si="12"/>
        <v>4561</v>
      </c>
      <c r="AW34" s="234">
        <f>SUM(K34*80%)</f>
        <v>3440</v>
      </c>
      <c r="AX34" s="217">
        <f t="shared" si="5"/>
        <v>1121</v>
      </c>
      <c r="AY34" s="239">
        <f t="shared" si="6"/>
        <v>0</v>
      </c>
      <c r="AZ34" s="101"/>
    </row>
    <row r="35" spans="1:120" s="57" customFormat="1" ht="12" customHeight="1">
      <c r="A35" s="48" t="s">
        <v>146</v>
      </c>
      <c r="B35" s="38" t="s">
        <v>147</v>
      </c>
      <c r="C35" s="41" t="s">
        <v>148</v>
      </c>
      <c r="D35" s="42">
        <v>44796</v>
      </c>
      <c r="E35" s="62"/>
      <c r="F35" s="43">
        <v>10025088010140</v>
      </c>
      <c r="G35" s="203" t="s">
        <v>61</v>
      </c>
      <c r="H35" s="125">
        <f t="shared" si="0"/>
        <v>2580</v>
      </c>
      <c r="I35" s="7">
        <f t="shared" si="1"/>
        <v>860</v>
      </c>
      <c r="J35" s="7">
        <f t="shared" si="2"/>
        <v>860</v>
      </c>
      <c r="K35" s="270">
        <v>4300</v>
      </c>
      <c r="L35" s="48">
        <v>28</v>
      </c>
      <c r="M35" s="113">
        <v>3</v>
      </c>
      <c r="N35" s="12">
        <v>0</v>
      </c>
      <c r="O35" s="114">
        <v>0</v>
      </c>
      <c r="P35" s="12">
        <v>0</v>
      </c>
      <c r="Q35" s="106">
        <f>L35+M35+N35+O35+P35</f>
        <v>31</v>
      </c>
      <c r="R35" s="137">
        <v>0</v>
      </c>
      <c r="S35" s="12">
        <v>0</v>
      </c>
      <c r="T35" s="12">
        <v>0</v>
      </c>
      <c r="U35" s="109">
        <v>0</v>
      </c>
      <c r="V35" s="107">
        <f>K35/31*R35</f>
        <v>0</v>
      </c>
      <c r="W35" s="39">
        <f>K35/31*S35</f>
        <v>0</v>
      </c>
      <c r="X35" s="39">
        <f>K35/31*T35</f>
        <v>0</v>
      </c>
      <c r="Y35" s="39">
        <f>K35/31*U35</f>
        <v>0</v>
      </c>
      <c r="Z35" s="156">
        <f t="shared" si="3"/>
        <v>0</v>
      </c>
      <c r="AA35" s="157">
        <f t="shared" si="4"/>
        <v>31</v>
      </c>
      <c r="AB35" s="125">
        <f>K35/31*O35</f>
        <v>0</v>
      </c>
      <c r="AC35" s="7">
        <f>K35/31*P35</f>
        <v>0</v>
      </c>
      <c r="AD35" s="229">
        <f>SUM(K35/31*Q35)</f>
        <v>4300</v>
      </c>
      <c r="AE35" s="244">
        <v>23</v>
      </c>
      <c r="AF35" s="207">
        <v>12</v>
      </c>
      <c r="AG35" s="252">
        <f t="shared" si="7"/>
        <v>276</v>
      </c>
      <c r="AH35" s="95">
        <v>0</v>
      </c>
      <c r="AI35" s="207">
        <v>14</v>
      </c>
      <c r="AJ35" s="92">
        <f t="shared" si="8"/>
        <v>0</v>
      </c>
      <c r="AK35" s="256">
        <f t="shared" si="9"/>
        <v>276</v>
      </c>
      <c r="AL35" s="48">
        <v>2</v>
      </c>
      <c r="AM35" s="207">
        <v>141</v>
      </c>
      <c r="AN35" s="211">
        <f t="shared" si="10"/>
        <v>282</v>
      </c>
      <c r="AO35" s="91"/>
      <c r="AP35" s="161"/>
      <c r="AQ35" s="160">
        <v>0</v>
      </c>
      <c r="AR35" s="220">
        <f t="shared" si="11"/>
        <v>4858</v>
      </c>
      <c r="AS35" s="225">
        <v>0</v>
      </c>
      <c r="AT35" s="25">
        <v>0</v>
      </c>
      <c r="AU35" s="229">
        <v>0</v>
      </c>
      <c r="AV35" s="275">
        <f t="shared" si="12"/>
        <v>4858</v>
      </c>
      <c r="AW35" s="234">
        <f>SUM(K35*80%)</f>
        <v>3440</v>
      </c>
      <c r="AX35" s="217">
        <f t="shared" si="5"/>
        <v>1418</v>
      </c>
      <c r="AY35" s="239">
        <f t="shared" si="6"/>
        <v>0</v>
      </c>
      <c r="AZ35" s="111" t="s">
        <v>90</v>
      </c>
      <c r="BA35" s="60"/>
      <c r="BB35" s="60"/>
      <c r="BC35" s="60"/>
      <c r="BD35" s="60"/>
      <c r="BE35" s="60"/>
      <c r="BF35" s="60"/>
      <c r="BG35" s="60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</row>
    <row r="36" spans="1:120" ht="12" customHeight="1">
      <c r="A36" s="48" t="s">
        <v>149</v>
      </c>
      <c r="B36" s="44" t="s">
        <v>150</v>
      </c>
      <c r="C36" s="46" t="s">
        <v>151</v>
      </c>
      <c r="D36" s="45">
        <v>45344</v>
      </c>
      <c r="E36" s="62"/>
      <c r="F36" s="63">
        <v>10004078884984</v>
      </c>
      <c r="G36" s="203" t="s">
        <v>61</v>
      </c>
      <c r="H36" s="125">
        <f>K36*60%</f>
        <v>2520</v>
      </c>
      <c r="I36" s="7">
        <f>K36*20%</f>
        <v>840</v>
      </c>
      <c r="J36" s="7">
        <f>K36*20%</f>
        <v>840</v>
      </c>
      <c r="K36" s="270">
        <v>4200</v>
      </c>
      <c r="L36" s="48">
        <v>25</v>
      </c>
      <c r="M36" s="113">
        <v>4</v>
      </c>
      <c r="N36" s="12">
        <v>0</v>
      </c>
      <c r="O36" s="114">
        <v>0</v>
      </c>
      <c r="P36" s="12">
        <v>2</v>
      </c>
      <c r="Q36" s="106">
        <f>L36+M36+N36+O36+P36</f>
        <v>31</v>
      </c>
      <c r="R36" s="137">
        <v>0</v>
      </c>
      <c r="S36" s="12">
        <v>0</v>
      </c>
      <c r="T36" s="12">
        <v>0</v>
      </c>
      <c r="U36" s="109">
        <v>0</v>
      </c>
      <c r="V36" s="107">
        <f>K36/31*R36</f>
        <v>0</v>
      </c>
      <c r="W36" s="39">
        <f>K36/31*S36</f>
        <v>0</v>
      </c>
      <c r="X36" s="39">
        <f>K36/31*T36</f>
        <v>0</v>
      </c>
      <c r="Y36" s="39">
        <f>K36/31*U36</f>
        <v>0</v>
      </c>
      <c r="Z36" s="156">
        <f t="shared" si="3"/>
        <v>0</v>
      </c>
      <c r="AA36" s="157">
        <f t="shared" si="4"/>
        <v>31</v>
      </c>
      <c r="AB36" s="125">
        <f>K36/31*O36</f>
        <v>0</v>
      </c>
      <c r="AC36" s="7">
        <f>K36/31*P36</f>
        <v>270.96774193548384</v>
      </c>
      <c r="AD36" s="229">
        <f>SUM(K36/31*Q36)</f>
        <v>4200</v>
      </c>
      <c r="AE36" s="244">
        <v>31</v>
      </c>
      <c r="AF36" s="207">
        <v>12</v>
      </c>
      <c r="AG36" s="252">
        <f t="shared" si="7"/>
        <v>372</v>
      </c>
      <c r="AH36" s="95">
        <v>0</v>
      </c>
      <c r="AI36" s="207">
        <v>14</v>
      </c>
      <c r="AJ36" s="92">
        <f t="shared" si="8"/>
        <v>0</v>
      </c>
      <c r="AK36" s="256">
        <f t="shared" si="9"/>
        <v>372</v>
      </c>
      <c r="AL36" s="48">
        <v>1</v>
      </c>
      <c r="AM36" s="207">
        <v>138</v>
      </c>
      <c r="AN36" s="211">
        <f t="shared" si="10"/>
        <v>138</v>
      </c>
      <c r="AO36" s="91"/>
      <c r="AP36" s="161"/>
      <c r="AQ36" s="160">
        <v>0</v>
      </c>
      <c r="AR36" s="220">
        <f t="shared" si="11"/>
        <v>4710</v>
      </c>
      <c r="AS36" s="225">
        <v>0</v>
      </c>
      <c r="AT36" s="25">
        <v>0</v>
      </c>
      <c r="AU36" s="229">
        <v>0</v>
      </c>
      <c r="AV36" s="275">
        <f t="shared" si="12"/>
        <v>4710</v>
      </c>
      <c r="AW36" s="234">
        <f>SUM(K36*80%)</f>
        <v>3360</v>
      </c>
      <c r="AX36" s="217">
        <f t="shared" si="5"/>
        <v>1350</v>
      </c>
      <c r="AY36" s="239">
        <f t="shared" si="6"/>
        <v>0</v>
      </c>
      <c r="AZ36" s="102"/>
    </row>
    <row r="37" spans="1:120" s="57" customFormat="1" ht="12" customHeight="1">
      <c r="A37" s="48" t="s">
        <v>152</v>
      </c>
      <c r="B37" s="38" t="s">
        <v>153</v>
      </c>
      <c r="C37" s="76" t="s">
        <v>154</v>
      </c>
      <c r="D37" s="66">
        <v>45293</v>
      </c>
      <c r="E37" s="62"/>
      <c r="F37" s="63">
        <v>10021047655633</v>
      </c>
      <c r="G37" s="203" t="s">
        <v>61</v>
      </c>
      <c r="H37" s="125">
        <f>K37*60%</f>
        <v>2520</v>
      </c>
      <c r="I37" s="7">
        <f>K37*20%</f>
        <v>840</v>
      </c>
      <c r="J37" s="7">
        <f>K37*20%</f>
        <v>840</v>
      </c>
      <c r="K37" s="270">
        <v>4200</v>
      </c>
      <c r="L37" s="48">
        <v>27</v>
      </c>
      <c r="M37" s="113">
        <v>4</v>
      </c>
      <c r="N37" s="12">
        <v>0</v>
      </c>
      <c r="O37" s="114">
        <v>0</v>
      </c>
      <c r="P37" s="12">
        <v>0</v>
      </c>
      <c r="Q37" s="106">
        <f>L37+M37+N37+O37+P37</f>
        <v>31</v>
      </c>
      <c r="R37" s="137">
        <v>0</v>
      </c>
      <c r="S37" s="12">
        <v>0</v>
      </c>
      <c r="T37" s="12">
        <v>0</v>
      </c>
      <c r="U37" s="109">
        <v>0</v>
      </c>
      <c r="V37" s="107">
        <f>K37/31*R37</f>
        <v>0</v>
      </c>
      <c r="W37" s="39">
        <f>K37/31*S37</f>
        <v>0</v>
      </c>
      <c r="X37" s="39">
        <f>K37/31*T37</f>
        <v>0</v>
      </c>
      <c r="Y37" s="39">
        <f>K37/31*U37</f>
        <v>0</v>
      </c>
      <c r="Z37" s="156">
        <f t="shared" si="3"/>
        <v>0</v>
      </c>
      <c r="AA37" s="157">
        <f t="shared" si="4"/>
        <v>31</v>
      </c>
      <c r="AB37" s="125">
        <f>K37/31*O37</f>
        <v>0</v>
      </c>
      <c r="AC37" s="7">
        <f>K37/31*P37</f>
        <v>0</v>
      </c>
      <c r="AD37" s="229">
        <f>SUM(K37/31*Q37)</f>
        <v>4200</v>
      </c>
      <c r="AE37" s="244">
        <v>19</v>
      </c>
      <c r="AF37" s="207">
        <v>12</v>
      </c>
      <c r="AG37" s="252">
        <f t="shared" si="7"/>
        <v>228</v>
      </c>
      <c r="AH37" s="95">
        <v>0</v>
      </c>
      <c r="AI37" s="207">
        <v>14</v>
      </c>
      <c r="AJ37" s="92">
        <f t="shared" si="8"/>
        <v>0</v>
      </c>
      <c r="AK37" s="256">
        <f t="shared" si="9"/>
        <v>228</v>
      </c>
      <c r="AL37" s="48">
        <v>1</v>
      </c>
      <c r="AM37" s="207">
        <v>138</v>
      </c>
      <c r="AN37" s="211">
        <f t="shared" si="10"/>
        <v>138</v>
      </c>
      <c r="AO37" s="91"/>
      <c r="AP37" s="161"/>
      <c r="AQ37" s="160">
        <v>0</v>
      </c>
      <c r="AR37" s="220">
        <f t="shared" si="11"/>
        <v>4566</v>
      </c>
      <c r="AS37" s="225">
        <v>0</v>
      </c>
      <c r="AT37" s="25">
        <v>0</v>
      </c>
      <c r="AU37" s="229">
        <v>0</v>
      </c>
      <c r="AV37" s="275">
        <f t="shared" si="12"/>
        <v>4566</v>
      </c>
      <c r="AW37" s="234">
        <f>SUM(K37*80%)</f>
        <v>3360</v>
      </c>
      <c r="AX37" s="217">
        <f t="shared" si="5"/>
        <v>1206</v>
      </c>
      <c r="AY37" s="239">
        <f t="shared" si="6"/>
        <v>0</v>
      </c>
      <c r="AZ37" s="102"/>
      <c r="BA37" s="60"/>
      <c r="BB37" s="60"/>
      <c r="BC37" s="60"/>
      <c r="BD37" s="60"/>
      <c r="BE37" s="60"/>
      <c r="BF37" s="60"/>
      <c r="BG37" s="60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</row>
    <row r="38" spans="1:120" ht="12" customHeight="1">
      <c r="A38" s="48" t="s">
        <v>155</v>
      </c>
      <c r="B38" s="38" t="s">
        <v>156</v>
      </c>
      <c r="C38" s="41" t="s">
        <v>157</v>
      </c>
      <c r="D38" s="67">
        <v>44802</v>
      </c>
      <c r="E38" s="68"/>
      <c r="F38" s="69">
        <v>10012108936044</v>
      </c>
      <c r="G38" s="203" t="s">
        <v>61</v>
      </c>
      <c r="H38" s="125">
        <f t="shared" si="0"/>
        <v>2580</v>
      </c>
      <c r="I38" s="7">
        <f t="shared" si="1"/>
        <v>860</v>
      </c>
      <c r="J38" s="7">
        <f t="shared" si="2"/>
        <v>860</v>
      </c>
      <c r="K38" s="270">
        <v>4300</v>
      </c>
      <c r="L38" s="48">
        <v>28</v>
      </c>
      <c r="M38" s="113">
        <v>3</v>
      </c>
      <c r="N38" s="12">
        <v>0</v>
      </c>
      <c r="O38" s="114">
        <v>0</v>
      </c>
      <c r="P38" s="12">
        <v>0</v>
      </c>
      <c r="Q38" s="106">
        <f>L38+M38+N38+O38+P38</f>
        <v>31</v>
      </c>
      <c r="R38" s="137">
        <v>0</v>
      </c>
      <c r="S38" s="12">
        <v>0</v>
      </c>
      <c r="T38" s="12">
        <v>0</v>
      </c>
      <c r="U38" s="109">
        <v>0</v>
      </c>
      <c r="V38" s="107">
        <f>K38/31*R38</f>
        <v>0</v>
      </c>
      <c r="W38" s="39">
        <f>K38/31*S38</f>
        <v>0</v>
      </c>
      <c r="X38" s="39">
        <f>K38/31*T38</f>
        <v>0</v>
      </c>
      <c r="Y38" s="39">
        <f>K38/31*U38</f>
        <v>0</v>
      </c>
      <c r="Z38" s="156">
        <f t="shared" si="3"/>
        <v>0</v>
      </c>
      <c r="AA38" s="157">
        <f t="shared" si="4"/>
        <v>31</v>
      </c>
      <c r="AB38" s="125">
        <f>K38/31*O38</f>
        <v>0</v>
      </c>
      <c r="AC38" s="7">
        <f>K38/31*P38</f>
        <v>0</v>
      </c>
      <c r="AD38" s="229">
        <f>SUM(K38/31*Q38)</f>
        <v>4300</v>
      </c>
      <c r="AE38" s="244">
        <v>5</v>
      </c>
      <c r="AF38" s="207">
        <v>12</v>
      </c>
      <c r="AG38" s="252">
        <f t="shared" si="7"/>
        <v>60</v>
      </c>
      <c r="AH38" s="95">
        <v>0</v>
      </c>
      <c r="AI38" s="207">
        <v>14</v>
      </c>
      <c r="AJ38" s="92">
        <f t="shared" si="8"/>
        <v>0</v>
      </c>
      <c r="AK38" s="256">
        <f t="shared" si="9"/>
        <v>60</v>
      </c>
      <c r="AL38" s="48">
        <v>2</v>
      </c>
      <c r="AM38" s="207">
        <v>141</v>
      </c>
      <c r="AN38" s="211">
        <f t="shared" si="10"/>
        <v>282</v>
      </c>
      <c r="AO38" s="91"/>
      <c r="AP38" s="161"/>
      <c r="AQ38" s="160">
        <v>0</v>
      </c>
      <c r="AR38" s="220">
        <f t="shared" si="11"/>
        <v>4642</v>
      </c>
      <c r="AS38" s="225">
        <v>0</v>
      </c>
      <c r="AT38" s="25">
        <v>590</v>
      </c>
      <c r="AU38" s="229">
        <v>0</v>
      </c>
      <c r="AV38" s="275">
        <f t="shared" si="12"/>
        <v>4052</v>
      </c>
      <c r="AW38" s="234">
        <f>SUM(K38*80%)</f>
        <v>3440</v>
      </c>
      <c r="AX38" s="217">
        <f t="shared" si="5"/>
        <v>612</v>
      </c>
      <c r="AY38" s="239">
        <f t="shared" si="6"/>
        <v>0</v>
      </c>
      <c r="AZ38" s="111" t="s">
        <v>90</v>
      </c>
    </row>
    <row r="39" spans="1:120" ht="12" customHeight="1">
      <c r="A39" s="48" t="s">
        <v>158</v>
      </c>
      <c r="B39" s="38" t="s">
        <v>159</v>
      </c>
      <c r="C39" s="41" t="s">
        <v>160</v>
      </c>
      <c r="D39" s="66">
        <v>45287</v>
      </c>
      <c r="E39" s="47"/>
      <c r="F39" s="69">
        <v>20012108325991</v>
      </c>
      <c r="G39" s="203" t="s">
        <v>61</v>
      </c>
      <c r="H39" s="125">
        <f>K39*60%</f>
        <v>2520</v>
      </c>
      <c r="I39" s="7">
        <f>K39*20%</f>
        <v>840</v>
      </c>
      <c r="J39" s="7">
        <f>K39*20%</f>
        <v>840</v>
      </c>
      <c r="K39" s="270">
        <v>4200</v>
      </c>
      <c r="L39" s="48">
        <v>25</v>
      </c>
      <c r="M39" s="113">
        <v>3</v>
      </c>
      <c r="N39" s="12">
        <v>0</v>
      </c>
      <c r="O39" s="114">
        <v>0</v>
      </c>
      <c r="P39" s="12">
        <v>3</v>
      </c>
      <c r="Q39" s="106">
        <f>L39+M39+N39+O39+P39</f>
        <v>31</v>
      </c>
      <c r="R39" s="137">
        <v>0</v>
      </c>
      <c r="S39" s="12">
        <v>0</v>
      </c>
      <c r="T39" s="12">
        <v>0</v>
      </c>
      <c r="U39" s="109">
        <v>0</v>
      </c>
      <c r="V39" s="107">
        <f>K39/31*R39</f>
        <v>0</v>
      </c>
      <c r="W39" s="39">
        <f>K39/31*S39</f>
        <v>0</v>
      </c>
      <c r="X39" s="39">
        <f>K39/31*T39</f>
        <v>0</v>
      </c>
      <c r="Y39" s="39">
        <f>K39/31*U39</f>
        <v>0</v>
      </c>
      <c r="Z39" s="156">
        <f t="shared" si="3"/>
        <v>0</v>
      </c>
      <c r="AA39" s="157">
        <f t="shared" si="4"/>
        <v>31</v>
      </c>
      <c r="AB39" s="125">
        <f>K39/31*O39</f>
        <v>0</v>
      </c>
      <c r="AC39" s="7">
        <f>K39/31*P39</f>
        <v>406.45161290322574</v>
      </c>
      <c r="AD39" s="229">
        <f>SUM(K39/31*Q39)</f>
        <v>4200</v>
      </c>
      <c r="AE39" s="244">
        <v>5</v>
      </c>
      <c r="AF39" s="207">
        <v>12</v>
      </c>
      <c r="AG39" s="252">
        <f t="shared" si="7"/>
        <v>60</v>
      </c>
      <c r="AH39" s="95">
        <v>0</v>
      </c>
      <c r="AI39" s="207">
        <v>14</v>
      </c>
      <c r="AJ39" s="92">
        <f t="shared" si="8"/>
        <v>0</v>
      </c>
      <c r="AK39" s="256">
        <f t="shared" si="9"/>
        <v>60</v>
      </c>
      <c r="AL39" s="48">
        <v>2</v>
      </c>
      <c r="AM39" s="207">
        <v>138</v>
      </c>
      <c r="AN39" s="211">
        <f t="shared" si="10"/>
        <v>276</v>
      </c>
      <c r="AO39" s="91"/>
      <c r="AP39" s="161"/>
      <c r="AQ39" s="160">
        <v>0</v>
      </c>
      <c r="AR39" s="220">
        <f t="shared" si="11"/>
        <v>4536</v>
      </c>
      <c r="AS39" s="225">
        <v>0</v>
      </c>
      <c r="AT39" s="25">
        <v>0</v>
      </c>
      <c r="AU39" s="229">
        <v>0</v>
      </c>
      <c r="AV39" s="275">
        <f t="shared" si="12"/>
        <v>4536</v>
      </c>
      <c r="AW39" s="234">
        <f>SUM(K39*80%)</f>
        <v>3360</v>
      </c>
      <c r="AX39" s="217">
        <f t="shared" si="5"/>
        <v>1176</v>
      </c>
      <c r="AY39" s="239">
        <f t="shared" si="6"/>
        <v>0</v>
      </c>
      <c r="AZ39" s="102"/>
    </row>
    <row r="40" spans="1:120" ht="13.5" customHeight="1">
      <c r="A40" s="48" t="s">
        <v>161</v>
      </c>
      <c r="B40" s="85" t="s">
        <v>162</v>
      </c>
      <c r="C40" s="41" t="s">
        <v>163</v>
      </c>
      <c r="D40" s="66">
        <v>45287</v>
      </c>
      <c r="E40" s="47"/>
      <c r="F40" s="86">
        <v>20021067796071</v>
      </c>
      <c r="G40" s="203" t="s">
        <v>61</v>
      </c>
      <c r="H40" s="125">
        <f>K40*60%</f>
        <v>2520</v>
      </c>
      <c r="I40" s="7">
        <f>K40*20%</f>
        <v>840</v>
      </c>
      <c r="J40" s="7">
        <f>K40*20%</f>
        <v>840</v>
      </c>
      <c r="K40" s="270">
        <v>4200</v>
      </c>
      <c r="L40" s="48">
        <v>26</v>
      </c>
      <c r="M40" s="114">
        <v>3</v>
      </c>
      <c r="N40" s="12">
        <v>0</v>
      </c>
      <c r="O40" s="114">
        <v>0</v>
      </c>
      <c r="P40" s="12">
        <v>2</v>
      </c>
      <c r="Q40" s="106">
        <f>L40+M40+N40+O40+P40</f>
        <v>31</v>
      </c>
      <c r="R40" s="264">
        <v>0</v>
      </c>
      <c r="S40" s="12">
        <v>0</v>
      </c>
      <c r="T40" s="12">
        <v>0</v>
      </c>
      <c r="U40" s="109">
        <v>0</v>
      </c>
      <c r="V40" s="107">
        <f>K40/31*R40</f>
        <v>0</v>
      </c>
      <c r="W40" s="39">
        <f>K40/31*S40</f>
        <v>0</v>
      </c>
      <c r="X40" s="39">
        <f>K40/31*T40</f>
        <v>0</v>
      </c>
      <c r="Y40" s="39">
        <f>K40/31*U40</f>
        <v>0</v>
      </c>
      <c r="Z40" s="156">
        <f t="shared" si="3"/>
        <v>0</v>
      </c>
      <c r="AA40" s="157">
        <f t="shared" si="4"/>
        <v>31</v>
      </c>
      <c r="AB40" s="125">
        <f>K40/31*O40</f>
        <v>0</v>
      </c>
      <c r="AC40" s="7">
        <f>K40/31*P40</f>
        <v>270.96774193548384</v>
      </c>
      <c r="AD40" s="229">
        <f>SUM(K40/31*Q40)</f>
        <v>4200</v>
      </c>
      <c r="AE40" s="244">
        <v>3</v>
      </c>
      <c r="AF40" s="207">
        <v>12</v>
      </c>
      <c r="AG40" s="252">
        <f t="shared" si="7"/>
        <v>36</v>
      </c>
      <c r="AH40" s="95">
        <v>0</v>
      </c>
      <c r="AI40" s="207">
        <v>14</v>
      </c>
      <c r="AJ40" s="92">
        <f t="shared" si="8"/>
        <v>0</v>
      </c>
      <c r="AK40" s="256">
        <f t="shared" si="9"/>
        <v>36</v>
      </c>
      <c r="AL40" s="48">
        <v>2</v>
      </c>
      <c r="AM40" s="207">
        <v>138</v>
      </c>
      <c r="AN40" s="211">
        <f t="shared" si="10"/>
        <v>276</v>
      </c>
      <c r="AO40" s="91"/>
      <c r="AP40" s="161"/>
      <c r="AQ40" s="160">
        <v>0</v>
      </c>
      <c r="AR40" s="220">
        <f t="shared" si="11"/>
        <v>4512</v>
      </c>
      <c r="AS40" s="225">
        <v>0</v>
      </c>
      <c r="AT40" s="25">
        <v>0</v>
      </c>
      <c r="AU40" s="229">
        <v>0</v>
      </c>
      <c r="AV40" s="275">
        <f t="shared" si="12"/>
        <v>4512</v>
      </c>
      <c r="AW40" s="234">
        <f>SUM(K40*80%)</f>
        <v>3360</v>
      </c>
      <c r="AX40" s="217">
        <f t="shared" si="5"/>
        <v>1152</v>
      </c>
      <c r="AY40" s="239">
        <f t="shared" si="6"/>
        <v>0</v>
      </c>
      <c r="AZ40" s="102"/>
    </row>
    <row r="41" spans="1:120" ht="12" customHeight="1">
      <c r="A41" s="48" t="s">
        <v>164</v>
      </c>
      <c r="B41" s="38" t="s">
        <v>165</v>
      </c>
      <c r="C41" s="41" t="s">
        <v>166</v>
      </c>
      <c r="D41" s="67">
        <v>44525</v>
      </c>
      <c r="E41" s="68"/>
      <c r="F41" s="69">
        <v>10020037771919</v>
      </c>
      <c r="G41" s="203" t="s">
        <v>61</v>
      </c>
      <c r="H41" s="125">
        <f t="shared" si="0"/>
        <v>2640</v>
      </c>
      <c r="I41" s="7">
        <f t="shared" si="1"/>
        <v>880</v>
      </c>
      <c r="J41" s="7">
        <f t="shared" si="2"/>
        <v>880</v>
      </c>
      <c r="K41" s="270">
        <v>4400</v>
      </c>
      <c r="L41" s="48">
        <v>28</v>
      </c>
      <c r="M41" s="113">
        <v>3</v>
      </c>
      <c r="N41" s="12">
        <v>0</v>
      </c>
      <c r="O41" s="114">
        <v>0</v>
      </c>
      <c r="P41" s="12">
        <v>0</v>
      </c>
      <c r="Q41" s="106">
        <f>L41+M41+N41+O41+P41</f>
        <v>31</v>
      </c>
      <c r="R41" s="137">
        <v>0</v>
      </c>
      <c r="S41" s="12">
        <v>0</v>
      </c>
      <c r="T41" s="12">
        <v>0</v>
      </c>
      <c r="U41" s="109">
        <v>0</v>
      </c>
      <c r="V41" s="107">
        <f>K41/31*R41</f>
        <v>0</v>
      </c>
      <c r="W41" s="39">
        <f>K41/31*S41</f>
        <v>0</v>
      </c>
      <c r="X41" s="39">
        <f>K41/31*T41</f>
        <v>0</v>
      </c>
      <c r="Y41" s="39">
        <f>K41/31*U41</f>
        <v>0</v>
      </c>
      <c r="Z41" s="156">
        <f t="shared" si="3"/>
        <v>0</v>
      </c>
      <c r="AA41" s="157">
        <f t="shared" si="4"/>
        <v>31</v>
      </c>
      <c r="AB41" s="125">
        <f>K41/31*O41</f>
        <v>0</v>
      </c>
      <c r="AC41" s="7">
        <f>K41/31*P41</f>
        <v>0</v>
      </c>
      <c r="AD41" s="229">
        <f>SUM(K41/31*Q41)</f>
        <v>4400</v>
      </c>
      <c r="AE41" s="244">
        <v>11</v>
      </c>
      <c r="AF41" s="207">
        <v>12</v>
      </c>
      <c r="AG41" s="252">
        <f t="shared" si="7"/>
        <v>132</v>
      </c>
      <c r="AH41" s="95">
        <v>0</v>
      </c>
      <c r="AI41" s="207">
        <v>14</v>
      </c>
      <c r="AJ41" s="92">
        <f t="shared" si="8"/>
        <v>0</v>
      </c>
      <c r="AK41" s="256">
        <f t="shared" si="9"/>
        <v>132</v>
      </c>
      <c r="AL41" s="48">
        <v>2</v>
      </c>
      <c r="AM41" s="207">
        <v>145</v>
      </c>
      <c r="AN41" s="211">
        <f t="shared" si="10"/>
        <v>290</v>
      </c>
      <c r="AO41" s="91"/>
      <c r="AP41" s="161"/>
      <c r="AQ41" s="160">
        <v>0</v>
      </c>
      <c r="AR41" s="220">
        <f t="shared" si="11"/>
        <v>4822</v>
      </c>
      <c r="AS41" s="225">
        <v>0</v>
      </c>
      <c r="AT41" s="25">
        <v>0</v>
      </c>
      <c r="AU41" s="229">
        <v>0</v>
      </c>
      <c r="AV41" s="275">
        <f t="shared" si="12"/>
        <v>4822</v>
      </c>
      <c r="AW41" s="234">
        <f>SUM(K41*80%)</f>
        <v>3520</v>
      </c>
      <c r="AX41" s="217">
        <f t="shared" si="5"/>
        <v>1302</v>
      </c>
      <c r="AY41" s="239">
        <f t="shared" si="6"/>
        <v>0</v>
      </c>
      <c r="AZ41" s="111" t="s">
        <v>90</v>
      </c>
    </row>
    <row r="42" spans="1:120" ht="12" customHeight="1">
      <c r="A42" s="48" t="s">
        <v>167</v>
      </c>
      <c r="B42" s="38" t="s">
        <v>168</v>
      </c>
      <c r="C42" s="41" t="s">
        <v>157</v>
      </c>
      <c r="D42" s="67">
        <v>44460</v>
      </c>
      <c r="E42" s="68"/>
      <c r="F42" s="69">
        <v>10016058960893</v>
      </c>
      <c r="G42" s="203" t="s">
        <v>61</v>
      </c>
      <c r="H42" s="125">
        <f>K42*60%</f>
        <v>2640</v>
      </c>
      <c r="I42" s="7">
        <f>K42*20%</f>
        <v>880</v>
      </c>
      <c r="J42" s="7">
        <f>K42*20%</f>
        <v>880</v>
      </c>
      <c r="K42" s="270">
        <v>4400</v>
      </c>
      <c r="L42" s="48">
        <v>27</v>
      </c>
      <c r="M42" s="113">
        <v>4</v>
      </c>
      <c r="N42" s="12">
        <v>0</v>
      </c>
      <c r="O42" s="114">
        <v>0</v>
      </c>
      <c r="P42" s="12">
        <v>0</v>
      </c>
      <c r="Q42" s="106">
        <f>L42+M42+N42+O42+P42</f>
        <v>31</v>
      </c>
      <c r="R42" s="137">
        <v>0</v>
      </c>
      <c r="S42" s="12">
        <v>0</v>
      </c>
      <c r="T42" s="12">
        <v>0</v>
      </c>
      <c r="U42" s="109">
        <v>0</v>
      </c>
      <c r="V42" s="107">
        <f>K42/31*R42</f>
        <v>0</v>
      </c>
      <c r="W42" s="39">
        <f>K42/31*S42</f>
        <v>0</v>
      </c>
      <c r="X42" s="39">
        <f>K42/31*T42</f>
        <v>0</v>
      </c>
      <c r="Y42" s="39">
        <f>K42/31*U42</f>
        <v>0</v>
      </c>
      <c r="Z42" s="156">
        <f t="shared" si="3"/>
        <v>0</v>
      </c>
      <c r="AA42" s="157">
        <f t="shared" si="4"/>
        <v>31</v>
      </c>
      <c r="AB42" s="125">
        <f>K42/31*O42</f>
        <v>0</v>
      </c>
      <c r="AC42" s="7">
        <f>K42/31*P42</f>
        <v>0</v>
      </c>
      <c r="AD42" s="229">
        <f>SUM(K42/31*Q42)</f>
        <v>4400</v>
      </c>
      <c r="AE42" s="244">
        <v>6</v>
      </c>
      <c r="AF42" s="207">
        <v>12</v>
      </c>
      <c r="AG42" s="252">
        <f t="shared" si="7"/>
        <v>72</v>
      </c>
      <c r="AH42" s="95">
        <v>0</v>
      </c>
      <c r="AI42" s="207">
        <v>14</v>
      </c>
      <c r="AJ42" s="92">
        <f t="shared" si="8"/>
        <v>0</v>
      </c>
      <c r="AK42" s="256">
        <f t="shared" ref="AK42:AK46" si="22">AG42+AJ42</f>
        <v>72</v>
      </c>
      <c r="AL42" s="48">
        <v>0</v>
      </c>
      <c r="AM42" s="207">
        <v>145</v>
      </c>
      <c r="AN42" s="211">
        <f t="shared" si="10"/>
        <v>0</v>
      </c>
      <c r="AO42" s="91"/>
      <c r="AP42" s="161"/>
      <c r="AQ42" s="160">
        <v>0</v>
      </c>
      <c r="AR42" s="220">
        <f t="shared" si="11"/>
        <v>4472</v>
      </c>
      <c r="AS42" s="225">
        <v>0</v>
      </c>
      <c r="AT42" s="25">
        <v>200</v>
      </c>
      <c r="AU42" s="229">
        <v>0</v>
      </c>
      <c r="AV42" s="275">
        <f t="shared" si="12"/>
        <v>4272</v>
      </c>
      <c r="AW42" s="234">
        <f>SUM(K42*80%)</f>
        <v>3520</v>
      </c>
      <c r="AX42" s="217">
        <f t="shared" si="5"/>
        <v>752</v>
      </c>
      <c r="AY42" s="239">
        <f t="shared" si="6"/>
        <v>0</v>
      </c>
      <c r="AZ42" s="123"/>
    </row>
    <row r="43" spans="1:120" ht="12" customHeight="1">
      <c r="A43" s="48" t="s">
        <v>169</v>
      </c>
      <c r="B43" s="38" t="s">
        <v>170</v>
      </c>
      <c r="C43" s="41" t="s">
        <v>171</v>
      </c>
      <c r="D43" s="66">
        <v>45240</v>
      </c>
      <c r="E43" s="38"/>
      <c r="F43" s="63">
        <v>20008089268334</v>
      </c>
      <c r="G43" s="203" t="s">
        <v>61</v>
      </c>
      <c r="H43" s="125">
        <f>K43*60%</f>
        <v>2520</v>
      </c>
      <c r="I43" s="7">
        <f>K43*20%</f>
        <v>840</v>
      </c>
      <c r="J43" s="7">
        <f>K43*20%</f>
        <v>840</v>
      </c>
      <c r="K43" s="270">
        <v>4200</v>
      </c>
      <c r="L43" s="48">
        <v>28</v>
      </c>
      <c r="M43" s="113">
        <v>3</v>
      </c>
      <c r="N43" s="12">
        <v>0</v>
      </c>
      <c r="O43" s="114">
        <v>0</v>
      </c>
      <c r="P43" s="12">
        <v>0</v>
      </c>
      <c r="Q43" s="106">
        <f>L43+M43+N43+O43+P43</f>
        <v>31</v>
      </c>
      <c r="R43" s="137">
        <v>0</v>
      </c>
      <c r="S43" s="12">
        <v>0</v>
      </c>
      <c r="T43" s="12">
        <v>0</v>
      </c>
      <c r="U43" s="109">
        <v>0</v>
      </c>
      <c r="V43" s="107">
        <f>K43/31*R43</f>
        <v>0</v>
      </c>
      <c r="W43" s="39">
        <f>K43/31*S43</f>
        <v>0</v>
      </c>
      <c r="X43" s="39">
        <f>K43/31*T43</f>
        <v>0</v>
      </c>
      <c r="Y43" s="39">
        <f>K43/31*U43</f>
        <v>0</v>
      </c>
      <c r="Z43" s="156">
        <f t="shared" si="3"/>
        <v>0</v>
      </c>
      <c r="AA43" s="157">
        <f t="shared" si="4"/>
        <v>31</v>
      </c>
      <c r="AB43" s="125">
        <f>K43/31*O43</f>
        <v>0</v>
      </c>
      <c r="AC43" s="7">
        <f>K43/31*P43</f>
        <v>0</v>
      </c>
      <c r="AD43" s="229">
        <f>SUM(K43/31*Q43)</f>
        <v>4200</v>
      </c>
      <c r="AE43" s="244">
        <v>11</v>
      </c>
      <c r="AF43" s="207">
        <v>12</v>
      </c>
      <c r="AG43" s="252">
        <f t="shared" si="7"/>
        <v>132</v>
      </c>
      <c r="AH43" s="95">
        <v>0</v>
      </c>
      <c r="AI43" s="207">
        <v>14</v>
      </c>
      <c r="AJ43" s="92">
        <f t="shared" si="8"/>
        <v>0</v>
      </c>
      <c r="AK43" s="256">
        <f t="shared" si="22"/>
        <v>132</v>
      </c>
      <c r="AL43" s="48">
        <v>2</v>
      </c>
      <c r="AM43" s="207">
        <v>138</v>
      </c>
      <c r="AN43" s="211">
        <f t="shared" si="10"/>
        <v>276</v>
      </c>
      <c r="AO43" s="91"/>
      <c r="AP43" s="161"/>
      <c r="AQ43" s="160">
        <v>0</v>
      </c>
      <c r="AR43" s="220">
        <f t="shared" si="11"/>
        <v>4608</v>
      </c>
      <c r="AS43" s="225">
        <v>0</v>
      </c>
      <c r="AT43" s="25">
        <v>0</v>
      </c>
      <c r="AU43" s="229">
        <v>0</v>
      </c>
      <c r="AV43" s="275">
        <f t="shared" si="12"/>
        <v>4608</v>
      </c>
      <c r="AW43" s="234">
        <f>SUM(K43*80%)</f>
        <v>3360</v>
      </c>
      <c r="AX43" s="217">
        <f>AV43-AW43</f>
        <v>1248</v>
      </c>
      <c r="AY43" s="239">
        <f t="shared" si="6"/>
        <v>0</v>
      </c>
      <c r="AZ43" s="104"/>
    </row>
    <row r="44" spans="1:120" s="57" customFormat="1" ht="12" customHeight="1">
      <c r="A44" s="48" t="s">
        <v>172</v>
      </c>
      <c r="B44" s="38" t="s">
        <v>173</v>
      </c>
      <c r="C44" s="41" t="s">
        <v>174</v>
      </c>
      <c r="D44" s="70">
        <v>43545</v>
      </c>
      <c r="E44" s="47"/>
      <c r="F44" s="71">
        <v>10003028452154</v>
      </c>
      <c r="G44" s="203" t="s">
        <v>61</v>
      </c>
      <c r="H44" s="125">
        <f t="shared" ref="H44:H46" si="23">K44*60%</f>
        <v>2700</v>
      </c>
      <c r="I44" s="7">
        <f t="shared" ref="I44:I46" si="24">K44*20%</f>
        <v>900</v>
      </c>
      <c r="J44" s="7">
        <f t="shared" ref="J44:J46" si="25">K44*20%</f>
        <v>900</v>
      </c>
      <c r="K44" s="270">
        <v>4500</v>
      </c>
      <c r="L44" s="48">
        <v>27</v>
      </c>
      <c r="M44" s="113">
        <v>4</v>
      </c>
      <c r="N44" s="12">
        <v>0</v>
      </c>
      <c r="O44" s="114">
        <v>0</v>
      </c>
      <c r="P44" s="12">
        <v>0</v>
      </c>
      <c r="Q44" s="106">
        <f>L44+M44+N44+O44+P44</f>
        <v>31</v>
      </c>
      <c r="R44" s="137">
        <v>0</v>
      </c>
      <c r="S44" s="12">
        <v>0</v>
      </c>
      <c r="T44" s="12">
        <v>0</v>
      </c>
      <c r="U44" s="109">
        <v>0</v>
      </c>
      <c r="V44" s="107">
        <f>K44/31*R44</f>
        <v>0</v>
      </c>
      <c r="W44" s="39">
        <f>K44/31*S44</f>
        <v>0</v>
      </c>
      <c r="X44" s="39">
        <f>K44/31*T44</f>
        <v>0</v>
      </c>
      <c r="Y44" s="39">
        <f>K44/31*U44</f>
        <v>0</v>
      </c>
      <c r="Z44" s="156">
        <f t="shared" si="3"/>
        <v>0</v>
      </c>
      <c r="AA44" s="157">
        <f t="shared" si="4"/>
        <v>31</v>
      </c>
      <c r="AB44" s="125">
        <f>K44/31*O44</f>
        <v>0</v>
      </c>
      <c r="AC44" s="7">
        <f>K44/31*P44</f>
        <v>0</v>
      </c>
      <c r="AD44" s="229">
        <f>SUM(K44/31*Q44)</f>
        <v>4500</v>
      </c>
      <c r="AE44" s="244">
        <v>23</v>
      </c>
      <c r="AF44" s="207">
        <v>12</v>
      </c>
      <c r="AG44" s="252">
        <f t="shared" si="7"/>
        <v>276</v>
      </c>
      <c r="AH44" s="95">
        <v>0</v>
      </c>
      <c r="AI44" s="207">
        <v>15</v>
      </c>
      <c r="AJ44" s="92">
        <f t="shared" si="8"/>
        <v>0</v>
      </c>
      <c r="AK44" s="256">
        <f t="shared" si="22"/>
        <v>276</v>
      </c>
      <c r="AL44" s="48">
        <v>0</v>
      </c>
      <c r="AM44" s="207">
        <v>148</v>
      </c>
      <c r="AN44" s="211">
        <f t="shared" si="10"/>
        <v>0</v>
      </c>
      <c r="AO44" s="91"/>
      <c r="AP44" s="7"/>
      <c r="AQ44" s="160">
        <v>0</v>
      </c>
      <c r="AR44" s="220">
        <f>SUM(AD44+AK44+AN44+AO44+AP44+AQ44)</f>
        <v>4776</v>
      </c>
      <c r="AS44" s="225">
        <v>0</v>
      </c>
      <c r="AT44" s="25">
        <v>0</v>
      </c>
      <c r="AU44" s="229">
        <v>0</v>
      </c>
      <c r="AV44" s="275">
        <f>AR44-AS44-AT44-AU44</f>
        <v>4776</v>
      </c>
      <c r="AW44" s="234">
        <f>SUM(K44*80%)</f>
        <v>3600</v>
      </c>
      <c r="AX44" s="217">
        <f t="shared" si="5"/>
        <v>1176</v>
      </c>
      <c r="AY44" s="239">
        <f t="shared" si="6"/>
        <v>0</v>
      </c>
      <c r="AZ44" s="104"/>
      <c r="BA44" s="60"/>
      <c r="BB44" s="60"/>
      <c r="BC44" s="60"/>
      <c r="BD44" s="60"/>
      <c r="BE44" s="60"/>
      <c r="BF44" s="60"/>
      <c r="BG44" s="60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</row>
    <row r="45" spans="1:120" s="58" customFormat="1" ht="11.25" customHeight="1">
      <c r="A45" s="48" t="s">
        <v>175</v>
      </c>
      <c r="B45" s="38" t="s">
        <v>176</v>
      </c>
      <c r="C45" s="41" t="s">
        <v>177</v>
      </c>
      <c r="D45" s="70">
        <v>44726</v>
      </c>
      <c r="E45" s="72"/>
      <c r="F45" s="69">
        <v>20001018332487</v>
      </c>
      <c r="G45" s="203" t="s">
        <v>61</v>
      </c>
      <c r="H45" s="125">
        <f>K45*60%</f>
        <v>2580</v>
      </c>
      <c r="I45" s="7">
        <f>K45*20%</f>
        <v>860</v>
      </c>
      <c r="J45" s="7">
        <f>K45*20%</f>
        <v>860</v>
      </c>
      <c r="K45" s="270">
        <v>4300</v>
      </c>
      <c r="L45" s="48">
        <v>28</v>
      </c>
      <c r="M45" s="113">
        <v>3</v>
      </c>
      <c r="N45" s="12">
        <v>0</v>
      </c>
      <c r="O45" s="114">
        <v>0</v>
      </c>
      <c r="P45" s="12">
        <v>0</v>
      </c>
      <c r="Q45" s="106">
        <f>L45+M45+N45+O45+P45</f>
        <v>31</v>
      </c>
      <c r="R45" s="137">
        <v>0</v>
      </c>
      <c r="S45" s="12">
        <v>0</v>
      </c>
      <c r="T45" s="12">
        <v>0</v>
      </c>
      <c r="U45" s="109">
        <v>0</v>
      </c>
      <c r="V45" s="107">
        <f>K45/31*R45</f>
        <v>0</v>
      </c>
      <c r="W45" s="39">
        <f>K45/31*S45</f>
        <v>0</v>
      </c>
      <c r="X45" s="39">
        <f>K45/31*T45</f>
        <v>0</v>
      </c>
      <c r="Y45" s="39">
        <f>K45/31*U45</f>
        <v>0</v>
      </c>
      <c r="Z45" s="156">
        <f t="shared" si="3"/>
        <v>0</v>
      </c>
      <c r="AA45" s="157">
        <f t="shared" si="4"/>
        <v>31</v>
      </c>
      <c r="AB45" s="125">
        <f>K45/31*O45</f>
        <v>0</v>
      </c>
      <c r="AC45" s="7">
        <f>K45/31*P45</f>
        <v>0</v>
      </c>
      <c r="AD45" s="229">
        <f>SUM(K45/31*Q45)</f>
        <v>4300</v>
      </c>
      <c r="AE45" s="244">
        <v>1</v>
      </c>
      <c r="AF45" s="207">
        <v>12</v>
      </c>
      <c r="AG45" s="252">
        <f t="shared" si="7"/>
        <v>12</v>
      </c>
      <c r="AH45" s="95">
        <v>0</v>
      </c>
      <c r="AI45" s="207">
        <v>14</v>
      </c>
      <c r="AJ45" s="92">
        <f t="shared" si="8"/>
        <v>0</v>
      </c>
      <c r="AK45" s="256">
        <f t="shared" si="22"/>
        <v>12</v>
      </c>
      <c r="AL45" s="48">
        <v>2</v>
      </c>
      <c r="AM45" s="207">
        <v>141</v>
      </c>
      <c r="AN45" s="211">
        <f t="shared" si="10"/>
        <v>282</v>
      </c>
      <c r="AO45" s="91"/>
      <c r="AP45" s="161"/>
      <c r="AQ45" s="160">
        <v>0</v>
      </c>
      <c r="AR45" s="220">
        <f t="shared" si="11"/>
        <v>4594</v>
      </c>
      <c r="AS45" s="225">
        <v>0</v>
      </c>
      <c r="AT45" s="25">
        <v>0</v>
      </c>
      <c r="AU45" s="229">
        <v>0</v>
      </c>
      <c r="AV45" s="275">
        <f>AR45-AS45-AT45-AU45</f>
        <v>4594</v>
      </c>
      <c r="AW45" s="234">
        <f>SUM(K45*80%)</f>
        <v>3440</v>
      </c>
      <c r="AX45" s="217">
        <f t="shared" si="5"/>
        <v>1154</v>
      </c>
      <c r="AY45" s="239">
        <f t="shared" si="6"/>
        <v>0</v>
      </c>
      <c r="AZ45" s="101"/>
      <c r="BA45" s="60"/>
      <c r="BB45" s="60"/>
      <c r="BC45" s="60"/>
      <c r="BD45" s="60"/>
      <c r="BE45" s="60"/>
      <c r="BF45" s="60"/>
      <c r="BG45" s="60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</row>
    <row r="46" spans="1:120" ht="12" customHeight="1">
      <c r="A46" s="48" t="s">
        <v>178</v>
      </c>
      <c r="B46" s="38" t="s">
        <v>179</v>
      </c>
      <c r="C46" s="41" t="s">
        <v>180</v>
      </c>
      <c r="D46" s="67">
        <v>44855</v>
      </c>
      <c r="E46" s="72"/>
      <c r="F46" s="69">
        <v>20001019050434</v>
      </c>
      <c r="G46" s="203" t="s">
        <v>61</v>
      </c>
      <c r="H46" s="125">
        <f t="shared" si="23"/>
        <v>2580</v>
      </c>
      <c r="I46" s="7">
        <f t="shared" si="24"/>
        <v>860</v>
      </c>
      <c r="J46" s="7">
        <f t="shared" si="25"/>
        <v>860</v>
      </c>
      <c r="K46" s="270">
        <v>4300</v>
      </c>
      <c r="L46" s="48">
        <v>26</v>
      </c>
      <c r="M46" s="113">
        <v>3</v>
      </c>
      <c r="N46" s="12">
        <v>0</v>
      </c>
      <c r="O46" s="113">
        <v>0</v>
      </c>
      <c r="P46" s="12">
        <v>2</v>
      </c>
      <c r="Q46" s="106">
        <f>L46+M46+N46+O46+P46</f>
        <v>31</v>
      </c>
      <c r="R46" s="137">
        <v>0</v>
      </c>
      <c r="S46" s="12">
        <v>0</v>
      </c>
      <c r="T46" s="12">
        <v>0</v>
      </c>
      <c r="U46" s="109">
        <v>0</v>
      </c>
      <c r="V46" s="107">
        <f>K46/31*R46</f>
        <v>0</v>
      </c>
      <c r="W46" s="39">
        <f>K46/31*S46</f>
        <v>0</v>
      </c>
      <c r="X46" s="39">
        <f>K46/31*T46</f>
        <v>0</v>
      </c>
      <c r="Y46" s="39">
        <f>K46/31*U46</f>
        <v>0</v>
      </c>
      <c r="Z46" s="156">
        <f t="shared" si="3"/>
        <v>0</v>
      </c>
      <c r="AA46" s="157">
        <f t="shared" si="4"/>
        <v>31</v>
      </c>
      <c r="AB46" s="125">
        <f>K46/31*O46</f>
        <v>0</v>
      </c>
      <c r="AC46" s="7">
        <f>K46/31*P46</f>
        <v>277.41935483870969</v>
      </c>
      <c r="AD46" s="229">
        <f>SUM(K46/31*Q46)</f>
        <v>4300</v>
      </c>
      <c r="AE46" s="244">
        <v>7</v>
      </c>
      <c r="AF46" s="207">
        <v>12</v>
      </c>
      <c r="AG46" s="252">
        <f t="shared" si="7"/>
        <v>84</v>
      </c>
      <c r="AH46" s="95">
        <v>0</v>
      </c>
      <c r="AI46" s="207">
        <v>14</v>
      </c>
      <c r="AJ46" s="92">
        <f t="shared" si="8"/>
        <v>0</v>
      </c>
      <c r="AK46" s="256">
        <f t="shared" si="22"/>
        <v>84</v>
      </c>
      <c r="AL46" s="48">
        <v>2</v>
      </c>
      <c r="AM46" s="207">
        <v>141</v>
      </c>
      <c r="AN46" s="211">
        <f t="shared" si="10"/>
        <v>282</v>
      </c>
      <c r="AO46" s="91"/>
      <c r="AP46" s="161"/>
      <c r="AQ46" s="160">
        <v>0</v>
      </c>
      <c r="AR46" s="220">
        <f t="shared" si="11"/>
        <v>4666</v>
      </c>
      <c r="AS46" s="225">
        <v>0</v>
      </c>
      <c r="AT46" s="25">
        <v>0</v>
      </c>
      <c r="AU46" s="229">
        <v>0</v>
      </c>
      <c r="AV46" s="275">
        <f>AR46-AS46-AT46-AU46</f>
        <v>4666</v>
      </c>
      <c r="AW46" s="234">
        <f>SUM(K46*80%)</f>
        <v>3440</v>
      </c>
      <c r="AX46" s="217">
        <f t="shared" si="5"/>
        <v>1226</v>
      </c>
      <c r="AY46" s="239">
        <f t="shared" si="6"/>
        <v>0</v>
      </c>
      <c r="AZ46" s="101"/>
    </row>
    <row r="47" spans="1:120" s="57" customFormat="1" ht="12" customHeight="1">
      <c r="A47" s="48" t="s">
        <v>181</v>
      </c>
      <c r="B47" s="38" t="s">
        <v>182</v>
      </c>
      <c r="C47" s="41" t="s">
        <v>183</v>
      </c>
      <c r="D47" s="66">
        <v>45241</v>
      </c>
      <c r="E47" s="38"/>
      <c r="F47" s="63">
        <v>20011018393999</v>
      </c>
      <c r="G47" s="203" t="s">
        <v>61</v>
      </c>
      <c r="H47" s="125">
        <f>K47*60%</f>
        <v>2520</v>
      </c>
      <c r="I47" s="7">
        <f>K47*20%</f>
        <v>840</v>
      </c>
      <c r="J47" s="7">
        <f>K47*20%</f>
        <v>840</v>
      </c>
      <c r="K47" s="270">
        <v>4200</v>
      </c>
      <c r="L47" s="48">
        <v>28</v>
      </c>
      <c r="M47" s="113">
        <v>3</v>
      </c>
      <c r="N47" s="12">
        <v>0</v>
      </c>
      <c r="O47" s="114">
        <v>0</v>
      </c>
      <c r="P47" s="12">
        <v>0</v>
      </c>
      <c r="Q47" s="106">
        <f>L47+M47+N47+O47+P47</f>
        <v>31</v>
      </c>
      <c r="R47" s="137">
        <v>0</v>
      </c>
      <c r="S47" s="12">
        <v>0</v>
      </c>
      <c r="T47" s="12">
        <v>0</v>
      </c>
      <c r="U47" s="109">
        <v>0</v>
      </c>
      <c r="V47" s="107">
        <f>K47/31*R47</f>
        <v>0</v>
      </c>
      <c r="W47" s="39">
        <f>K47/31*S47</f>
        <v>0</v>
      </c>
      <c r="X47" s="39">
        <f>K47/31*T47</f>
        <v>0</v>
      </c>
      <c r="Y47" s="39">
        <f>K47/31*U47</f>
        <v>0</v>
      </c>
      <c r="Z47" s="156">
        <f t="shared" ref="Z47" si="26">R47+S47+T47+U47</f>
        <v>0</v>
      </c>
      <c r="AA47" s="157">
        <f t="shared" ref="AA47" si="27">Q47+Z47</f>
        <v>31</v>
      </c>
      <c r="AB47" s="125">
        <f>K47/31*O47</f>
        <v>0</v>
      </c>
      <c r="AC47" s="7">
        <f>K47/31*P47</f>
        <v>0</v>
      </c>
      <c r="AD47" s="229">
        <f>SUM(K47/31*Q47)</f>
        <v>4200</v>
      </c>
      <c r="AE47" s="244">
        <v>4</v>
      </c>
      <c r="AF47" s="207">
        <v>12</v>
      </c>
      <c r="AG47" s="252">
        <f>AE47*AF47</f>
        <v>48</v>
      </c>
      <c r="AH47" s="95">
        <v>0</v>
      </c>
      <c r="AI47" s="207">
        <v>14</v>
      </c>
      <c r="AJ47" s="92">
        <f>AH47*AI47</f>
        <v>0</v>
      </c>
      <c r="AK47" s="256">
        <f>AG47+AJ47</f>
        <v>48</v>
      </c>
      <c r="AL47" s="48">
        <v>2</v>
      </c>
      <c r="AM47" s="207">
        <v>138</v>
      </c>
      <c r="AN47" s="211">
        <f t="shared" ref="AN47:AN48" si="28">AL47*AM47</f>
        <v>276</v>
      </c>
      <c r="AO47" s="91"/>
      <c r="AP47" s="7"/>
      <c r="AQ47" s="160">
        <v>0</v>
      </c>
      <c r="AR47" s="220">
        <f>SUM(AD47+AK47+AN47+AO47+AP47+AQ47)</f>
        <v>4524</v>
      </c>
      <c r="AS47" s="225">
        <v>0</v>
      </c>
      <c r="AT47" s="25">
        <v>0</v>
      </c>
      <c r="AU47" s="229">
        <v>0</v>
      </c>
      <c r="AV47" s="276">
        <f>AR47-AS47-AT47-AU47</f>
        <v>4524</v>
      </c>
      <c r="AW47" s="234">
        <f>SUM(K47*80%)</f>
        <v>3360</v>
      </c>
      <c r="AX47" s="217">
        <f t="shared" ref="AX47" si="29">AV47-AW47</f>
        <v>1164</v>
      </c>
      <c r="AY47" s="239">
        <f t="shared" ref="AY47" si="30">+AV47-AW47-AX47</f>
        <v>0</v>
      </c>
      <c r="AZ47" s="145"/>
      <c r="BA47" s="60"/>
      <c r="BB47" s="60"/>
      <c r="BC47" s="60"/>
      <c r="BD47" s="60"/>
      <c r="BE47" s="60"/>
      <c r="BF47" s="60"/>
      <c r="BG47" s="60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</row>
    <row r="48" spans="1:120" s="182" customFormat="1" ht="12" customHeight="1">
      <c r="A48" s="164" t="s">
        <v>184</v>
      </c>
      <c r="B48" s="138" t="s">
        <v>185</v>
      </c>
      <c r="C48" s="139" t="s">
        <v>186</v>
      </c>
      <c r="D48" s="140">
        <v>46028</v>
      </c>
      <c r="E48" s="138"/>
      <c r="F48" s="141">
        <v>20014039369363</v>
      </c>
      <c r="G48" s="205" t="s">
        <v>61</v>
      </c>
      <c r="H48" s="195">
        <f>K48*60%</f>
        <v>2100</v>
      </c>
      <c r="I48" s="184">
        <f>K48*20%</f>
        <v>700</v>
      </c>
      <c r="J48" s="184">
        <f>K48*20%</f>
        <v>700</v>
      </c>
      <c r="K48" s="162">
        <v>3500</v>
      </c>
      <c r="L48" s="265">
        <v>23</v>
      </c>
      <c r="M48" s="185">
        <v>3</v>
      </c>
      <c r="N48" s="186">
        <v>0</v>
      </c>
      <c r="O48" s="185">
        <v>0</v>
      </c>
      <c r="P48" s="187">
        <v>0</v>
      </c>
      <c r="Q48" s="188">
        <f>L48+M48+N48+O48+P48</f>
        <v>26</v>
      </c>
      <c r="R48" s="189">
        <v>0</v>
      </c>
      <c r="S48" s="186">
        <v>0</v>
      </c>
      <c r="T48" s="186">
        <v>0</v>
      </c>
      <c r="U48" s="190">
        <v>0</v>
      </c>
      <c r="V48" s="191">
        <f>K48/31*R48</f>
        <v>0</v>
      </c>
      <c r="W48" s="192">
        <f>K48/31*S48</f>
        <v>0</v>
      </c>
      <c r="X48" s="192">
        <f>K48/31*T48</f>
        <v>0</v>
      </c>
      <c r="Y48" s="192">
        <f>K48/31*U48</f>
        <v>0</v>
      </c>
      <c r="Z48" s="193">
        <f t="shared" si="3"/>
        <v>0</v>
      </c>
      <c r="AA48" s="194">
        <f t="shared" si="4"/>
        <v>26</v>
      </c>
      <c r="AB48" s="195">
        <f>K48/31*O48</f>
        <v>0</v>
      </c>
      <c r="AC48" s="184">
        <f>K48/31*P48</f>
        <v>0</v>
      </c>
      <c r="AD48" s="231">
        <f>SUM(K48/31*Q48)</f>
        <v>2935.483870967742</v>
      </c>
      <c r="AE48" s="246">
        <v>5</v>
      </c>
      <c r="AF48" s="213">
        <v>10</v>
      </c>
      <c r="AG48" s="271">
        <f>AE48*AF48</f>
        <v>50</v>
      </c>
      <c r="AH48" s="197">
        <v>0</v>
      </c>
      <c r="AI48" s="213">
        <v>12</v>
      </c>
      <c r="AJ48" s="196">
        <f>AH48*AI48</f>
        <v>0</v>
      </c>
      <c r="AK48" s="258">
        <f>AG48+AJ48</f>
        <v>50</v>
      </c>
      <c r="AL48" s="265">
        <v>0</v>
      </c>
      <c r="AM48" s="213">
        <v>115</v>
      </c>
      <c r="AN48" s="214">
        <f t="shared" si="28"/>
        <v>0</v>
      </c>
      <c r="AO48" s="183"/>
      <c r="AP48" s="184"/>
      <c r="AQ48" s="216">
        <v>0</v>
      </c>
      <c r="AR48" s="222">
        <f>SUM(AD48+AK48+AN48+AO48+AP48+AQ48)</f>
        <v>2985.483870967742</v>
      </c>
      <c r="AS48" s="227">
        <v>0</v>
      </c>
      <c r="AT48" s="198">
        <v>126</v>
      </c>
      <c r="AU48" s="231">
        <v>0</v>
      </c>
      <c r="AV48" s="277">
        <f>AR48-AS48-AT48-AU48</f>
        <v>2859.483870967742</v>
      </c>
      <c r="AW48" s="236">
        <f>SUM(K48*80%)</f>
        <v>2800</v>
      </c>
      <c r="AX48" s="237">
        <f t="shared" si="5"/>
        <v>59.48387096774195</v>
      </c>
      <c r="AY48" s="241">
        <f t="shared" si="6"/>
        <v>0</v>
      </c>
      <c r="AZ48" s="199"/>
      <c r="BA48" s="181"/>
      <c r="BB48" s="181"/>
      <c r="BC48" s="181"/>
      <c r="BD48" s="181"/>
      <c r="BE48" s="181"/>
      <c r="BF48" s="181"/>
      <c r="BG48" s="181"/>
    </row>
    <row r="49" spans="1:49" ht="15" customHeight="1">
      <c r="L49" s="94">
        <f>SUM(L7:L48)</f>
        <v>1110</v>
      </c>
      <c r="N49" s="94">
        <f>SUM(N7:N48)</f>
        <v>0</v>
      </c>
      <c r="AD49" s="40"/>
      <c r="AE49" s="13">
        <f>SUM(AE7:AE48)</f>
        <v>471</v>
      </c>
      <c r="AH49" s="13">
        <f>SUM(AH7:AH48)</f>
        <v>1</v>
      </c>
      <c r="AI49" s="13"/>
      <c r="AJ49" s="13"/>
      <c r="AK49" s="13">
        <f>SUM(AK7:AK48)</f>
        <v>5632</v>
      </c>
      <c r="AL49" s="13">
        <f>SUM(AL7:AL48)</f>
        <v>64</v>
      </c>
      <c r="AN49" s="96">
        <f>SUM(AN7:AN48)</f>
        <v>9128</v>
      </c>
      <c r="AO49" s="8">
        <f>SUM(AO7:AO48)</f>
        <v>160</v>
      </c>
      <c r="AP49" s="8">
        <f>SUM(AP7:AP48)</f>
        <v>0</v>
      </c>
      <c r="AQ49" s="8">
        <f>SUM(AQ7:AQ48)</f>
        <v>1306.6400000000001</v>
      </c>
      <c r="AR49" s="8">
        <f>SUM(AR7:AR48)</f>
        <v>190445.99483870968</v>
      </c>
      <c r="AS49" s="8">
        <f t="shared" ref="AS49:AV49" si="31">SUM(AS7:AS48)</f>
        <v>0</v>
      </c>
      <c r="AT49" s="8">
        <f>SUM(AT7:AT48)</f>
        <v>2962</v>
      </c>
      <c r="AU49" s="8">
        <f t="shared" si="31"/>
        <v>0</v>
      </c>
      <c r="AV49" s="8">
        <f>SUM(AV7:AV48)</f>
        <v>187483.99483870968</v>
      </c>
      <c r="AW49" s="9"/>
    </row>
    <row r="50" spans="1:49" ht="15" customHeight="1">
      <c r="AQ50" s="6"/>
      <c r="AR50" s="8"/>
    </row>
    <row r="51" spans="1:49" ht="15" customHeight="1">
      <c r="A51" s="10"/>
      <c r="D51" s="4"/>
      <c r="F51" s="53"/>
      <c r="G51" s="4"/>
      <c r="AQ51" s="8"/>
      <c r="AR51" s="8"/>
      <c r="AV51" s="110"/>
    </row>
    <row r="52" spans="1:49" ht="15" customHeight="1">
      <c r="B52" s="54"/>
      <c r="C52" s="54"/>
      <c r="D52" s="4"/>
      <c r="F52" s="4"/>
      <c r="G52" s="4"/>
      <c r="AN52" s="96"/>
      <c r="AQ52" s="8"/>
      <c r="AR52" s="8"/>
    </row>
    <row r="53" spans="1:49" ht="15" customHeight="1">
      <c r="B53" s="54"/>
      <c r="C53" s="54"/>
      <c r="D53" s="4"/>
      <c r="F53" s="4"/>
      <c r="G53" s="4"/>
      <c r="AR53" s="8"/>
    </row>
    <row r="54" spans="1:49" ht="15" customHeight="1">
      <c r="H54" s="286" t="s">
        <v>187</v>
      </c>
      <c r="I54" s="357"/>
      <c r="J54" s="357"/>
      <c r="K54" s="358"/>
      <c r="L54" s="286">
        <f>L49*12</f>
        <v>13320</v>
      </c>
      <c r="M54" s="287"/>
      <c r="AE54" s="13"/>
      <c r="AO54" s="341" t="s">
        <v>188</v>
      </c>
      <c r="AP54" s="341"/>
      <c r="AQ54" s="341"/>
      <c r="AR54" s="108">
        <f>AQ52+AR52</f>
        <v>0</v>
      </c>
      <c r="AS54" s="79" t="s">
        <v>189</v>
      </c>
      <c r="AT54" s="97">
        <f>AS49+AT49+AU49</f>
        <v>2962</v>
      </c>
      <c r="AV54" s="78" t="s">
        <v>190</v>
      </c>
      <c r="AW54" s="282">
        <f>SUM(AV7:AV26)-AQ18</f>
        <v>85458.870967741939</v>
      </c>
    </row>
    <row r="55" spans="1:49" ht="15" customHeight="1">
      <c r="H55" s="347" t="s">
        <v>191</v>
      </c>
      <c r="I55" s="348"/>
      <c r="J55" s="348"/>
      <c r="K55" s="349"/>
      <c r="L55" s="284">
        <f>AE49+AH49</f>
        <v>472</v>
      </c>
      <c r="M55" s="285"/>
      <c r="AQ55" s="55"/>
      <c r="AR55" s="8"/>
      <c r="AV55" s="77"/>
      <c r="AW55" s="279">
        <f>SUM(AV27:AV46)</f>
        <v>93335</v>
      </c>
    </row>
    <row r="56" spans="1:49" ht="15" customHeight="1">
      <c r="H56" s="200"/>
      <c r="I56" s="201"/>
      <c r="J56" s="201"/>
      <c r="K56" s="266"/>
      <c r="L56" s="267"/>
      <c r="M56" s="268"/>
      <c r="AQ56" s="55"/>
      <c r="AR56" s="8"/>
      <c r="AV56" s="77"/>
      <c r="AW56" s="278">
        <f>SUM(AV47:AV48)</f>
        <v>7383.4838709677424</v>
      </c>
    </row>
    <row r="57" spans="1:49" ht="15" customHeight="1">
      <c r="A57" s="10"/>
      <c r="H57" s="347" t="s">
        <v>192</v>
      </c>
      <c r="I57" s="348"/>
      <c r="J57" s="348"/>
      <c r="K57" s="349"/>
      <c r="L57" s="284">
        <f>AL49</f>
        <v>64</v>
      </c>
      <c r="M57" s="285"/>
      <c r="AQ57" s="56"/>
      <c r="AR57" s="8"/>
      <c r="AW57" s="281">
        <f>AQ18</f>
        <v>1306.6400000000001</v>
      </c>
    </row>
    <row r="58" spans="1:49" ht="15" customHeight="1">
      <c r="H58" s="347" t="s">
        <v>193</v>
      </c>
      <c r="I58" s="348"/>
      <c r="J58" s="348"/>
      <c r="K58" s="349"/>
      <c r="L58" s="347">
        <f>SUM(L54:L57)</f>
        <v>13856</v>
      </c>
      <c r="M58" s="362"/>
      <c r="AO58" s="341" t="s">
        <v>194</v>
      </c>
      <c r="AP58" s="341"/>
      <c r="AQ58" s="341"/>
      <c r="AR58" s="108"/>
      <c r="AV58" s="77" t="s">
        <v>54</v>
      </c>
      <c r="AW58" s="283">
        <f>AW54+AW56+AW55+AW57</f>
        <v>187483.99483870971</v>
      </c>
    </row>
    <row r="59" spans="1:49" ht="15" customHeight="1">
      <c r="H59" s="344" t="s">
        <v>54</v>
      </c>
      <c r="I59" s="345"/>
      <c r="J59" s="345"/>
      <c r="K59" s="346"/>
      <c r="L59" s="360">
        <f>AR49-AQ49</f>
        <v>189139.35483870967</v>
      </c>
      <c r="M59" s="361"/>
      <c r="N59" s="359">
        <f>L59/4</f>
        <v>47284.838709677417</v>
      </c>
      <c r="O59" s="359"/>
      <c r="AQ59" s="56"/>
      <c r="AR59" s="8"/>
      <c r="AV59" s="77" t="s">
        <v>195</v>
      </c>
      <c r="AW59" s="280">
        <f>AV49-AW58</f>
        <v>0</v>
      </c>
    </row>
    <row r="60" spans="1:49" ht="15" customHeight="1">
      <c r="AQ60" s="56"/>
      <c r="AR60" s="8">
        <f>AR49-AO17</f>
        <v>190445.99483870968</v>
      </c>
      <c r="AV60" s="77"/>
      <c r="AW60" s="100"/>
    </row>
    <row r="61" spans="1:49" ht="15" customHeight="1">
      <c r="L61" s="8"/>
    </row>
    <row r="67" spans="45:45" ht="15" customHeight="1">
      <c r="AS67" s="8"/>
    </row>
  </sheetData>
  <autoFilter ref="A1:K67" xr:uid="{88F0AC89-A5F2-4C4B-906C-DFCFD6EB11B3}">
    <filterColumn colId="4" showButton="0"/>
    <filterColumn colId="5" showButton="0"/>
  </autoFilter>
  <mergeCells count="48">
    <mergeCell ref="AO54:AQ54"/>
    <mergeCell ref="AO58:AQ58"/>
    <mergeCell ref="AQ5:AQ6"/>
    <mergeCell ref="H59:K59"/>
    <mergeCell ref="H55:K55"/>
    <mergeCell ref="H57:K57"/>
    <mergeCell ref="H58:K58"/>
    <mergeCell ref="J5:J6"/>
    <mergeCell ref="K5:K6"/>
    <mergeCell ref="AL5:AN5"/>
    <mergeCell ref="R5:Z5"/>
    <mergeCell ref="H54:K54"/>
    <mergeCell ref="N59:O59"/>
    <mergeCell ref="L59:M59"/>
    <mergeCell ref="L58:M58"/>
    <mergeCell ref="L57:M57"/>
    <mergeCell ref="AO5:AO6"/>
    <mergeCell ref="A4:G4"/>
    <mergeCell ref="A5:A6"/>
    <mergeCell ref="AS4:AU4"/>
    <mergeCell ref="H4:K4"/>
    <mergeCell ref="L4:AR4"/>
    <mergeCell ref="C5:C6"/>
    <mergeCell ref="D5:D6"/>
    <mergeCell ref="AE5:AK5"/>
    <mergeCell ref="E5:E6"/>
    <mergeCell ref="H5:H6"/>
    <mergeCell ref="I5:I6"/>
    <mergeCell ref="B5:B6"/>
    <mergeCell ref="AB5:AD5"/>
    <mergeCell ref="L5:Q5"/>
    <mergeCell ref="AA5:AA6"/>
    <mergeCell ref="L55:M55"/>
    <mergeCell ref="L54:M54"/>
    <mergeCell ref="E1:G1"/>
    <mergeCell ref="AZ4:AZ6"/>
    <mergeCell ref="G5:G6"/>
    <mergeCell ref="F5:F6"/>
    <mergeCell ref="AR5:AR6"/>
    <mergeCell ref="AS5:AS6"/>
    <mergeCell ref="AV5:AV6"/>
    <mergeCell ref="AT5:AT6"/>
    <mergeCell ref="AY5:AY6"/>
    <mergeCell ref="AX5:AX6"/>
    <mergeCell ref="AW4:AY4"/>
    <mergeCell ref="AU5:AU6"/>
    <mergeCell ref="AW5:AW6"/>
    <mergeCell ref="AP5:AP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8CFB-79BB-4080-BE8B-C5D0781E1D1A}">
  <sheetPr>
    <pageSetUpPr fitToPage="1"/>
  </sheetPr>
  <dimension ref="A1:T56"/>
  <sheetViews>
    <sheetView topLeftCell="A18" workbookViewId="0">
      <selection activeCell="A49" sqref="A49:T56"/>
    </sheetView>
  </sheetViews>
  <sheetFormatPr defaultRowHeight="15"/>
  <cols>
    <col min="1" max="1" width="9.42578125" style="14" customWidth="1"/>
    <col min="2" max="2" width="13.7109375" style="14" bestFit="1" customWidth="1"/>
    <col min="3" max="5" width="9.42578125" style="14" customWidth="1"/>
    <col min="6" max="6" width="13.7109375" style="14" bestFit="1" customWidth="1"/>
    <col min="7" max="7" width="9.42578125" style="14" customWidth="1"/>
    <col min="8" max="8" width="13.7109375" style="14" bestFit="1" customWidth="1"/>
    <col min="9" max="11" width="9.42578125" style="14" customWidth="1"/>
    <col min="12" max="12" width="13.7109375" style="14" bestFit="1" customWidth="1"/>
    <col min="13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9.5">
      <c r="A8" s="472" t="s">
        <v>200</v>
      </c>
      <c r="B8" s="473"/>
      <c r="C8" s="474"/>
      <c r="D8" s="478" t="str">
        <f>'Infos Mensuelles'!B7</f>
        <v>MANNAPPAN THARAMMAL</v>
      </c>
      <c r="E8" s="479"/>
      <c r="F8" s="480"/>
      <c r="G8" s="471"/>
      <c r="H8" s="494" t="s">
        <v>201</v>
      </c>
      <c r="I8" s="495"/>
      <c r="J8" s="496">
        <f>'Infos Mensuelles'!F7</f>
        <v>10028058458199</v>
      </c>
      <c r="K8" s="497"/>
      <c r="L8" s="498"/>
    </row>
    <row r="9" spans="1:12" ht="19.5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 t="str">
        <f>'Infos Mensuelles'!D7</f>
        <v>23.08.2022</v>
      </c>
      <c r="K9" s="502"/>
      <c r="L9" s="503"/>
    </row>
    <row r="10" spans="1:12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>
      <c r="A11" s="472" t="s">
        <v>203</v>
      </c>
      <c r="B11" s="473"/>
      <c r="C11" s="474"/>
      <c r="D11" s="478" t="str">
        <f>'Infos Mensuelles'!C7</f>
        <v>Abdulla</v>
      </c>
      <c r="E11" s="479"/>
      <c r="F11" s="480"/>
      <c r="G11" s="471"/>
      <c r="H11" s="484" t="s">
        <v>204</v>
      </c>
      <c r="I11" s="485"/>
      <c r="J11" s="488" t="str">
        <f>'Infos Mensuelles'!G7</f>
        <v>Light Vehicule Driver</v>
      </c>
      <c r="K11" s="489"/>
      <c r="L11" s="490"/>
    </row>
    <row r="12" spans="1:12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Mensuelles'!L7</f>
        <v>28</v>
      </c>
      <c r="E16" s="444" t="s">
        <v>207</v>
      </c>
      <c r="F16" s="445"/>
      <c r="G16" s="445"/>
      <c r="H16" s="36">
        <f>'Infos Mensuelles'!S7</f>
        <v>0</v>
      </c>
      <c r="I16" s="446" t="s">
        <v>208</v>
      </c>
      <c r="J16" s="447"/>
      <c r="K16" s="447"/>
      <c r="L16" s="28">
        <f>'Infos Mensuelles'!AE7</f>
        <v>5</v>
      </c>
    </row>
    <row r="17" spans="1:16">
      <c r="A17" s="421" t="s">
        <v>209</v>
      </c>
      <c r="B17" s="422"/>
      <c r="C17" s="422"/>
      <c r="D17" s="29">
        <f>'Infos Mensuelles'!N7</f>
        <v>0</v>
      </c>
      <c r="E17" s="421" t="s">
        <v>210</v>
      </c>
      <c r="F17" s="422"/>
      <c r="G17" s="422"/>
      <c r="H17" s="37">
        <f>'Infos Mensuelles'!T7</f>
        <v>0</v>
      </c>
      <c r="I17" s="448" t="s">
        <v>211</v>
      </c>
      <c r="J17" s="449"/>
      <c r="K17" s="449"/>
      <c r="L17" s="30">
        <f>'Infos Mensuelles'!AH7</f>
        <v>0</v>
      </c>
    </row>
    <row r="18" spans="1:16">
      <c r="A18" s="421" t="s">
        <v>212</v>
      </c>
      <c r="B18" s="422"/>
      <c r="C18" s="422"/>
      <c r="D18" s="29">
        <f>'Infos Mensuelles'!M7</f>
        <v>3</v>
      </c>
      <c r="E18" s="23" t="s">
        <v>213</v>
      </c>
      <c r="F18" s="24"/>
      <c r="G18" s="24"/>
      <c r="H18" s="37">
        <f>'Infos Mensuelles'!U7</f>
        <v>0</v>
      </c>
      <c r="I18" s="421" t="s">
        <v>214</v>
      </c>
      <c r="J18" s="422"/>
      <c r="K18" s="422"/>
      <c r="L18" s="30">
        <f>'Infos Mensuelles'!AL7</f>
        <v>2</v>
      </c>
    </row>
    <row r="19" spans="1:16">
      <c r="A19" s="421" t="s">
        <v>215</v>
      </c>
      <c r="B19" s="422"/>
      <c r="C19" s="422"/>
      <c r="D19" s="33">
        <f>'Infos Mensuelles'!P7</f>
        <v>0</v>
      </c>
      <c r="E19" s="421" t="s">
        <v>216</v>
      </c>
      <c r="F19" s="422"/>
      <c r="G19" s="422"/>
      <c r="H19" s="37">
        <f>'Infos Mensuelles'!R7</f>
        <v>0</v>
      </c>
      <c r="I19" s="421" t="s">
        <v>217</v>
      </c>
      <c r="J19" s="422"/>
      <c r="K19" s="422"/>
      <c r="L19" s="32">
        <f>'Infos Mensuelles'!O7</f>
        <v>0</v>
      </c>
    </row>
    <row r="20" spans="1:16">
      <c r="A20" s="419" t="s">
        <v>218</v>
      </c>
      <c r="B20" s="420"/>
      <c r="C20" s="420"/>
      <c r="D20" s="31">
        <f>'Infos Mensuelles'!Q7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6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6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6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6" s="16" customFormat="1" ht="14.45" customHeight="1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</row>
    <row r="25" spans="1:16" s="16" customFormat="1" ht="16.5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6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6">
      <c r="A27" s="411" t="s">
        <v>224</v>
      </c>
      <c r="B27" s="412"/>
      <c r="C27" s="412"/>
      <c r="D27" s="412"/>
      <c r="E27" s="412"/>
      <c r="F27" s="412"/>
      <c r="G27" s="406">
        <f>'Infos Mensuelles'!H7</f>
        <v>2580</v>
      </c>
      <c r="H27" s="407"/>
      <c r="I27" s="407"/>
      <c r="J27" s="416"/>
      <c r="K27" s="417"/>
      <c r="L27" s="418"/>
    </row>
    <row r="28" spans="1:16">
      <c r="A28" s="411" t="s">
        <v>16</v>
      </c>
      <c r="B28" s="412"/>
      <c r="C28" s="412"/>
      <c r="D28" s="412"/>
      <c r="E28" s="412"/>
      <c r="F28" s="412"/>
      <c r="G28" s="406">
        <f>'Infos Mensuelles'!I7</f>
        <v>860</v>
      </c>
      <c r="H28" s="407"/>
      <c r="I28" s="407"/>
      <c r="J28" s="416"/>
      <c r="K28" s="417"/>
      <c r="L28" s="418"/>
    </row>
    <row r="29" spans="1:16">
      <c r="A29" s="411" t="s">
        <v>225</v>
      </c>
      <c r="B29" s="412"/>
      <c r="C29" s="412"/>
      <c r="D29" s="412"/>
      <c r="E29" s="412"/>
      <c r="F29" s="412"/>
      <c r="G29" s="406">
        <f>'Infos Mensuelles'!J7</f>
        <v>860</v>
      </c>
      <c r="H29" s="407"/>
      <c r="I29" s="407"/>
      <c r="J29" s="416"/>
      <c r="K29" s="417"/>
      <c r="L29" s="418"/>
    </row>
    <row r="30" spans="1:16">
      <c r="A30" s="411" t="s">
        <v>226</v>
      </c>
      <c r="B30" s="412"/>
      <c r="C30" s="412"/>
      <c r="D30" s="412"/>
      <c r="E30" s="412"/>
      <c r="F30" s="412"/>
      <c r="G30" s="406">
        <f>'Infos Mensuelles'!AG7</f>
        <v>60</v>
      </c>
      <c r="H30" s="407"/>
      <c r="I30" s="407"/>
      <c r="J30" s="416"/>
      <c r="K30" s="417"/>
      <c r="L30" s="418"/>
    </row>
    <row r="31" spans="1:16">
      <c r="A31" s="411" t="s">
        <v>227</v>
      </c>
      <c r="B31" s="412"/>
      <c r="C31" s="412"/>
      <c r="D31" s="412"/>
      <c r="E31" s="412"/>
      <c r="F31" s="412"/>
      <c r="G31" s="406">
        <f>'Infos Mensuelles'!AJ7</f>
        <v>0</v>
      </c>
      <c r="H31" s="407"/>
      <c r="I31" s="407"/>
      <c r="J31" s="416"/>
      <c r="K31" s="417"/>
      <c r="L31" s="418"/>
    </row>
    <row r="32" spans="1:16">
      <c r="A32" s="411" t="s">
        <v>24</v>
      </c>
      <c r="B32" s="412"/>
      <c r="C32" s="412"/>
      <c r="D32" s="412"/>
      <c r="E32" s="412"/>
      <c r="F32" s="412"/>
      <c r="G32" s="406">
        <f>'Infos Mensuelles'!AN7</f>
        <v>282</v>
      </c>
      <c r="H32" s="407"/>
      <c r="I32" s="407"/>
      <c r="J32" s="416"/>
      <c r="K32" s="417"/>
      <c r="L32" s="418"/>
    </row>
    <row r="33" spans="1:12">
      <c r="A33" s="411" t="s">
        <v>228</v>
      </c>
      <c r="B33" s="412"/>
      <c r="C33" s="412"/>
      <c r="D33" s="412"/>
      <c r="E33" s="412"/>
      <c r="F33" s="412"/>
      <c r="G33" s="406">
        <f>'Infos Mensuelles'!AQ7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Mensuelles'!AO7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Mensuelles'!AP7</f>
        <v>0</v>
      </c>
      <c r="H35" s="407"/>
      <c r="I35" s="407"/>
      <c r="J35" s="416"/>
      <c r="K35" s="417"/>
      <c r="L35" s="418"/>
    </row>
    <row r="36" spans="1:12" ht="15" customHeight="1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 ht="15" customHeight="1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Mensuelles'!AS7</f>
        <v>0</v>
      </c>
      <c r="K37" s="414"/>
      <c r="L37" s="415"/>
    </row>
    <row r="38" spans="1:12" ht="15" customHeight="1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Mensuelles'!AT7</f>
        <v>0</v>
      </c>
      <c r="K38" s="414"/>
      <c r="L38" s="415"/>
    </row>
    <row r="39" spans="1:12" ht="15" customHeight="1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Mensuelles'!Y7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Mensuelles'!V7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Mensuelles'!X7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Mensuelles'!AU7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Mensuelles'!W7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SUM(G26:I44)</f>
        <v>4642</v>
      </c>
      <c r="H45" s="367"/>
      <c r="I45" s="368"/>
      <c r="J45" s="366">
        <f>SUM(J26:L44)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4642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 s="15" customFormat="1" ht="19.5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  <c r="M51" s="14"/>
      <c r="N51" s="14"/>
      <c r="O51" s="14"/>
      <c r="P51" s="14"/>
      <c r="Q51" s="14"/>
      <c r="R51" s="14"/>
      <c r="S51" s="14"/>
      <c r="T51" s="14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9:L51"/>
    <mergeCell ref="A52:F52"/>
    <mergeCell ref="G52:L54"/>
    <mergeCell ref="A28:F28"/>
    <mergeCell ref="A29:F29"/>
    <mergeCell ref="A27:F27"/>
    <mergeCell ref="G28:I28"/>
    <mergeCell ref="G29:I29"/>
    <mergeCell ref="G27:I27"/>
    <mergeCell ref="J27:L27"/>
    <mergeCell ref="J44:L44"/>
    <mergeCell ref="G43:I43"/>
    <mergeCell ref="G44:I44"/>
    <mergeCell ref="A43:F43"/>
    <mergeCell ref="A44:F44"/>
    <mergeCell ref="J38:L38"/>
    <mergeCell ref="G42:I42"/>
    <mergeCell ref="G30:I30"/>
    <mergeCell ref="G31:I31"/>
    <mergeCell ref="G32:I32"/>
    <mergeCell ref="G33:I33"/>
    <mergeCell ref="J30:L30"/>
    <mergeCell ref="J31:L31"/>
    <mergeCell ref="J34:L34"/>
    <mergeCell ref="A1:L1"/>
    <mergeCell ref="A2:L2"/>
    <mergeCell ref="A3:L3"/>
    <mergeCell ref="A4:L4"/>
    <mergeCell ref="A5:L5"/>
    <mergeCell ref="A13:L14"/>
    <mergeCell ref="A10:L10"/>
    <mergeCell ref="A6:L7"/>
    <mergeCell ref="G8:G9"/>
    <mergeCell ref="G11:G12"/>
    <mergeCell ref="A8:C9"/>
    <mergeCell ref="D8:F9"/>
    <mergeCell ref="A11:C12"/>
    <mergeCell ref="D11:F12"/>
    <mergeCell ref="H11:I12"/>
    <mergeCell ref="J11:L12"/>
    <mergeCell ref="H8:I8"/>
    <mergeCell ref="J8:L8"/>
    <mergeCell ref="H9:I9"/>
    <mergeCell ref="J9:L9"/>
    <mergeCell ref="E16:G16"/>
    <mergeCell ref="A15:L15"/>
    <mergeCell ref="I16:K16"/>
    <mergeCell ref="I17:K17"/>
    <mergeCell ref="A16:C16"/>
    <mergeCell ref="A17:C17"/>
    <mergeCell ref="A18:C18"/>
    <mergeCell ref="A19:C19"/>
    <mergeCell ref="I18:K18"/>
    <mergeCell ref="E17:G17"/>
    <mergeCell ref="A20:C20"/>
    <mergeCell ref="E20:G20"/>
    <mergeCell ref="I20:K20"/>
    <mergeCell ref="I19:K19"/>
    <mergeCell ref="E19:G19"/>
    <mergeCell ref="J28:L28"/>
    <mergeCell ref="J29:L29"/>
    <mergeCell ref="A55:L56"/>
    <mergeCell ref="A53:C53"/>
    <mergeCell ref="A54:C54"/>
    <mergeCell ref="D53:F53"/>
    <mergeCell ref="D54:F54"/>
    <mergeCell ref="A30:F30"/>
    <mergeCell ref="A31:F31"/>
    <mergeCell ref="A32:F32"/>
    <mergeCell ref="A33:F33"/>
    <mergeCell ref="A36:F36"/>
    <mergeCell ref="G36:I36"/>
    <mergeCell ref="J36:L36"/>
    <mergeCell ref="A35:F35"/>
    <mergeCell ref="G35:I35"/>
    <mergeCell ref="J35:L35"/>
    <mergeCell ref="A34:F34"/>
    <mergeCell ref="G34:I34"/>
    <mergeCell ref="J43:L43"/>
    <mergeCell ref="G38:I38"/>
    <mergeCell ref="G39:I39"/>
    <mergeCell ref="G40:I40"/>
    <mergeCell ref="A38:F38"/>
    <mergeCell ref="A39:F39"/>
    <mergeCell ref="A40:F40"/>
    <mergeCell ref="J42:L42"/>
    <mergeCell ref="J39:L39"/>
    <mergeCell ref="A45:F45"/>
    <mergeCell ref="G45:I45"/>
    <mergeCell ref="J45:L45"/>
    <mergeCell ref="A46:L47"/>
    <mergeCell ref="A48:F48"/>
    <mergeCell ref="G48:L48"/>
    <mergeCell ref="A21:L22"/>
    <mergeCell ref="A23:L23"/>
    <mergeCell ref="A24:F25"/>
    <mergeCell ref="G24:I25"/>
    <mergeCell ref="J24:L25"/>
    <mergeCell ref="A26:F26"/>
    <mergeCell ref="G26:I26"/>
    <mergeCell ref="J26:L26"/>
    <mergeCell ref="A37:F37"/>
    <mergeCell ref="G37:I37"/>
    <mergeCell ref="J37:L37"/>
    <mergeCell ref="A41:F41"/>
    <mergeCell ref="G41:I41"/>
    <mergeCell ref="J41:L41"/>
    <mergeCell ref="A42:F42"/>
    <mergeCell ref="J32:L32"/>
    <mergeCell ref="J33:L33"/>
    <mergeCell ref="J40:L40"/>
  </mergeCell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CD6C-9E35-432B-9976-562D41ED1456}">
  <sheetPr>
    <pageSetUpPr fitToPage="1"/>
  </sheetPr>
  <dimension ref="A1:T56"/>
  <sheetViews>
    <sheetView topLeftCell="A1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Mensuelles'!B8</f>
        <v>SYED NABI AHMAD</v>
      </c>
      <c r="E8" s="479"/>
      <c r="F8" s="480"/>
      <c r="G8" s="471"/>
      <c r="H8" s="494" t="s">
        <v>201</v>
      </c>
      <c r="I8" s="495"/>
      <c r="J8" s="496">
        <f>'Infos Mensuelles'!F8</f>
        <v>10005027939914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Mensuelles'!D8</f>
        <v>44414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Mensuelles'!C8</f>
        <v>Irfran Ahmed</v>
      </c>
      <c r="E11" s="479"/>
      <c r="F11" s="480"/>
      <c r="G11" s="471"/>
      <c r="H11" s="484" t="s">
        <v>204</v>
      </c>
      <c r="I11" s="485"/>
      <c r="J11" s="488" t="str">
        <f>'Infos Mensuelles'!G8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Mensuelles'!L8</f>
        <v>29</v>
      </c>
      <c r="E16" s="444" t="s">
        <v>207</v>
      </c>
      <c r="F16" s="445"/>
      <c r="G16" s="445"/>
      <c r="H16" s="36">
        <f>'Infos Mensuelles'!S8</f>
        <v>0</v>
      </c>
      <c r="I16" s="446" t="s">
        <v>208</v>
      </c>
      <c r="J16" s="447"/>
      <c r="K16" s="447"/>
      <c r="L16" s="28">
        <f>'Infos Mensuelles'!AE8</f>
        <v>6</v>
      </c>
    </row>
    <row r="17" spans="1:18">
      <c r="A17" s="421" t="s">
        <v>209</v>
      </c>
      <c r="B17" s="422"/>
      <c r="C17" s="422"/>
      <c r="D17" s="29">
        <f>'Infos Mensuelles'!N8</f>
        <v>0</v>
      </c>
      <c r="E17" s="421" t="s">
        <v>210</v>
      </c>
      <c r="F17" s="422"/>
      <c r="G17" s="422"/>
      <c r="H17" s="37">
        <f>'Infos Mensuelles'!T8</f>
        <v>0</v>
      </c>
      <c r="I17" s="448" t="s">
        <v>211</v>
      </c>
      <c r="J17" s="449"/>
      <c r="K17" s="449"/>
      <c r="L17" s="30">
        <f>'Infos Mensuelles'!AH8</f>
        <v>0</v>
      </c>
    </row>
    <row r="18" spans="1:18">
      <c r="A18" s="421" t="s">
        <v>212</v>
      </c>
      <c r="B18" s="422"/>
      <c r="C18" s="422"/>
      <c r="D18" s="29">
        <f>'Infos Mensuelles'!M8</f>
        <v>2</v>
      </c>
      <c r="E18" s="23" t="s">
        <v>213</v>
      </c>
      <c r="F18" s="24"/>
      <c r="G18" s="24"/>
      <c r="H18" s="37">
        <f>'Infos Mensuelles'!U8</f>
        <v>0</v>
      </c>
      <c r="I18" s="421" t="s">
        <v>214</v>
      </c>
      <c r="J18" s="422"/>
      <c r="K18" s="422"/>
      <c r="L18" s="30">
        <f>'Infos Mensuelles'!AL8</f>
        <v>3</v>
      </c>
    </row>
    <row r="19" spans="1:18">
      <c r="A19" s="421" t="s">
        <v>215</v>
      </c>
      <c r="B19" s="422"/>
      <c r="C19" s="422"/>
      <c r="D19" s="33">
        <f>'Infos Mensuelles'!P8</f>
        <v>0</v>
      </c>
      <c r="E19" s="421" t="s">
        <v>216</v>
      </c>
      <c r="F19" s="422"/>
      <c r="G19" s="422"/>
      <c r="H19" s="37">
        <f>'Infos Mensuelles'!R8</f>
        <v>0</v>
      </c>
      <c r="I19" s="421" t="s">
        <v>217</v>
      </c>
      <c r="J19" s="422"/>
      <c r="K19" s="422"/>
      <c r="L19" s="32">
        <f>'Infos Mensuelles'!O8</f>
        <v>0</v>
      </c>
    </row>
    <row r="20" spans="1:18">
      <c r="A20" s="419" t="s">
        <v>218</v>
      </c>
      <c r="B20" s="420"/>
      <c r="C20" s="420"/>
      <c r="D20" s="31">
        <f>'Infos Mensuelles'!Q8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Mensuelles'!H8</f>
        <v>2640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Mensuelles'!I8</f>
        <v>880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Mensuelles'!J8</f>
        <v>880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Mensuelles'!AG8</f>
        <v>72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Mensuelles'!AJ8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Mensuelles'!AN8</f>
        <v>435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Mensuelles'!AQ8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Mensuelles'!AO8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Mensuelles'!AP8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Mensuelles'!AS8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Mensuelles'!AT8</f>
        <v>520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Mensuelles'!Y8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Mensuelles'!V8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Mensuelles'!X8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Mensuelles'!AU8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Mensuelles'!W8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SUM(G26:I44)</f>
        <v>4907</v>
      </c>
      <c r="H45" s="367"/>
      <c r="I45" s="368"/>
      <c r="J45" s="366">
        <f>SUM(J26:L44)</f>
        <v>520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6" customHeight="1">
      <c r="A48" s="375" t="s">
        <v>237</v>
      </c>
      <c r="B48" s="376"/>
      <c r="C48" s="376"/>
      <c r="D48" s="376"/>
      <c r="E48" s="376"/>
      <c r="F48" s="376"/>
      <c r="G48" s="377">
        <f>G45-J45</f>
        <v>4387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5:L56"/>
    <mergeCell ref="G48:L48"/>
    <mergeCell ref="A53:C53"/>
    <mergeCell ref="D53:F53"/>
    <mergeCell ref="A54:C54"/>
    <mergeCell ref="D54:F54"/>
    <mergeCell ref="G31:I31"/>
    <mergeCell ref="A32:F32"/>
    <mergeCell ref="A39:F39"/>
    <mergeCell ref="G39:I39"/>
    <mergeCell ref="A35:F35"/>
    <mergeCell ref="G35:I35"/>
    <mergeCell ref="J35:L35"/>
    <mergeCell ref="G34:I34"/>
    <mergeCell ref="G32:I32"/>
    <mergeCell ref="J33:L33"/>
    <mergeCell ref="A40:F40"/>
    <mergeCell ref="G40:I40"/>
    <mergeCell ref="J40:L40"/>
    <mergeCell ref="A44:F44"/>
    <mergeCell ref="G44:I44"/>
    <mergeCell ref="J44:L44"/>
    <mergeCell ref="A45:F45"/>
    <mergeCell ref="G45:I45"/>
    <mergeCell ref="D8:F9"/>
    <mergeCell ref="G8:G9"/>
    <mergeCell ref="H8:I8"/>
    <mergeCell ref="J8:L8"/>
    <mergeCell ref="A17:C17"/>
    <mergeCell ref="E17:G17"/>
    <mergeCell ref="I17:K17"/>
    <mergeCell ref="A18:C18"/>
    <mergeCell ref="I18:K18"/>
    <mergeCell ref="A16:C16"/>
    <mergeCell ref="E16:G16"/>
    <mergeCell ref="I16:K16"/>
    <mergeCell ref="A10:L10"/>
    <mergeCell ref="A11:C12"/>
    <mergeCell ref="D11:F12"/>
    <mergeCell ref="G11:G12"/>
    <mergeCell ref="H11:I12"/>
    <mergeCell ref="J11:L12"/>
    <mergeCell ref="A15:L15"/>
    <mergeCell ref="A1:L1"/>
    <mergeCell ref="A2:L2"/>
    <mergeCell ref="A3:L3"/>
    <mergeCell ref="A4:L4"/>
    <mergeCell ref="A6:L7"/>
    <mergeCell ref="J30:L30"/>
    <mergeCell ref="A29:F29"/>
    <mergeCell ref="G29:I29"/>
    <mergeCell ref="A30:F30"/>
    <mergeCell ref="G30:I30"/>
    <mergeCell ref="J28:L28"/>
    <mergeCell ref="A27:F27"/>
    <mergeCell ref="G27:I27"/>
    <mergeCell ref="A28:F28"/>
    <mergeCell ref="G28:I28"/>
    <mergeCell ref="A5:L5"/>
    <mergeCell ref="A13:L14"/>
    <mergeCell ref="I20:K20"/>
    <mergeCell ref="J29:L29"/>
    <mergeCell ref="H9:I9"/>
    <mergeCell ref="J9:L9"/>
    <mergeCell ref="A8:C9"/>
    <mergeCell ref="A19:C19"/>
    <mergeCell ref="E19:G19"/>
    <mergeCell ref="I19:K19"/>
    <mergeCell ref="A21:L22"/>
    <mergeCell ref="A23:L23"/>
    <mergeCell ref="A24:F25"/>
    <mergeCell ref="G24:I25"/>
    <mergeCell ref="J24:L25"/>
    <mergeCell ref="A26:F26"/>
    <mergeCell ref="G26:I26"/>
    <mergeCell ref="J39:L39"/>
    <mergeCell ref="A20:C20"/>
    <mergeCell ref="E20:G20"/>
    <mergeCell ref="J37:L37"/>
    <mergeCell ref="A37:F37"/>
    <mergeCell ref="G37:I37"/>
    <mergeCell ref="J26:L26"/>
    <mergeCell ref="J32:L32"/>
    <mergeCell ref="J38:L38"/>
    <mergeCell ref="A38:F38"/>
    <mergeCell ref="G38:I38"/>
    <mergeCell ref="A31:F31"/>
    <mergeCell ref="A34:F34"/>
    <mergeCell ref="A36:F36"/>
    <mergeCell ref="G36:I36"/>
    <mergeCell ref="J36:L36"/>
    <mergeCell ref="J45:L45"/>
    <mergeCell ref="A46:L47"/>
    <mergeCell ref="A48:F48"/>
    <mergeCell ref="A49:L51"/>
    <mergeCell ref="A52:F52"/>
    <mergeCell ref="G52:L54"/>
    <mergeCell ref="J27:L27"/>
    <mergeCell ref="J34:L34"/>
    <mergeCell ref="A33:F33"/>
    <mergeCell ref="G33:I33"/>
    <mergeCell ref="A42:F42"/>
    <mergeCell ref="G42:I42"/>
    <mergeCell ref="J42:L42"/>
    <mergeCell ref="A43:F43"/>
    <mergeCell ref="G43:I43"/>
    <mergeCell ref="J43:L43"/>
    <mergeCell ref="A41:F41"/>
    <mergeCell ref="G41:I41"/>
    <mergeCell ref="J41:L41"/>
    <mergeCell ref="J31:L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2C5-F358-4F2D-A4E6-3E914E62CD23}">
  <sheetPr>
    <pageSetUpPr fitToPage="1"/>
  </sheetPr>
  <dimension ref="A1:T57"/>
  <sheetViews>
    <sheetView topLeftCell="A30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Mensuelles'!B9</f>
        <v>SHAMSUDEEN</v>
      </c>
      <c r="E8" s="479"/>
      <c r="F8" s="480"/>
      <c r="G8" s="471"/>
      <c r="H8" s="494" t="s">
        <v>201</v>
      </c>
      <c r="I8" s="495"/>
      <c r="J8" s="496">
        <f>'Infos Mensuelles'!F9</f>
        <v>10013067459387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 t="str">
        <f>'Infos Mensuelles'!D9</f>
        <v>19.09.2021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Mensuelles'!C9</f>
        <v>Amanullah</v>
      </c>
      <c r="E11" s="479"/>
      <c r="F11" s="480"/>
      <c r="G11" s="471"/>
      <c r="H11" s="484" t="s">
        <v>204</v>
      </c>
      <c r="I11" s="485"/>
      <c r="J11" s="488" t="str">
        <f>'Infos Mensuelles'!G9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Mensuelles'!L9</f>
        <v>28</v>
      </c>
      <c r="E16" s="444" t="s">
        <v>207</v>
      </c>
      <c r="F16" s="445"/>
      <c r="G16" s="445"/>
      <c r="H16" s="36">
        <f>'Infos Mensuelles'!S9</f>
        <v>0</v>
      </c>
      <c r="I16" s="446" t="s">
        <v>208</v>
      </c>
      <c r="J16" s="447"/>
      <c r="K16" s="447"/>
      <c r="L16" s="28">
        <f>'Infos Mensuelles'!AE9</f>
        <v>6</v>
      </c>
    </row>
    <row r="17" spans="1:18">
      <c r="A17" s="421" t="s">
        <v>209</v>
      </c>
      <c r="B17" s="422"/>
      <c r="C17" s="422"/>
      <c r="D17" s="29">
        <f>'Infos Mensuelles'!N9</f>
        <v>0</v>
      </c>
      <c r="E17" s="421" t="s">
        <v>210</v>
      </c>
      <c r="F17" s="422"/>
      <c r="G17" s="422"/>
      <c r="H17" s="37">
        <f>'Infos Mensuelles'!T9</f>
        <v>0</v>
      </c>
      <c r="I17" s="448" t="s">
        <v>211</v>
      </c>
      <c r="J17" s="449"/>
      <c r="K17" s="449"/>
      <c r="L17" s="30">
        <f>'Infos Mensuelles'!AH9</f>
        <v>1</v>
      </c>
    </row>
    <row r="18" spans="1:18">
      <c r="A18" s="421" t="s">
        <v>212</v>
      </c>
      <c r="B18" s="422"/>
      <c r="C18" s="422"/>
      <c r="D18" s="29">
        <f>'Infos Mensuelles'!M9</f>
        <v>3</v>
      </c>
      <c r="E18" s="23" t="s">
        <v>213</v>
      </c>
      <c r="F18" s="24"/>
      <c r="G18" s="24"/>
      <c r="H18" s="37">
        <f>'Infos Mensuelles'!U9</f>
        <v>0</v>
      </c>
      <c r="I18" s="421" t="s">
        <v>214</v>
      </c>
      <c r="J18" s="422"/>
      <c r="K18" s="422"/>
      <c r="L18" s="30">
        <f>'Infos Mensuelles'!AL9</f>
        <v>2</v>
      </c>
    </row>
    <row r="19" spans="1:18">
      <c r="A19" s="421" t="s">
        <v>215</v>
      </c>
      <c r="B19" s="422"/>
      <c r="C19" s="422"/>
      <c r="D19" s="33">
        <f>'Infos Mensuelles'!P9</f>
        <v>0</v>
      </c>
      <c r="E19" s="421" t="s">
        <v>216</v>
      </c>
      <c r="F19" s="422"/>
      <c r="G19" s="422"/>
      <c r="H19" s="37">
        <f>'Infos Mensuelles'!R9</f>
        <v>0</v>
      </c>
      <c r="I19" s="421" t="s">
        <v>217</v>
      </c>
      <c r="J19" s="422"/>
      <c r="K19" s="422"/>
      <c r="L19" s="32">
        <f>'Infos Mensuelles'!O9</f>
        <v>0</v>
      </c>
    </row>
    <row r="20" spans="1:18">
      <c r="A20" s="419" t="s">
        <v>218</v>
      </c>
      <c r="B20" s="420"/>
      <c r="C20" s="420"/>
      <c r="D20" s="31">
        <f>'Infos Mensuelles'!Q9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Mensuelles'!H9</f>
        <v>2640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Mensuelles'!I9</f>
        <v>880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Mensuelles'!J9</f>
        <v>880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Mensuelles'!AG9</f>
        <v>72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Mensuelles'!AJ9</f>
        <v>14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Mensuelles'!AN9</f>
        <v>290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Mensuelles'!AQ9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Mensuelles'!AO9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Mensuelles'!AP9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Mensuelles'!AS9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Mensuelles'!AT9</f>
        <v>300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Mensuelles'!Y9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Mensuelles'!V9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Mensuelles'!X9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Mensuelles'!AU9</f>
        <v>0</v>
      </c>
      <c r="K42" s="414"/>
      <c r="L42" s="415"/>
    </row>
    <row r="43" spans="1:12" ht="15" customHeight="1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Mensuelles'!W9</f>
        <v>0</v>
      </c>
      <c r="K43" s="414"/>
      <c r="L43" s="415"/>
    </row>
    <row r="44" spans="1:12" ht="15" customHeight="1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 ht="15" customHeight="1">
      <c r="A45" s="363" t="s">
        <v>236</v>
      </c>
      <c r="B45" s="364"/>
      <c r="C45" s="364"/>
      <c r="D45" s="364"/>
      <c r="E45" s="364"/>
      <c r="F45" s="365"/>
      <c r="G45" s="366">
        <f>SUM(G26:I44)</f>
        <v>4776</v>
      </c>
      <c r="H45" s="367"/>
      <c r="I45" s="368"/>
      <c r="J45" s="366">
        <f>SUM(J26:L44)</f>
        <v>300</v>
      </c>
      <c r="K45" s="367"/>
      <c r="L45" s="368"/>
    </row>
    <row r="46" spans="1:12" ht="15" customHeight="1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4476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 ht="15" customHeight="1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 ht="15" customHeight="1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J26:L26"/>
    <mergeCell ref="A39:F39"/>
    <mergeCell ref="G39:I39"/>
    <mergeCell ref="J39:L39"/>
    <mergeCell ref="A40:F40"/>
    <mergeCell ref="G40:I40"/>
    <mergeCell ref="J40:L40"/>
    <mergeCell ref="A41:F41"/>
    <mergeCell ref="G41:I41"/>
    <mergeCell ref="J41:L41"/>
    <mergeCell ref="J28:L28"/>
    <mergeCell ref="J27:L27"/>
    <mergeCell ref="A27:F27"/>
    <mergeCell ref="G27:I27"/>
    <mergeCell ref="A28:F28"/>
    <mergeCell ref="G28:I28"/>
    <mergeCell ref="A29:F29"/>
    <mergeCell ref="G29:I29"/>
    <mergeCell ref="J29:L29"/>
    <mergeCell ref="A30:F30"/>
    <mergeCell ref="G30:I30"/>
    <mergeCell ref="J30:L30"/>
    <mergeCell ref="J33:L33"/>
    <mergeCell ref="A33:F33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21:L22"/>
    <mergeCell ref="A23:L23"/>
    <mergeCell ref="A24:F25"/>
    <mergeCell ref="G24:I25"/>
    <mergeCell ref="J24:L25"/>
    <mergeCell ref="A26:F26"/>
    <mergeCell ref="G26:I26"/>
    <mergeCell ref="A1:L1"/>
    <mergeCell ref="A2:L2"/>
    <mergeCell ref="A3:L3"/>
    <mergeCell ref="A4:L4"/>
    <mergeCell ref="A6:L7"/>
    <mergeCell ref="A5:L5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0:L10"/>
    <mergeCell ref="A43:F43"/>
    <mergeCell ref="G43:I43"/>
    <mergeCell ref="A32:F32"/>
    <mergeCell ref="G32:I32"/>
    <mergeCell ref="J32:L32"/>
    <mergeCell ref="A35:F35"/>
    <mergeCell ref="G35:I35"/>
    <mergeCell ref="A34:F34"/>
    <mergeCell ref="G34:I34"/>
    <mergeCell ref="J34:L34"/>
    <mergeCell ref="J43:L43"/>
    <mergeCell ref="J35:L35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42:F42"/>
    <mergeCell ref="G33:I33"/>
    <mergeCell ref="A31:F31"/>
    <mergeCell ref="G31:I31"/>
    <mergeCell ref="J31:L31"/>
    <mergeCell ref="A46:L47"/>
    <mergeCell ref="G48:L48"/>
    <mergeCell ref="A44:F44"/>
    <mergeCell ref="G44:I44"/>
    <mergeCell ref="J44:L44"/>
    <mergeCell ref="A45:F45"/>
    <mergeCell ref="G45:I45"/>
    <mergeCell ref="J45:L45"/>
    <mergeCell ref="G42:I42"/>
    <mergeCell ref="J42:L42"/>
    <mergeCell ref="A53:C53"/>
    <mergeCell ref="D53:F53"/>
    <mergeCell ref="A54:C54"/>
    <mergeCell ref="D54:F54"/>
    <mergeCell ref="A55:L56"/>
    <mergeCell ref="A49:L51"/>
    <mergeCell ref="A52:F52"/>
    <mergeCell ref="G52:L54"/>
    <mergeCell ref="A48:F48"/>
  </mergeCells>
  <pageMargins left="0.7" right="0.7" top="0.75" bottom="0.75" header="0.3" footer="0.3"/>
  <pageSetup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39B5-3110-4B9A-B585-BD2A00642075}">
  <sheetPr>
    <pageSetUpPr fitToPage="1"/>
  </sheetPr>
  <dimension ref="A1:T67"/>
  <sheetViews>
    <sheetView topLeftCell="A18" workbookViewId="0">
      <selection activeCell="A49" sqref="A49:T56"/>
    </sheetView>
  </sheetViews>
  <sheetFormatPr defaultRowHeight="15" customHeight="1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Mensuelles'!B10</f>
        <v>BOGATTI</v>
      </c>
      <c r="E8" s="479"/>
      <c r="F8" s="480"/>
      <c r="G8" s="471"/>
      <c r="H8" s="494" t="s">
        <v>201</v>
      </c>
      <c r="I8" s="495"/>
      <c r="J8" s="496">
        <f>'Infos Mensuelles'!F10</f>
        <v>31620017062269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Mensuelles'!D10</f>
        <v>42470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Mensuelles'!C10</f>
        <v>Anam</v>
      </c>
      <c r="E11" s="479"/>
      <c r="F11" s="480"/>
      <c r="G11" s="471"/>
      <c r="H11" s="484" t="s">
        <v>204</v>
      </c>
      <c r="I11" s="485"/>
      <c r="J11" s="488" t="str">
        <f>'Infos Mensuelles'!G10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Mensuelles'!L10</f>
        <v>27</v>
      </c>
      <c r="E16" s="444" t="s">
        <v>207</v>
      </c>
      <c r="F16" s="445"/>
      <c r="G16" s="445"/>
      <c r="H16" s="36">
        <f>'Infos Mensuelles'!S10</f>
        <v>0</v>
      </c>
      <c r="I16" s="446" t="s">
        <v>208</v>
      </c>
      <c r="J16" s="447"/>
      <c r="K16" s="447"/>
      <c r="L16" s="28">
        <f>'Infos Mensuelles'!AE10</f>
        <v>7</v>
      </c>
    </row>
    <row r="17" spans="1:18">
      <c r="A17" s="421" t="s">
        <v>209</v>
      </c>
      <c r="B17" s="422"/>
      <c r="C17" s="422"/>
      <c r="D17" s="29">
        <f>'Infos Mensuelles'!N10</f>
        <v>0</v>
      </c>
      <c r="E17" s="421" t="s">
        <v>210</v>
      </c>
      <c r="F17" s="422"/>
      <c r="G17" s="422"/>
      <c r="H17" s="37">
        <f>'Infos Mensuelles'!T10</f>
        <v>0</v>
      </c>
      <c r="I17" s="448" t="s">
        <v>211</v>
      </c>
      <c r="J17" s="449"/>
      <c r="K17" s="449"/>
      <c r="L17" s="30">
        <f>'Infos Mensuelles'!AH10</f>
        <v>0</v>
      </c>
    </row>
    <row r="18" spans="1:18">
      <c r="A18" s="421" t="s">
        <v>212</v>
      </c>
      <c r="B18" s="422"/>
      <c r="C18" s="422"/>
      <c r="D18" s="29">
        <f>'Infos Mensuelles'!M10</f>
        <v>4</v>
      </c>
      <c r="E18" s="23" t="s">
        <v>213</v>
      </c>
      <c r="F18" s="24"/>
      <c r="G18" s="24"/>
      <c r="H18" s="37">
        <f>'Infos Mensuelles'!U10</f>
        <v>0</v>
      </c>
      <c r="I18" s="421" t="s">
        <v>214</v>
      </c>
      <c r="J18" s="422"/>
      <c r="K18" s="422"/>
      <c r="L18" s="30">
        <f>'Infos Mensuelles'!AL10</f>
        <v>1</v>
      </c>
    </row>
    <row r="19" spans="1:18">
      <c r="A19" s="421" t="s">
        <v>215</v>
      </c>
      <c r="B19" s="422"/>
      <c r="C19" s="422"/>
      <c r="D19" s="33">
        <f>'Infos Mensuelles'!P10</f>
        <v>0</v>
      </c>
      <c r="E19" s="421" t="s">
        <v>216</v>
      </c>
      <c r="F19" s="422"/>
      <c r="G19" s="422"/>
      <c r="H19" s="37">
        <f>'Infos Mensuelles'!R10</f>
        <v>0</v>
      </c>
      <c r="I19" s="421" t="s">
        <v>217</v>
      </c>
      <c r="J19" s="422"/>
      <c r="K19" s="422"/>
      <c r="L19" s="32">
        <f>'Infos Mensuelles'!O10</f>
        <v>0</v>
      </c>
    </row>
    <row r="20" spans="1:18">
      <c r="A20" s="419" t="s">
        <v>218</v>
      </c>
      <c r="B20" s="420"/>
      <c r="C20" s="420"/>
      <c r="D20" s="31">
        <f>'Infos Mensuelles'!Q10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Mensuelles'!H10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Mensuelles'!I10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Mensuelles'!J10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Mensuelles'!AG10</f>
        <v>84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Mensuelles'!AJ10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Mensuelles'!AN10</f>
        <v>148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Mensuelles'!AQ10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Mensuelles'!AO10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Mensuelles'!AP10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Mensuelles'!AS10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Mensuelles'!AT10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Mensuelles'!Y10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Mensuelles'!V10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Mensuelles'!X10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Mensuelles'!AU10</f>
        <v>0</v>
      </c>
      <c r="K42" s="414"/>
      <c r="L42" s="415"/>
    </row>
    <row r="43" spans="1:12" ht="15" customHeight="1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Mensuelles'!W10</f>
        <v>0</v>
      </c>
      <c r="K43" s="414"/>
      <c r="L43" s="415"/>
    </row>
    <row r="44" spans="1:12" ht="15" customHeight="1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 ht="15" customHeight="1">
      <c r="A45" s="363" t="s">
        <v>236</v>
      </c>
      <c r="B45" s="364"/>
      <c r="C45" s="364"/>
      <c r="D45" s="364"/>
      <c r="E45" s="364"/>
      <c r="F45" s="365"/>
      <c r="G45" s="366">
        <f>SUM(G27:I36)</f>
        <v>4732</v>
      </c>
      <c r="H45" s="367"/>
      <c r="I45" s="368"/>
      <c r="J45" s="366">
        <f>SUM(J42:L43)</f>
        <v>0</v>
      </c>
      <c r="K45" s="367"/>
      <c r="L45" s="368"/>
    </row>
    <row r="46" spans="1:12" ht="15" customHeight="1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4732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 ht="15" customHeight="1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 ht="15" customHeight="1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20"/>
    <row r="59" spans="1:20"/>
    <row r="60" spans="1:20"/>
    <row r="61" spans="1:20"/>
    <row r="62" spans="1:20"/>
    <row r="63" spans="1:20"/>
    <row r="64" spans="1:20"/>
    <row r="65" s="14" customFormat="1"/>
    <row r="66" s="14" customFormat="1"/>
    <row r="67" s="14" customFormat="1"/>
  </sheetData>
  <mergeCells count="111">
    <mergeCell ref="A39:F39"/>
    <mergeCell ref="G39:I39"/>
    <mergeCell ref="J39:L39"/>
    <mergeCell ref="A40:F40"/>
    <mergeCell ref="G40:I40"/>
    <mergeCell ref="J40:L40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4:F34"/>
    <mergeCell ref="G34:I34"/>
    <mergeCell ref="J34:L34"/>
    <mergeCell ref="A35:F35"/>
    <mergeCell ref="G35:I35"/>
    <mergeCell ref="J35:L35"/>
    <mergeCell ref="A33:F33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8:C9"/>
    <mergeCell ref="D8:F9"/>
    <mergeCell ref="G8:G9"/>
    <mergeCell ref="H8:I8"/>
    <mergeCell ref="A21:L22"/>
    <mergeCell ref="A23:L23"/>
    <mergeCell ref="A55:L56"/>
    <mergeCell ref="A54:C54"/>
    <mergeCell ref="D54:F54"/>
    <mergeCell ref="J8:L8"/>
    <mergeCell ref="H9:I9"/>
    <mergeCell ref="J9:L9"/>
    <mergeCell ref="A15:L15"/>
    <mergeCell ref="A20:C20"/>
    <mergeCell ref="E20:G20"/>
    <mergeCell ref="I20:K20"/>
    <mergeCell ref="A16:C16"/>
    <mergeCell ref="E16:G16"/>
    <mergeCell ref="I16:K16"/>
    <mergeCell ref="A17:C17"/>
    <mergeCell ref="E17:G17"/>
    <mergeCell ref="I17:K17"/>
    <mergeCell ref="A18:C18"/>
    <mergeCell ref="A27:F27"/>
    <mergeCell ref="G27:I27"/>
    <mergeCell ref="J27:L27"/>
    <mergeCell ref="A28:F28"/>
    <mergeCell ref="I18:K18"/>
    <mergeCell ref="A19:C19"/>
    <mergeCell ref="E19:G19"/>
    <mergeCell ref="I19:K19"/>
    <mergeCell ref="J42:L42"/>
    <mergeCell ref="A42:F42"/>
    <mergeCell ref="G42:I42"/>
    <mergeCell ref="A41:F41"/>
    <mergeCell ref="G41:I41"/>
    <mergeCell ref="J41:L41"/>
    <mergeCell ref="G28:I28"/>
    <mergeCell ref="J28:L28"/>
    <mergeCell ref="A24:F25"/>
    <mergeCell ref="G24:I25"/>
    <mergeCell ref="J24:L25"/>
    <mergeCell ref="A26:F26"/>
    <mergeCell ref="G26:I26"/>
    <mergeCell ref="J26:L26"/>
    <mergeCell ref="G33:I33"/>
    <mergeCell ref="J33:L33"/>
    <mergeCell ref="A53:C53"/>
    <mergeCell ref="D53:F53"/>
    <mergeCell ref="A49:L51"/>
    <mergeCell ref="A52:F52"/>
    <mergeCell ref="G52:L54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8:F48"/>
    <mergeCell ref="A46:L47"/>
    <mergeCell ref="G48:L48"/>
  </mergeCells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E537-0D70-4FCD-B50B-6F82639BA98A}">
  <sheetPr>
    <pageSetUpPr fitToPage="1"/>
  </sheetPr>
  <dimension ref="A1:T57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Mensuelles'!B11</f>
        <v>SUNKADAKATTE ABDULKHADER</v>
      </c>
      <c r="E8" s="479"/>
      <c r="F8" s="480"/>
      <c r="G8" s="471"/>
      <c r="H8" s="494" t="s">
        <v>201</v>
      </c>
      <c r="I8" s="495"/>
      <c r="J8" s="496">
        <f>'Infos Mensuelles'!F11</f>
        <v>10019057895758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Mensuelles'!D11</f>
        <v>42898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Mensuelles'!C11</f>
        <v>Mohamed Aneefa</v>
      </c>
      <c r="E11" s="479"/>
      <c r="F11" s="480"/>
      <c r="G11" s="471"/>
      <c r="H11" s="484" t="s">
        <v>204</v>
      </c>
      <c r="I11" s="485"/>
      <c r="J11" s="488" t="str">
        <f>'Infos Mensuelles'!G11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Mensuelles'!L11</f>
        <v>28</v>
      </c>
      <c r="E16" s="444" t="s">
        <v>207</v>
      </c>
      <c r="F16" s="445"/>
      <c r="G16" s="445"/>
      <c r="H16" s="36">
        <f>'Infos Mensuelles'!S11</f>
        <v>0</v>
      </c>
      <c r="I16" s="446" t="s">
        <v>208</v>
      </c>
      <c r="J16" s="447"/>
      <c r="K16" s="447"/>
      <c r="L16" s="28">
        <f>'Infos Mensuelles'!AE11</f>
        <v>2</v>
      </c>
    </row>
    <row r="17" spans="1:18">
      <c r="A17" s="421" t="s">
        <v>209</v>
      </c>
      <c r="B17" s="422"/>
      <c r="C17" s="422"/>
      <c r="D17" s="29">
        <f>'Infos Mensuelles'!N11</f>
        <v>0</v>
      </c>
      <c r="E17" s="421" t="s">
        <v>210</v>
      </c>
      <c r="F17" s="422"/>
      <c r="G17" s="422"/>
      <c r="H17" s="37">
        <f>'Infos Mensuelles'!T11</f>
        <v>0</v>
      </c>
      <c r="I17" s="448" t="s">
        <v>211</v>
      </c>
      <c r="J17" s="449"/>
      <c r="K17" s="449"/>
      <c r="L17" s="30">
        <f>'Infos Mensuelles'!AH11</f>
        <v>0</v>
      </c>
    </row>
    <row r="18" spans="1:18">
      <c r="A18" s="421" t="s">
        <v>212</v>
      </c>
      <c r="B18" s="422"/>
      <c r="C18" s="422"/>
      <c r="D18" s="29">
        <f>'Infos Mensuelles'!M11</f>
        <v>3</v>
      </c>
      <c r="E18" s="23" t="s">
        <v>213</v>
      </c>
      <c r="F18" s="24"/>
      <c r="G18" s="24"/>
      <c r="H18" s="37">
        <f>'Infos Mensuelles'!U11</f>
        <v>0</v>
      </c>
      <c r="I18" s="421" t="s">
        <v>214</v>
      </c>
      <c r="J18" s="422"/>
      <c r="K18" s="422"/>
      <c r="L18" s="30">
        <f>'Infos Mensuelles'!AL11</f>
        <v>2</v>
      </c>
    </row>
    <row r="19" spans="1:18">
      <c r="A19" s="421" t="s">
        <v>215</v>
      </c>
      <c r="B19" s="422"/>
      <c r="C19" s="422"/>
      <c r="D19" s="33">
        <f>'Infos Mensuelles'!P11</f>
        <v>0</v>
      </c>
      <c r="E19" s="421" t="s">
        <v>216</v>
      </c>
      <c r="F19" s="422"/>
      <c r="G19" s="422"/>
      <c r="H19" s="37">
        <f>'Infos Mensuelles'!R11</f>
        <v>0</v>
      </c>
      <c r="I19" s="421" t="s">
        <v>217</v>
      </c>
      <c r="J19" s="422"/>
      <c r="K19" s="422"/>
      <c r="L19" s="32">
        <f>'Infos Mensuelles'!O11</f>
        <v>0</v>
      </c>
    </row>
    <row r="20" spans="1:18">
      <c r="A20" s="419" t="s">
        <v>218</v>
      </c>
      <c r="B20" s="420"/>
      <c r="C20" s="420"/>
      <c r="D20" s="31">
        <f>'Infos Mensuelles'!Q11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Mensuelles'!H11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Mensuelles'!I11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Mensuelles'!J11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Mensuelles'!AG11</f>
        <v>24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Mensuelles'!AJ11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Mensuelles'!AN11</f>
        <v>296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Mensuelles'!AQ11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Mensuelles'!AO11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Mensuelles'!AP11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Mensuelles'!AS11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Mensuelles'!AT11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Mensuelles'!Y11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Mensuelles'!V11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Mensuelles'!X11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Mensuelles'!AU11</f>
        <v>0</v>
      </c>
      <c r="K42" s="414"/>
      <c r="L42" s="415"/>
    </row>
    <row r="43" spans="1:12" ht="15" customHeight="1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Mensuelles'!W11</f>
        <v>0</v>
      </c>
      <c r="K43" s="414"/>
      <c r="L43" s="415"/>
    </row>
    <row r="44" spans="1:12" ht="15" customHeight="1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 ht="15" customHeight="1">
      <c r="A45" s="363" t="s">
        <v>236</v>
      </c>
      <c r="B45" s="364"/>
      <c r="C45" s="364"/>
      <c r="D45" s="364"/>
      <c r="E45" s="364"/>
      <c r="F45" s="365"/>
      <c r="G45" s="366">
        <f>SUM(G27:I36)</f>
        <v>4820</v>
      </c>
      <c r="H45" s="367"/>
      <c r="I45" s="368"/>
      <c r="J45" s="366">
        <f>SUM(J42:L43)</f>
        <v>0</v>
      </c>
      <c r="K45" s="367"/>
      <c r="L45" s="368"/>
    </row>
    <row r="46" spans="1:12" ht="15" customHeight="1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4820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 ht="15" customHeight="1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 ht="15" customHeight="1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41:F41"/>
    <mergeCell ref="G41:I41"/>
    <mergeCell ref="J41:L41"/>
    <mergeCell ref="A42:F42"/>
    <mergeCell ref="G42:I42"/>
    <mergeCell ref="J42:L42"/>
    <mergeCell ref="A43:F43"/>
    <mergeCell ref="G43:I43"/>
    <mergeCell ref="J43:L43"/>
    <mergeCell ref="A38:F38"/>
    <mergeCell ref="G38:I38"/>
    <mergeCell ref="J38:L38"/>
    <mergeCell ref="A39:F39"/>
    <mergeCell ref="G39:I39"/>
    <mergeCell ref="J39:L39"/>
    <mergeCell ref="A45:F45"/>
    <mergeCell ref="G45:I45"/>
    <mergeCell ref="J45:L45"/>
    <mergeCell ref="A46:L47"/>
    <mergeCell ref="A48:F48"/>
    <mergeCell ref="G48:L48"/>
    <mergeCell ref="A49:L51"/>
    <mergeCell ref="A40:F40"/>
    <mergeCell ref="G40:I40"/>
    <mergeCell ref="J40:L40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J34:L34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55:L56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A15:L15"/>
    <mergeCell ref="A16:C16"/>
    <mergeCell ref="E16:G16"/>
    <mergeCell ref="I16:K16"/>
    <mergeCell ref="A27:F27"/>
    <mergeCell ref="G27:I27"/>
    <mergeCell ref="A18:C18"/>
    <mergeCell ref="I18:K18"/>
    <mergeCell ref="A19:C19"/>
    <mergeCell ref="E19:G19"/>
    <mergeCell ref="A10:L10"/>
    <mergeCell ref="A11:C12"/>
    <mergeCell ref="D11:F12"/>
    <mergeCell ref="G11:G12"/>
    <mergeCell ref="H11:I12"/>
    <mergeCell ref="J11:L12"/>
    <mergeCell ref="A13:L14"/>
    <mergeCell ref="A17:C17"/>
    <mergeCell ref="E17:G17"/>
    <mergeCell ref="I17:K17"/>
    <mergeCell ref="A53:C53"/>
    <mergeCell ref="D53:F53"/>
    <mergeCell ref="A54:C54"/>
    <mergeCell ref="D54:F54"/>
    <mergeCell ref="A52:F52"/>
    <mergeCell ref="G52:L54"/>
    <mergeCell ref="I19:K19"/>
    <mergeCell ref="A20:C20"/>
    <mergeCell ref="E20:G20"/>
    <mergeCell ref="I20:K20"/>
    <mergeCell ref="A21:L22"/>
    <mergeCell ref="A23:L23"/>
    <mergeCell ref="J27:L27"/>
    <mergeCell ref="A28:F28"/>
    <mergeCell ref="G28:I28"/>
    <mergeCell ref="J28:L28"/>
    <mergeCell ref="A29:F29"/>
    <mergeCell ref="G29:I29"/>
    <mergeCell ref="J29:L29"/>
    <mergeCell ref="A33:F33"/>
    <mergeCell ref="G33:I33"/>
    <mergeCell ref="J33:L33"/>
    <mergeCell ref="A34:F34"/>
    <mergeCell ref="G34:I34"/>
  </mergeCells>
  <pageMargins left="0.7" right="0.7" top="0.75" bottom="0.75" header="0.3" footer="0.3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F7F-2A54-46AA-9CED-C4EE8FD6F673}">
  <sheetPr>
    <pageSetUpPr fitToPage="1"/>
  </sheetPr>
  <dimension ref="A1:T57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Mensuelles'!B12</f>
        <v>JAINULAPUDEEN MOHAMED</v>
      </c>
      <c r="E8" s="479"/>
      <c r="F8" s="480"/>
      <c r="G8" s="471"/>
      <c r="H8" s="494" t="s">
        <v>201</v>
      </c>
      <c r="I8" s="495"/>
      <c r="J8" s="496">
        <f>'Infos Mensuelles'!F12</f>
        <v>10030078086699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Mensuelles'!D12</f>
        <v>44501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Mensuelles'!C12</f>
        <v>Anees</v>
      </c>
      <c r="E11" s="479"/>
      <c r="F11" s="480"/>
      <c r="G11" s="471"/>
      <c r="H11" s="484" t="s">
        <v>204</v>
      </c>
      <c r="I11" s="485"/>
      <c r="J11" s="488" t="str">
        <f>'Infos Mensuelles'!G12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Mensuelles'!L12</f>
        <v>27</v>
      </c>
      <c r="E16" s="444" t="s">
        <v>207</v>
      </c>
      <c r="F16" s="445"/>
      <c r="G16" s="445"/>
      <c r="H16" s="36">
        <f>'Infos Mensuelles'!S12</f>
        <v>0</v>
      </c>
      <c r="I16" s="446" t="s">
        <v>208</v>
      </c>
      <c r="J16" s="447"/>
      <c r="K16" s="447"/>
      <c r="L16" s="28">
        <f>'Infos Mensuelles'!AE12</f>
        <v>20</v>
      </c>
    </row>
    <row r="17" spans="1:18">
      <c r="A17" s="421" t="s">
        <v>209</v>
      </c>
      <c r="B17" s="422"/>
      <c r="C17" s="422"/>
      <c r="D17" s="29">
        <f>'Infos Mensuelles'!N12</f>
        <v>0</v>
      </c>
      <c r="E17" s="421" t="s">
        <v>210</v>
      </c>
      <c r="F17" s="422"/>
      <c r="G17" s="422"/>
      <c r="H17" s="37">
        <f>'Infos Mensuelles'!T12</f>
        <v>0</v>
      </c>
      <c r="I17" s="448" t="s">
        <v>211</v>
      </c>
      <c r="J17" s="449"/>
      <c r="K17" s="449"/>
      <c r="L17" s="30">
        <f>'Infos Mensuelles'!AH12</f>
        <v>0</v>
      </c>
    </row>
    <row r="18" spans="1:18">
      <c r="A18" s="421" t="s">
        <v>212</v>
      </c>
      <c r="B18" s="422"/>
      <c r="C18" s="422"/>
      <c r="D18" s="29">
        <f>'Infos Mensuelles'!M12</f>
        <v>4</v>
      </c>
      <c r="E18" s="23" t="s">
        <v>213</v>
      </c>
      <c r="F18" s="24"/>
      <c r="G18" s="24"/>
      <c r="H18" s="37">
        <f>'Infos Mensuelles'!U12</f>
        <v>0</v>
      </c>
      <c r="I18" s="421" t="s">
        <v>214</v>
      </c>
      <c r="J18" s="422"/>
      <c r="K18" s="422"/>
      <c r="L18" s="30">
        <f>'Infos Mensuelles'!AL12</f>
        <v>0</v>
      </c>
    </row>
    <row r="19" spans="1:18">
      <c r="A19" s="421" t="s">
        <v>215</v>
      </c>
      <c r="B19" s="422"/>
      <c r="C19" s="422"/>
      <c r="D19" s="33">
        <f>'Infos Mensuelles'!P12</f>
        <v>0</v>
      </c>
      <c r="E19" s="421" t="s">
        <v>216</v>
      </c>
      <c r="F19" s="422"/>
      <c r="G19" s="422"/>
      <c r="H19" s="37">
        <f>'Infos Mensuelles'!R12</f>
        <v>0</v>
      </c>
      <c r="I19" s="421" t="s">
        <v>217</v>
      </c>
      <c r="J19" s="422"/>
      <c r="K19" s="422"/>
      <c r="L19" s="32">
        <f>'Infos Mensuelles'!O12</f>
        <v>0</v>
      </c>
    </row>
    <row r="20" spans="1:18">
      <c r="A20" s="419" t="s">
        <v>218</v>
      </c>
      <c r="B20" s="420"/>
      <c r="C20" s="420"/>
      <c r="D20" s="31">
        <f>'Infos Mensuelles'!Q12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Mensuelles'!H12</f>
        <v>2640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Mensuelles'!I12</f>
        <v>880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Mensuelles'!J12</f>
        <v>880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Mensuelles'!AG12</f>
        <v>240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Mensuelles'!AJ12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Mensuelles'!AN12</f>
        <v>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Mensuelles'!AQ12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Mensuelles'!AO12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Mensuelles'!AP12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Mensuelles'!AS12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Mensuelles'!AT12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Mensuelles'!Y12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Mensuelles'!V12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Mensuelles'!X12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Mensuelles'!AU12</f>
        <v>0</v>
      </c>
      <c r="K42" s="414"/>
      <c r="L42" s="415"/>
    </row>
    <row r="43" spans="1:12" ht="15" customHeight="1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Mensuelles'!W12</f>
        <v>0</v>
      </c>
      <c r="K43" s="414"/>
      <c r="L43" s="415"/>
    </row>
    <row r="44" spans="1:12" ht="15" customHeight="1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 ht="15" customHeight="1">
      <c r="A45" s="363" t="s">
        <v>236</v>
      </c>
      <c r="B45" s="364"/>
      <c r="C45" s="364"/>
      <c r="D45" s="364"/>
      <c r="E45" s="364"/>
      <c r="F45" s="365"/>
      <c r="G45" s="366">
        <f>SUM(G27:I36)</f>
        <v>4640</v>
      </c>
      <c r="H45" s="367"/>
      <c r="I45" s="368"/>
      <c r="J45" s="366">
        <f>SUM(J42:L43)</f>
        <v>0</v>
      </c>
      <c r="K45" s="367"/>
      <c r="L45" s="368"/>
    </row>
    <row r="46" spans="1:12" ht="15" customHeight="1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4640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 ht="15" customHeight="1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 ht="15" customHeight="1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45:F45"/>
    <mergeCell ref="G45:I45"/>
    <mergeCell ref="J45:L45"/>
    <mergeCell ref="A46:L47"/>
    <mergeCell ref="A48:F48"/>
    <mergeCell ref="G48:L48"/>
    <mergeCell ref="A49:L5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39:F39"/>
    <mergeCell ref="G39:I39"/>
    <mergeCell ref="J39:L39"/>
    <mergeCell ref="A40:F40"/>
    <mergeCell ref="G40:I40"/>
    <mergeCell ref="J40:L40"/>
    <mergeCell ref="A41:F41"/>
    <mergeCell ref="G41:I41"/>
    <mergeCell ref="J41:L41"/>
    <mergeCell ref="A36:F36"/>
    <mergeCell ref="G36:I36"/>
    <mergeCell ref="J36:L36"/>
    <mergeCell ref="A37:F37"/>
    <mergeCell ref="G37:I37"/>
    <mergeCell ref="J37:L37"/>
    <mergeCell ref="A38:F38"/>
    <mergeCell ref="G38:I38"/>
    <mergeCell ref="J38:L38"/>
    <mergeCell ref="A34:F34"/>
    <mergeCell ref="G34:I34"/>
    <mergeCell ref="J34:L34"/>
    <mergeCell ref="A35:F35"/>
    <mergeCell ref="G35:I35"/>
    <mergeCell ref="J35:L35"/>
    <mergeCell ref="A31:F31"/>
    <mergeCell ref="G31:I31"/>
    <mergeCell ref="J31:L31"/>
    <mergeCell ref="A32:F32"/>
    <mergeCell ref="G32:I32"/>
    <mergeCell ref="J32:L32"/>
    <mergeCell ref="A33:F33"/>
    <mergeCell ref="G33:I33"/>
    <mergeCell ref="J33:L33"/>
    <mergeCell ref="A28:F28"/>
    <mergeCell ref="G28:I28"/>
    <mergeCell ref="J28:L28"/>
    <mergeCell ref="A29:F29"/>
    <mergeCell ref="G29:I29"/>
    <mergeCell ref="J29:L29"/>
    <mergeCell ref="A30:F30"/>
    <mergeCell ref="G30:I30"/>
    <mergeCell ref="J30:L30"/>
    <mergeCell ref="A17:C17"/>
    <mergeCell ref="E17:G17"/>
    <mergeCell ref="I17:K17"/>
    <mergeCell ref="A18:C18"/>
    <mergeCell ref="I18:K18"/>
    <mergeCell ref="A20:C20"/>
    <mergeCell ref="E20:G20"/>
    <mergeCell ref="I20:K20"/>
    <mergeCell ref="A27:F27"/>
    <mergeCell ref="G27:I27"/>
    <mergeCell ref="J27:L27"/>
    <mergeCell ref="A21:L22"/>
    <mergeCell ref="A23:L23"/>
    <mergeCell ref="A24:F25"/>
    <mergeCell ref="G24:I25"/>
    <mergeCell ref="J24:L25"/>
    <mergeCell ref="A26:F26"/>
    <mergeCell ref="G26:I26"/>
    <mergeCell ref="J26:L26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55:L56"/>
    <mergeCell ref="A53:C53"/>
    <mergeCell ref="D53:F53"/>
    <mergeCell ref="A54:C54"/>
    <mergeCell ref="D54:F54"/>
    <mergeCell ref="A52:F52"/>
    <mergeCell ref="G52:L54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A19:C19"/>
    <mergeCell ref="E19:G19"/>
    <mergeCell ref="I19:K19"/>
    <mergeCell ref="H9:I9"/>
    <mergeCell ref="J9:L9"/>
    <mergeCell ref="A10:L10"/>
  </mergeCell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C381-46F4-4B6E-8E0B-9CE0B0A8B9F1}">
  <sheetPr>
    <pageSetUpPr fitToPage="1"/>
  </sheetPr>
  <dimension ref="A1:T57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Mensuelles'!B13</f>
        <v>SHAH MISAL SHAH BUKHARI</v>
      </c>
      <c r="E8" s="479"/>
      <c r="F8" s="480"/>
      <c r="G8" s="471"/>
      <c r="H8" s="494" t="s">
        <v>201</v>
      </c>
      <c r="I8" s="495"/>
      <c r="J8" s="496">
        <f>'Infos Mensuelles'!F13</f>
        <v>20001018653644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Mensuelles'!D13</f>
        <v>44726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Mensuelles'!C13</f>
        <v>Asal</v>
      </c>
      <c r="E11" s="479"/>
      <c r="F11" s="480"/>
      <c r="G11" s="471"/>
      <c r="H11" s="484" t="s">
        <v>204</v>
      </c>
      <c r="I11" s="485"/>
      <c r="J11" s="488" t="str">
        <f>'Infos Mensuelles'!G13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Mensuelles'!L13</f>
        <v>28</v>
      </c>
      <c r="E16" s="444" t="s">
        <v>207</v>
      </c>
      <c r="F16" s="445"/>
      <c r="G16" s="445"/>
      <c r="H16" s="36">
        <f>'Infos Mensuelles'!S13</f>
        <v>0</v>
      </c>
      <c r="I16" s="446" t="s">
        <v>208</v>
      </c>
      <c r="J16" s="447"/>
      <c r="K16" s="447"/>
      <c r="L16" s="28">
        <f>'Infos Mensuelles'!AE13</f>
        <v>4</v>
      </c>
    </row>
    <row r="17" spans="1:18">
      <c r="A17" s="421" t="s">
        <v>209</v>
      </c>
      <c r="B17" s="422"/>
      <c r="C17" s="422"/>
      <c r="D17" s="29">
        <f>'Infos Mensuelles'!N13</f>
        <v>0</v>
      </c>
      <c r="E17" s="421" t="s">
        <v>210</v>
      </c>
      <c r="F17" s="422"/>
      <c r="G17" s="422"/>
      <c r="H17" s="37">
        <f>'Infos Mensuelles'!T13</f>
        <v>0</v>
      </c>
      <c r="I17" s="448" t="s">
        <v>211</v>
      </c>
      <c r="J17" s="449"/>
      <c r="K17" s="449"/>
      <c r="L17" s="30">
        <f>'Infos Mensuelles'!AH13</f>
        <v>0</v>
      </c>
    </row>
    <row r="18" spans="1:18">
      <c r="A18" s="421" t="s">
        <v>212</v>
      </c>
      <c r="B18" s="422"/>
      <c r="C18" s="422"/>
      <c r="D18" s="29">
        <f>'Infos Mensuelles'!M13</f>
        <v>3</v>
      </c>
      <c r="E18" s="23" t="s">
        <v>213</v>
      </c>
      <c r="F18" s="24"/>
      <c r="G18" s="24"/>
      <c r="H18" s="37">
        <f>'Infos Mensuelles'!U13</f>
        <v>0</v>
      </c>
      <c r="I18" s="421" t="s">
        <v>214</v>
      </c>
      <c r="J18" s="422"/>
      <c r="K18" s="422"/>
      <c r="L18" s="30">
        <f>'Infos Mensuelles'!AL13</f>
        <v>2</v>
      </c>
    </row>
    <row r="19" spans="1:18">
      <c r="A19" s="421" t="s">
        <v>215</v>
      </c>
      <c r="B19" s="422"/>
      <c r="C19" s="422"/>
      <c r="D19" s="33">
        <f>'Infos Mensuelles'!P13</f>
        <v>0</v>
      </c>
      <c r="E19" s="421" t="s">
        <v>216</v>
      </c>
      <c r="F19" s="422"/>
      <c r="G19" s="422"/>
      <c r="H19" s="37">
        <f>'Infos Mensuelles'!R13</f>
        <v>0</v>
      </c>
      <c r="I19" s="421" t="s">
        <v>217</v>
      </c>
      <c r="J19" s="422"/>
      <c r="K19" s="422"/>
      <c r="L19" s="32">
        <f>'Infos Mensuelles'!O13</f>
        <v>0</v>
      </c>
    </row>
    <row r="20" spans="1:18">
      <c r="A20" s="419" t="s">
        <v>218</v>
      </c>
      <c r="B20" s="420"/>
      <c r="C20" s="420"/>
      <c r="D20" s="31">
        <f>'Infos Mensuelles'!Q13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Mensuelles'!H13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Mensuelles'!I13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Mensuelles'!J13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Mensuelles'!AG13</f>
        <v>48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Mensuelles'!AJ13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Mensuelles'!AN13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Mensuelles'!AQ13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Mensuelles'!AO13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Mensuelles'!AP13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Mensuelles'!AS13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Mensuelles'!AT13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Mensuelles'!Y13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Mensuelles'!V13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Mensuelles'!X13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Mensuelles'!AU13</f>
        <v>0</v>
      </c>
      <c r="K42" s="414"/>
      <c r="L42" s="415"/>
    </row>
    <row r="43" spans="1:12" ht="15" customHeight="1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Mensuelles'!W13</f>
        <v>0</v>
      </c>
      <c r="K43" s="414"/>
      <c r="L43" s="415"/>
    </row>
    <row r="44" spans="1:12" ht="15" customHeight="1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 ht="15" customHeight="1">
      <c r="A45" s="363" t="s">
        <v>236</v>
      </c>
      <c r="B45" s="364"/>
      <c r="C45" s="364"/>
      <c r="D45" s="364"/>
      <c r="E45" s="364"/>
      <c r="F45" s="365"/>
      <c r="G45" s="366">
        <f>SUM(G27:I36)</f>
        <v>4630</v>
      </c>
      <c r="H45" s="367"/>
      <c r="I45" s="368"/>
      <c r="J45" s="366">
        <f>SUM(J42:L43)</f>
        <v>0</v>
      </c>
      <c r="K45" s="367"/>
      <c r="L45" s="368"/>
    </row>
    <row r="46" spans="1:12" ht="15" customHeight="1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4630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 ht="15" customHeight="1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 ht="15" customHeight="1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  <row r="57" spans="1:20" s="15" customFormat="1" ht="19.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</sheetData>
  <mergeCells count="111">
    <mergeCell ref="A46:L47"/>
    <mergeCell ref="A48:F48"/>
    <mergeCell ref="G48:L48"/>
    <mergeCell ref="A49:L51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0:F40"/>
    <mergeCell ref="G40:I40"/>
    <mergeCell ref="J40:L40"/>
    <mergeCell ref="A41:F41"/>
    <mergeCell ref="G41:I41"/>
    <mergeCell ref="J41:L41"/>
    <mergeCell ref="A45:F45"/>
    <mergeCell ref="G45:I45"/>
    <mergeCell ref="J45:L45"/>
    <mergeCell ref="A37:F37"/>
    <mergeCell ref="G37:I37"/>
    <mergeCell ref="J37:L37"/>
    <mergeCell ref="A38:F38"/>
    <mergeCell ref="G38:I38"/>
    <mergeCell ref="J38:L38"/>
    <mergeCell ref="A39:F39"/>
    <mergeCell ref="G39:I39"/>
    <mergeCell ref="J39:L39"/>
    <mergeCell ref="J33:L33"/>
    <mergeCell ref="A34:F34"/>
    <mergeCell ref="G34:I34"/>
    <mergeCell ref="J34:L34"/>
    <mergeCell ref="A35:F35"/>
    <mergeCell ref="G35:I35"/>
    <mergeCell ref="J35:L35"/>
    <mergeCell ref="A36:F36"/>
    <mergeCell ref="G36:I36"/>
    <mergeCell ref="J36:L36"/>
    <mergeCell ref="A15:L15"/>
    <mergeCell ref="E19:G19"/>
    <mergeCell ref="I19:K19"/>
    <mergeCell ref="A20:C20"/>
    <mergeCell ref="E20:G20"/>
    <mergeCell ref="I20:K20"/>
    <mergeCell ref="A19:C19"/>
    <mergeCell ref="A21:L22"/>
    <mergeCell ref="A23:L23"/>
    <mergeCell ref="A16:C16"/>
    <mergeCell ref="E16:G16"/>
    <mergeCell ref="I16:K16"/>
    <mergeCell ref="A17:C17"/>
    <mergeCell ref="E17:G17"/>
    <mergeCell ref="I17:K17"/>
    <mergeCell ref="A18:C18"/>
    <mergeCell ref="I18:K18"/>
    <mergeCell ref="A1:L1"/>
    <mergeCell ref="A2:L2"/>
    <mergeCell ref="A3:L3"/>
    <mergeCell ref="A4:L4"/>
    <mergeCell ref="A6:L7"/>
    <mergeCell ref="A13:L14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D11:F12"/>
    <mergeCell ref="G11:G12"/>
    <mergeCell ref="H11:I12"/>
    <mergeCell ref="J11:L12"/>
    <mergeCell ref="A24:F25"/>
    <mergeCell ref="G24:I25"/>
    <mergeCell ref="J24:L25"/>
    <mergeCell ref="A27:F27"/>
    <mergeCell ref="G27:I27"/>
    <mergeCell ref="J27:L27"/>
    <mergeCell ref="A28:F28"/>
    <mergeCell ref="G28:I28"/>
    <mergeCell ref="J28:L28"/>
    <mergeCell ref="A54:C54"/>
    <mergeCell ref="D54:F54"/>
    <mergeCell ref="A55:L56"/>
    <mergeCell ref="A53:C53"/>
    <mergeCell ref="D53:F53"/>
    <mergeCell ref="A52:F52"/>
    <mergeCell ref="G52:L54"/>
    <mergeCell ref="A26:F26"/>
    <mergeCell ref="G26:I26"/>
    <mergeCell ref="J26:L26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32:F32"/>
    <mergeCell ref="G32:I32"/>
    <mergeCell ref="J32:L32"/>
    <mergeCell ref="A33:F33"/>
    <mergeCell ref="G33:I33"/>
  </mergeCell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B5DF-FF50-49DE-9BD3-C45077F0BDF3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Mensuelles'!B14</f>
        <v>FAZAL HUSSAIN</v>
      </c>
      <c r="E8" s="479"/>
      <c r="F8" s="480"/>
      <c r="G8" s="471"/>
      <c r="H8" s="494" t="s">
        <v>201</v>
      </c>
      <c r="I8" s="495"/>
      <c r="J8" s="496">
        <f>'Infos Mensuelles'!F14</f>
        <v>20015018877124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Mensuelles'!D14</f>
        <v>42642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Mensuelles'!C14</f>
        <v>Atta Rasool</v>
      </c>
      <c r="E11" s="479"/>
      <c r="F11" s="480"/>
      <c r="G11" s="471"/>
      <c r="H11" s="484" t="s">
        <v>204</v>
      </c>
      <c r="I11" s="485"/>
      <c r="J11" s="488" t="str">
        <f>'Infos Mensuelles'!G14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Mensuelles'!L14</f>
        <v>29</v>
      </c>
      <c r="E16" s="444" t="s">
        <v>207</v>
      </c>
      <c r="F16" s="445"/>
      <c r="G16" s="445"/>
      <c r="H16" s="36">
        <f>'Infos Mensuelles'!S14</f>
        <v>0</v>
      </c>
      <c r="I16" s="446" t="s">
        <v>208</v>
      </c>
      <c r="J16" s="447"/>
      <c r="K16" s="447"/>
      <c r="L16" s="28">
        <f>'Infos Mensuelles'!AE14</f>
        <v>5</v>
      </c>
    </row>
    <row r="17" spans="1:18">
      <c r="A17" s="421" t="s">
        <v>209</v>
      </c>
      <c r="B17" s="422"/>
      <c r="C17" s="422"/>
      <c r="D17" s="29">
        <f>'Infos Mensuelles'!N14</f>
        <v>0</v>
      </c>
      <c r="E17" s="421" t="s">
        <v>210</v>
      </c>
      <c r="F17" s="422"/>
      <c r="G17" s="422"/>
      <c r="H17" s="37">
        <f>'Infos Mensuelles'!T14</f>
        <v>0</v>
      </c>
      <c r="I17" s="448" t="s">
        <v>211</v>
      </c>
      <c r="J17" s="449"/>
      <c r="K17" s="449"/>
      <c r="L17" s="30">
        <f>'Infos Mensuelles'!AH14</f>
        <v>0</v>
      </c>
    </row>
    <row r="18" spans="1:18">
      <c r="A18" s="421" t="s">
        <v>212</v>
      </c>
      <c r="B18" s="422"/>
      <c r="C18" s="422"/>
      <c r="D18" s="29">
        <f>'Infos Mensuelles'!M14</f>
        <v>2</v>
      </c>
      <c r="E18" s="23" t="s">
        <v>213</v>
      </c>
      <c r="F18" s="24"/>
      <c r="G18" s="24"/>
      <c r="H18" s="37">
        <f>'Infos Mensuelles'!U14</f>
        <v>0</v>
      </c>
      <c r="I18" s="421" t="s">
        <v>214</v>
      </c>
      <c r="J18" s="422"/>
      <c r="K18" s="422"/>
      <c r="L18" s="30">
        <f>'Infos Mensuelles'!AL14</f>
        <v>3</v>
      </c>
    </row>
    <row r="19" spans="1:18">
      <c r="A19" s="421" t="s">
        <v>215</v>
      </c>
      <c r="B19" s="422"/>
      <c r="C19" s="422"/>
      <c r="D19" s="33">
        <f>'Infos Mensuelles'!P14</f>
        <v>0</v>
      </c>
      <c r="E19" s="421" t="s">
        <v>216</v>
      </c>
      <c r="F19" s="422"/>
      <c r="G19" s="422"/>
      <c r="H19" s="37">
        <f>'Infos Mensuelles'!R14</f>
        <v>0</v>
      </c>
      <c r="I19" s="421" t="s">
        <v>217</v>
      </c>
      <c r="J19" s="422"/>
      <c r="K19" s="422"/>
      <c r="L19" s="32">
        <f>'Infos Mensuelles'!O14</f>
        <v>0</v>
      </c>
    </row>
    <row r="20" spans="1:18">
      <c r="A20" s="419" t="s">
        <v>218</v>
      </c>
      <c r="B20" s="420"/>
      <c r="C20" s="420"/>
      <c r="D20" s="31">
        <f>'Infos Mensuelles'!Q14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Mensuelles'!H14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Mensuelles'!I14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Mensuelles'!J14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Mensuelles'!AG14</f>
        <v>60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Mensuelles'!AJ14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Mensuelles'!AN14</f>
        <v>444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Mensuelles'!AQ14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Mensuelles'!AO14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Mensuelles'!AP14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Mensuelles'!AS14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Mensuelles'!AT14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Mensuelles'!Y14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Mensuelles'!V14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Mensuelles'!X14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Mensuelles'!AU14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Mensuelles'!W14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5004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5004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 s="15" customFormat="1" ht="19.5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  <c r="M51" s="14"/>
      <c r="N51" s="14"/>
      <c r="O51" s="14"/>
      <c r="P51" s="14"/>
      <c r="Q51" s="14"/>
      <c r="R51" s="14"/>
      <c r="S51" s="14"/>
      <c r="T51" s="14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41:F41"/>
    <mergeCell ref="G41:I41"/>
    <mergeCell ref="J41:L41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A32:F32"/>
    <mergeCell ref="G32:I32"/>
    <mergeCell ref="J32:L32"/>
    <mergeCell ref="A33:F33"/>
    <mergeCell ref="J31:L31"/>
    <mergeCell ref="A42:F42"/>
    <mergeCell ref="G42:I42"/>
    <mergeCell ref="J42:L42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27:F27"/>
    <mergeCell ref="G27:I27"/>
    <mergeCell ref="J27:L27"/>
    <mergeCell ref="A28:F28"/>
    <mergeCell ref="J44:L44"/>
    <mergeCell ref="A45:F45"/>
    <mergeCell ref="G45:I45"/>
    <mergeCell ref="J45:L45"/>
    <mergeCell ref="A43:F43"/>
    <mergeCell ref="G33:I33"/>
    <mergeCell ref="J33:L33"/>
    <mergeCell ref="A34:F34"/>
    <mergeCell ref="G34:I34"/>
    <mergeCell ref="J34:L34"/>
    <mergeCell ref="G28:I28"/>
    <mergeCell ref="J28:L28"/>
    <mergeCell ref="A29:F29"/>
    <mergeCell ref="G29:I29"/>
    <mergeCell ref="J29:L29"/>
    <mergeCell ref="A30:F30"/>
    <mergeCell ref="G30:I30"/>
    <mergeCell ref="J30:L30"/>
    <mergeCell ref="A31:F31"/>
    <mergeCell ref="G31:I31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G43:I43"/>
    <mergeCell ref="J43:L43"/>
    <mergeCell ref="A55:L56"/>
    <mergeCell ref="A53:C53"/>
    <mergeCell ref="D53:F53"/>
    <mergeCell ref="A46:L47"/>
    <mergeCell ref="A48:F48"/>
    <mergeCell ref="G48:L48"/>
    <mergeCell ref="A44:F44"/>
    <mergeCell ref="G44:I44"/>
    <mergeCell ref="A54:C54"/>
    <mergeCell ref="D54:F54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6C50-5528-4496-9EE8-CAE0B3AF3651}">
  <sheetPr>
    <pageSetUpPr fitToPage="1"/>
  </sheetPr>
  <dimension ref="A1:R56"/>
  <sheetViews>
    <sheetView topLeftCell="A4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Mensuelles'!B15</f>
        <v>ULLAH MUHAMMAD RIAZ</v>
      </c>
      <c r="E8" s="479"/>
      <c r="F8" s="480"/>
      <c r="G8" s="471"/>
      <c r="H8" s="494" t="s">
        <v>201</v>
      </c>
      <c r="I8" s="495"/>
      <c r="J8" s="496">
        <f>'Infos Mensuelles'!F15</f>
        <v>20010118687794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Mensuelles'!D15</f>
        <v>43507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Mensuelles'!C15</f>
        <v>Attiq</v>
      </c>
      <c r="E11" s="479"/>
      <c r="F11" s="480"/>
      <c r="G11" s="471"/>
      <c r="H11" s="484" t="s">
        <v>204</v>
      </c>
      <c r="I11" s="485"/>
      <c r="J11" s="488" t="str">
        <f>'Infos Mensuelles'!G15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Mensuelles'!L15</f>
        <v>28</v>
      </c>
      <c r="E16" s="444" t="s">
        <v>207</v>
      </c>
      <c r="F16" s="445"/>
      <c r="G16" s="445"/>
      <c r="H16" s="36">
        <f>'Infos Mensuelles'!S15</f>
        <v>0</v>
      </c>
      <c r="I16" s="446" t="s">
        <v>208</v>
      </c>
      <c r="J16" s="447"/>
      <c r="K16" s="447"/>
      <c r="L16" s="28">
        <f>'Infos Mensuelles'!AE15</f>
        <v>7</v>
      </c>
    </row>
    <row r="17" spans="1:18">
      <c r="A17" s="421" t="s">
        <v>209</v>
      </c>
      <c r="B17" s="422"/>
      <c r="C17" s="422"/>
      <c r="D17" s="29">
        <f>'Infos Mensuelles'!N15</f>
        <v>0</v>
      </c>
      <c r="E17" s="421" t="s">
        <v>210</v>
      </c>
      <c r="F17" s="422"/>
      <c r="G17" s="422"/>
      <c r="H17" s="37">
        <f>'Infos Mensuelles'!T15</f>
        <v>0</v>
      </c>
      <c r="I17" s="448" t="s">
        <v>211</v>
      </c>
      <c r="J17" s="449"/>
      <c r="K17" s="449"/>
      <c r="L17" s="30">
        <f>'Infos Mensuelles'!AH15</f>
        <v>0</v>
      </c>
    </row>
    <row r="18" spans="1:18">
      <c r="A18" s="421" t="s">
        <v>212</v>
      </c>
      <c r="B18" s="422"/>
      <c r="C18" s="422"/>
      <c r="D18" s="29">
        <f>'Infos Mensuelles'!M15</f>
        <v>3</v>
      </c>
      <c r="E18" s="23" t="s">
        <v>213</v>
      </c>
      <c r="F18" s="24"/>
      <c r="G18" s="24"/>
      <c r="H18" s="37">
        <f>'Infos Mensuelles'!U15</f>
        <v>0</v>
      </c>
      <c r="I18" s="421" t="s">
        <v>214</v>
      </c>
      <c r="J18" s="422"/>
      <c r="K18" s="422"/>
      <c r="L18" s="30">
        <f>'Infos Mensuelles'!AL15</f>
        <v>1</v>
      </c>
    </row>
    <row r="19" spans="1:18">
      <c r="A19" s="421" t="s">
        <v>215</v>
      </c>
      <c r="B19" s="422"/>
      <c r="C19" s="422"/>
      <c r="D19" s="33">
        <f>'Infos Mensuelles'!P15</f>
        <v>0</v>
      </c>
      <c r="E19" s="421" t="s">
        <v>216</v>
      </c>
      <c r="F19" s="422"/>
      <c r="G19" s="422"/>
      <c r="H19" s="37">
        <f>'Infos Mensuelles'!R15</f>
        <v>0</v>
      </c>
      <c r="I19" s="421" t="s">
        <v>217</v>
      </c>
      <c r="J19" s="422"/>
      <c r="K19" s="422"/>
      <c r="L19" s="32">
        <f>'Infos Mensuelles'!O15</f>
        <v>0</v>
      </c>
    </row>
    <row r="20" spans="1:18">
      <c r="A20" s="419" t="s">
        <v>218</v>
      </c>
      <c r="B20" s="420"/>
      <c r="C20" s="420"/>
      <c r="D20" s="31">
        <f>'Infos Mensuelles'!Q15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Mensuelles'!H15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Mensuelles'!I15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Mensuelles'!J15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Mensuelles'!AG15</f>
        <v>84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Mensuelles'!AJ15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Mensuelles'!AN15</f>
        <v>148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Mensuelles'!AQ15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Mensuelles'!AO15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Mensuelles'!AP15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Mensuelles'!AS15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Mensuelles'!AT15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Mensuelles'!Y15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Mensuelles'!V15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Mensuelles'!X15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Mensuelles'!AU15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Mensuelles'!W15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4732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4732</v>
      </c>
      <c r="H48" s="378"/>
      <c r="I48" s="378"/>
      <c r="J48" s="378"/>
      <c r="K48" s="378"/>
      <c r="L48" s="379"/>
    </row>
    <row r="49" spans="1:18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18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18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18" ht="15" customHeight="1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18" s="15" customFormat="1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M53" s="14"/>
      <c r="N53" s="14"/>
      <c r="O53" s="14"/>
      <c r="P53" s="14"/>
      <c r="Q53" s="14"/>
      <c r="R53" s="14"/>
    </row>
    <row r="54" spans="1:18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18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18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1:F41"/>
    <mergeCell ref="G41:I41"/>
    <mergeCell ref="J41:L41"/>
    <mergeCell ref="A42:F42"/>
    <mergeCell ref="G42:I42"/>
    <mergeCell ref="J42:L42"/>
    <mergeCell ref="A46:L47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35:F35"/>
    <mergeCell ref="G35:I35"/>
    <mergeCell ref="J35:L35"/>
    <mergeCell ref="A36:F36"/>
    <mergeCell ref="G36:I36"/>
    <mergeCell ref="J36:L36"/>
    <mergeCell ref="A37:F37"/>
    <mergeCell ref="G37:I37"/>
    <mergeCell ref="J37:L37"/>
    <mergeCell ref="A32:F32"/>
    <mergeCell ref="G32:I32"/>
    <mergeCell ref="J32:L32"/>
    <mergeCell ref="A33:F33"/>
    <mergeCell ref="G33:I33"/>
    <mergeCell ref="J33:L33"/>
    <mergeCell ref="A34:F34"/>
    <mergeCell ref="G34:I34"/>
    <mergeCell ref="J34:L34"/>
    <mergeCell ref="A29:F29"/>
    <mergeCell ref="G29:I29"/>
    <mergeCell ref="J29:L29"/>
    <mergeCell ref="A30:F30"/>
    <mergeCell ref="G30:I30"/>
    <mergeCell ref="J30:L30"/>
    <mergeCell ref="A31:F31"/>
    <mergeCell ref="G31:I31"/>
    <mergeCell ref="J31:L31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53:C53"/>
    <mergeCell ref="D53:F53"/>
    <mergeCell ref="A55:L56"/>
    <mergeCell ref="A54:C54"/>
    <mergeCell ref="D54:F54"/>
    <mergeCell ref="G52:L54"/>
    <mergeCell ref="A48:F48"/>
    <mergeCell ref="G48:L48"/>
    <mergeCell ref="A49:L51"/>
    <mergeCell ref="A52:F52"/>
  </mergeCell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7E09-DE32-48BC-B6C9-9E2DCFA78FC4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Mensuelles'!B16</f>
        <v>KHAN NAZIR</v>
      </c>
      <c r="E8" s="479"/>
      <c r="F8" s="480"/>
      <c r="G8" s="471"/>
      <c r="H8" s="494" t="s">
        <v>201</v>
      </c>
      <c r="I8" s="495"/>
      <c r="J8" s="496">
        <f>'Infos Mensuelles'!F16</f>
        <v>20011019277621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Mensuelles'!D16</f>
        <v>44664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Mensuelles'!C16</f>
        <v>Bilal</v>
      </c>
      <c r="E11" s="479"/>
      <c r="F11" s="480"/>
      <c r="G11" s="471"/>
      <c r="H11" s="484" t="s">
        <v>204</v>
      </c>
      <c r="I11" s="485"/>
      <c r="J11" s="488" t="str">
        <f>'Infos Mensuelles'!G16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Mensuelles'!L16</f>
        <v>25</v>
      </c>
      <c r="E16" s="444" t="s">
        <v>207</v>
      </c>
      <c r="F16" s="445"/>
      <c r="G16" s="445"/>
      <c r="H16" s="36">
        <f>'Infos Mensuelles'!S16</f>
        <v>0</v>
      </c>
      <c r="I16" s="446" t="s">
        <v>208</v>
      </c>
      <c r="J16" s="447"/>
      <c r="K16" s="447"/>
      <c r="L16" s="28">
        <f>'Infos Mensuelles'!AE16</f>
        <v>9</v>
      </c>
    </row>
    <row r="17" spans="1:18">
      <c r="A17" s="421" t="s">
        <v>209</v>
      </c>
      <c r="B17" s="422"/>
      <c r="C17" s="422"/>
      <c r="D17" s="29">
        <f>'Infos Mensuelles'!N16</f>
        <v>0</v>
      </c>
      <c r="E17" s="421" t="s">
        <v>210</v>
      </c>
      <c r="F17" s="422"/>
      <c r="G17" s="422"/>
      <c r="H17" s="37">
        <f>'Infos Mensuelles'!T16</f>
        <v>0</v>
      </c>
      <c r="I17" s="448" t="s">
        <v>211</v>
      </c>
      <c r="J17" s="449"/>
      <c r="K17" s="449"/>
      <c r="L17" s="30">
        <f>'Infos Mensuelles'!AH16</f>
        <v>0</v>
      </c>
    </row>
    <row r="18" spans="1:18">
      <c r="A18" s="421" t="s">
        <v>212</v>
      </c>
      <c r="B18" s="422"/>
      <c r="C18" s="422"/>
      <c r="D18" s="29">
        <f>'Infos Mensuelles'!M16</f>
        <v>4</v>
      </c>
      <c r="E18" s="23" t="s">
        <v>213</v>
      </c>
      <c r="F18" s="24"/>
      <c r="G18" s="24"/>
      <c r="H18" s="37">
        <f>'Infos Mensuelles'!U16</f>
        <v>0</v>
      </c>
      <c r="I18" s="421" t="s">
        <v>214</v>
      </c>
      <c r="J18" s="422"/>
      <c r="K18" s="422"/>
      <c r="L18" s="30">
        <f>'Infos Mensuelles'!AL16</f>
        <v>1</v>
      </c>
    </row>
    <row r="19" spans="1:18">
      <c r="A19" s="421" t="s">
        <v>215</v>
      </c>
      <c r="B19" s="422"/>
      <c r="C19" s="422"/>
      <c r="D19" s="33">
        <f>'Infos Mensuelles'!P16</f>
        <v>2</v>
      </c>
      <c r="E19" s="421" t="s">
        <v>216</v>
      </c>
      <c r="F19" s="422"/>
      <c r="G19" s="422"/>
      <c r="H19" s="37">
        <f>'Infos Mensuelles'!R16</f>
        <v>0</v>
      </c>
      <c r="I19" s="421" t="s">
        <v>217</v>
      </c>
      <c r="J19" s="422"/>
      <c r="K19" s="422"/>
      <c r="L19" s="32">
        <f>'Infos Mensuelles'!O16</f>
        <v>0</v>
      </c>
    </row>
    <row r="20" spans="1:18">
      <c r="A20" s="419" t="s">
        <v>218</v>
      </c>
      <c r="B20" s="420"/>
      <c r="C20" s="420"/>
      <c r="D20" s="31">
        <f>'Infos Mensuelles'!Q16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 customHeight="1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Mensuelles'!H16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Mensuelles'!I16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Mensuelles'!J16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Mensuelles'!AG16</f>
        <v>108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Mensuelles'!AJ16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Mensuelles'!AN16</f>
        <v>141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Mensuelles'!AQ16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Mensuelles'!AO16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Mensuelles'!AP16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Mensuelles'!AS16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Mensuelles'!AT16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Mensuelles'!Y16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Mensuelles'!V16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Mensuelles'!X16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Mensuelles'!AU16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Mensuelles'!W16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4549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4549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s="15" customFormat="1" ht="19.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  <c r="M50" s="14"/>
      <c r="N50" s="14"/>
      <c r="O50" s="14"/>
      <c r="P50" s="14"/>
      <c r="Q50" s="14"/>
      <c r="R50" s="14"/>
      <c r="S50" s="14"/>
      <c r="T50" s="14"/>
    </row>
    <row r="51" spans="1:20" ht="15" customHeight="1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5" customHeight="1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5" customHeight="1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20:C20"/>
    <mergeCell ref="E20:G20"/>
    <mergeCell ref="I20:K20"/>
    <mergeCell ref="E17:G17"/>
    <mergeCell ref="A26:F26"/>
    <mergeCell ref="G26:I26"/>
    <mergeCell ref="J26:L26"/>
    <mergeCell ref="A28:F28"/>
    <mergeCell ref="G28:I28"/>
    <mergeCell ref="A21:L22"/>
    <mergeCell ref="A23:L23"/>
    <mergeCell ref="A24:F25"/>
    <mergeCell ref="G24:I25"/>
    <mergeCell ref="J24:L25"/>
    <mergeCell ref="A8:C9"/>
    <mergeCell ref="D8:F9"/>
    <mergeCell ref="G8:G9"/>
    <mergeCell ref="H8:I8"/>
    <mergeCell ref="J8:L8"/>
    <mergeCell ref="H9:I9"/>
    <mergeCell ref="J9:L9"/>
    <mergeCell ref="A13:L14"/>
    <mergeCell ref="A15:L15"/>
    <mergeCell ref="A16:C16"/>
    <mergeCell ref="E16:G16"/>
    <mergeCell ref="I16:K16"/>
    <mergeCell ref="A17:C17"/>
    <mergeCell ref="I17:K17"/>
    <mergeCell ref="A18:C18"/>
    <mergeCell ref="I18:K18"/>
    <mergeCell ref="A19:C19"/>
    <mergeCell ref="E19:G19"/>
    <mergeCell ref="I19:K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2:F42"/>
    <mergeCell ref="G42:I42"/>
    <mergeCell ref="J42:L42"/>
    <mergeCell ref="J37:L37"/>
    <mergeCell ref="A39:F39"/>
    <mergeCell ref="G39:I39"/>
    <mergeCell ref="J39:L39"/>
    <mergeCell ref="A41:F41"/>
    <mergeCell ref="G41:I41"/>
    <mergeCell ref="J41:L41"/>
    <mergeCell ref="A37:F37"/>
    <mergeCell ref="G37:I37"/>
    <mergeCell ref="A38:F38"/>
    <mergeCell ref="G38:I38"/>
    <mergeCell ref="J38:L38"/>
    <mergeCell ref="A40:F40"/>
    <mergeCell ref="G40:I40"/>
    <mergeCell ref="J40:L40"/>
    <mergeCell ref="A55:L56"/>
    <mergeCell ref="A43:F43"/>
    <mergeCell ref="G43:I43"/>
    <mergeCell ref="A54:C54"/>
    <mergeCell ref="D54:F54"/>
    <mergeCell ref="J43:L43"/>
    <mergeCell ref="A44:F44"/>
    <mergeCell ref="G44:I44"/>
    <mergeCell ref="J44:L44"/>
    <mergeCell ref="A45:F45"/>
    <mergeCell ref="G45:I45"/>
    <mergeCell ref="J45:L45"/>
    <mergeCell ref="A46:L47"/>
    <mergeCell ref="A53:C53"/>
    <mergeCell ref="D53:F53"/>
    <mergeCell ref="A48:F48"/>
    <mergeCell ref="G48:L48"/>
    <mergeCell ref="A49:L51"/>
    <mergeCell ref="A52:F52"/>
    <mergeCell ref="G52:L54"/>
  </mergeCells>
  <pageMargins left="0.7" right="0.7" top="0.75" bottom="0.75" header="0.3" footer="0.3"/>
  <pageSetup fitToWidth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195A-F622-4A58-9175-3BF7AC564717}">
  <sheetPr>
    <pageSetUpPr fitToPage="1"/>
  </sheetPr>
  <dimension ref="A1:T56"/>
  <sheetViews>
    <sheetView topLeftCell="A3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Mensuelles'!B17</f>
        <v xml:space="preserve">ISMAIL SAMSUDEEN </v>
      </c>
      <c r="E8" s="479"/>
      <c r="F8" s="480"/>
      <c r="G8" s="471"/>
      <c r="H8" s="494" t="s">
        <v>201</v>
      </c>
      <c r="I8" s="495"/>
      <c r="J8" s="496">
        <f>'Infos Mensuelles'!F17</f>
        <v>10030079016477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Mensuelles'!D17</f>
        <v>45310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Mensuelles'!C17</f>
        <v>Farook</v>
      </c>
      <c r="E11" s="479"/>
      <c r="F11" s="480"/>
      <c r="G11" s="471"/>
      <c r="H11" s="484" t="s">
        <v>204</v>
      </c>
      <c r="I11" s="485"/>
      <c r="J11" s="488" t="str">
        <f>'Infos Mensuelles'!G17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Mensuelles'!L17</f>
        <v>28</v>
      </c>
      <c r="E16" s="444" t="s">
        <v>207</v>
      </c>
      <c r="F16" s="445"/>
      <c r="G16" s="445"/>
      <c r="H16" s="36">
        <f>'Infos Mensuelles'!S17</f>
        <v>0</v>
      </c>
      <c r="I16" s="446" t="s">
        <v>208</v>
      </c>
      <c r="J16" s="447"/>
      <c r="K16" s="447"/>
      <c r="L16" s="28">
        <f>'Infos Mensuelles'!AE17</f>
        <v>6</v>
      </c>
    </row>
    <row r="17" spans="1:18">
      <c r="A17" s="421" t="s">
        <v>209</v>
      </c>
      <c r="B17" s="422"/>
      <c r="C17" s="422"/>
      <c r="D17" s="29">
        <f>'Infos Mensuelles'!N17</f>
        <v>0</v>
      </c>
      <c r="E17" s="421" t="s">
        <v>210</v>
      </c>
      <c r="F17" s="422"/>
      <c r="G17" s="422"/>
      <c r="H17" s="37">
        <f>'Infos Mensuelles'!T17</f>
        <v>0</v>
      </c>
      <c r="I17" s="448" t="s">
        <v>211</v>
      </c>
      <c r="J17" s="449"/>
      <c r="K17" s="449"/>
      <c r="L17" s="30">
        <f>'Infos Mensuelles'!AH17</f>
        <v>0</v>
      </c>
    </row>
    <row r="18" spans="1:18">
      <c r="A18" s="421" t="s">
        <v>212</v>
      </c>
      <c r="B18" s="422"/>
      <c r="C18" s="422"/>
      <c r="D18" s="29">
        <f>'Infos Mensuelles'!M17</f>
        <v>3</v>
      </c>
      <c r="E18" s="23" t="s">
        <v>213</v>
      </c>
      <c r="F18" s="24"/>
      <c r="G18" s="24"/>
      <c r="H18" s="37">
        <f>'Infos Mensuelles'!U17</f>
        <v>0</v>
      </c>
      <c r="I18" s="421" t="s">
        <v>214</v>
      </c>
      <c r="J18" s="422"/>
      <c r="K18" s="422"/>
      <c r="L18" s="30">
        <f>'Infos Mensuelles'!AL17</f>
        <v>2</v>
      </c>
    </row>
    <row r="19" spans="1:18">
      <c r="A19" s="421" t="s">
        <v>215</v>
      </c>
      <c r="B19" s="422"/>
      <c r="C19" s="422"/>
      <c r="D19" s="33">
        <f>'Infos Mensuelles'!P17</f>
        <v>0</v>
      </c>
      <c r="E19" s="421" t="s">
        <v>216</v>
      </c>
      <c r="F19" s="422"/>
      <c r="G19" s="422"/>
      <c r="H19" s="37">
        <f>'Infos Mensuelles'!R17</f>
        <v>0</v>
      </c>
      <c r="I19" s="421" t="s">
        <v>217</v>
      </c>
      <c r="J19" s="422"/>
      <c r="K19" s="422"/>
      <c r="L19" s="32">
        <f>'Infos Mensuelles'!O17</f>
        <v>0</v>
      </c>
    </row>
    <row r="20" spans="1:18">
      <c r="A20" s="419" t="s">
        <v>218</v>
      </c>
      <c r="B20" s="420"/>
      <c r="C20" s="420"/>
      <c r="D20" s="31">
        <f>'Infos Mensuelles'!Q17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Mensuelles'!H17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Mensuelles'!I17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Mensuelles'!J17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Mensuelles'!AG17</f>
        <v>72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Mensuelles'!AJ17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Mensuelles'!AN17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Mensuelles'!AQ17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Mensuelles'!AO17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Mensuelles'!AP17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Mensuelles'!AS17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Mensuelles'!AT17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Mensuelles'!Y17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Mensuelles'!V17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Mensuelles'!X17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Mensuelles'!AU17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Mensuelles'!W17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4548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4548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E20:G20"/>
    <mergeCell ref="I20:K20"/>
    <mergeCell ref="A19:C19"/>
    <mergeCell ref="E19:G19"/>
    <mergeCell ref="I19:K19"/>
    <mergeCell ref="A20:C20"/>
    <mergeCell ref="H9:I9"/>
    <mergeCell ref="J9:L9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J27:L27"/>
    <mergeCell ref="J28:L28"/>
    <mergeCell ref="A27:F27"/>
    <mergeCell ref="G27:I27"/>
    <mergeCell ref="A28:F28"/>
    <mergeCell ref="G28:I28"/>
    <mergeCell ref="J33:L33"/>
    <mergeCell ref="A31:F31"/>
    <mergeCell ref="A29:F29"/>
    <mergeCell ref="G29:I29"/>
    <mergeCell ref="J29:L29"/>
    <mergeCell ref="A30:F30"/>
    <mergeCell ref="G30:I30"/>
    <mergeCell ref="J30:L30"/>
    <mergeCell ref="G35:I35"/>
    <mergeCell ref="G31:I31"/>
    <mergeCell ref="J31:L31"/>
    <mergeCell ref="A32:F32"/>
    <mergeCell ref="G32:I32"/>
    <mergeCell ref="J32:L32"/>
    <mergeCell ref="A33:F33"/>
    <mergeCell ref="G33:I33"/>
    <mergeCell ref="A40:F40"/>
    <mergeCell ref="G40:I40"/>
    <mergeCell ref="J40:L40"/>
    <mergeCell ref="A36:F36"/>
    <mergeCell ref="G36:I36"/>
    <mergeCell ref="J36:L36"/>
    <mergeCell ref="A37:F37"/>
    <mergeCell ref="G37:I37"/>
    <mergeCell ref="A34:F34"/>
    <mergeCell ref="G34:I34"/>
    <mergeCell ref="J34:L34"/>
    <mergeCell ref="J35:L35"/>
    <mergeCell ref="A35:F35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5A30-1BC2-4241-96AE-8F789F92D2F6}">
  <sheetPr>
    <pageSetUpPr fitToPage="1"/>
  </sheetPr>
  <dimension ref="A1:T56"/>
  <sheetViews>
    <sheetView topLeftCell="A19" workbookViewId="0">
      <selection activeCell="I64" sqref="I64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Mensuelles'!B18</f>
        <v>MOHIDEEN ABDUL RAHUMAN</v>
      </c>
      <c r="E8" s="479"/>
      <c r="F8" s="480"/>
      <c r="G8" s="471"/>
      <c r="H8" s="494" t="s">
        <v>201</v>
      </c>
      <c r="I8" s="495"/>
      <c r="J8" s="496">
        <f>'Infos Mensuelles'!F18</f>
        <v>10017048332090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Mensuelles'!D18</f>
        <v>43671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Mensuelles'!C18</f>
        <v>Haja</v>
      </c>
      <c r="E11" s="479"/>
      <c r="F11" s="480"/>
      <c r="G11" s="471"/>
      <c r="H11" s="484" t="s">
        <v>204</v>
      </c>
      <c r="I11" s="485"/>
      <c r="J11" s="488" t="str">
        <f>'Infos Mensuelles'!G18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Mensuelles'!L18</f>
        <v>27</v>
      </c>
      <c r="E16" s="444" t="s">
        <v>207</v>
      </c>
      <c r="F16" s="445"/>
      <c r="G16" s="445"/>
      <c r="H16" s="36">
        <f>'Infos Mensuelles'!S18</f>
        <v>0</v>
      </c>
      <c r="I16" s="446" t="s">
        <v>208</v>
      </c>
      <c r="J16" s="447"/>
      <c r="K16" s="447"/>
      <c r="L16" s="28">
        <f>'Infos Mensuelles'!AE18</f>
        <v>12</v>
      </c>
    </row>
    <row r="17" spans="1:18">
      <c r="A17" s="421" t="s">
        <v>209</v>
      </c>
      <c r="B17" s="422"/>
      <c r="C17" s="422"/>
      <c r="D17" s="29">
        <f>'Infos Mensuelles'!N18</f>
        <v>0</v>
      </c>
      <c r="E17" s="421" t="s">
        <v>210</v>
      </c>
      <c r="F17" s="422"/>
      <c r="G17" s="422"/>
      <c r="H17" s="37">
        <f>'Infos Mensuelles'!T18</f>
        <v>0</v>
      </c>
      <c r="I17" s="448" t="s">
        <v>211</v>
      </c>
      <c r="J17" s="449"/>
      <c r="K17" s="449"/>
      <c r="L17" s="30">
        <f>'Infos Mensuelles'!AH18</f>
        <v>0</v>
      </c>
    </row>
    <row r="18" spans="1:18">
      <c r="A18" s="421" t="s">
        <v>212</v>
      </c>
      <c r="B18" s="422"/>
      <c r="C18" s="422"/>
      <c r="D18" s="29">
        <f>'Infos Mensuelles'!M18</f>
        <v>4</v>
      </c>
      <c r="E18" s="23" t="s">
        <v>213</v>
      </c>
      <c r="F18" s="24"/>
      <c r="G18" s="24"/>
      <c r="H18" s="37">
        <f>'Infos Mensuelles'!U18</f>
        <v>0</v>
      </c>
      <c r="I18" s="421" t="s">
        <v>214</v>
      </c>
      <c r="J18" s="422"/>
      <c r="K18" s="422"/>
      <c r="L18" s="30">
        <f>'Infos Mensuelles'!AL18</f>
        <v>0</v>
      </c>
    </row>
    <row r="19" spans="1:18">
      <c r="A19" s="421" t="s">
        <v>215</v>
      </c>
      <c r="B19" s="422"/>
      <c r="C19" s="422"/>
      <c r="D19" s="33">
        <f>'Infos Mensuelles'!P18</f>
        <v>0</v>
      </c>
      <c r="E19" s="421" t="s">
        <v>216</v>
      </c>
      <c r="F19" s="422"/>
      <c r="G19" s="422"/>
      <c r="H19" s="37">
        <f>'Infos Mensuelles'!R18</f>
        <v>0</v>
      </c>
      <c r="I19" s="421" t="s">
        <v>217</v>
      </c>
      <c r="J19" s="422"/>
      <c r="K19" s="422"/>
      <c r="L19" s="32">
        <f>'Infos Mensuelles'!O18</f>
        <v>0</v>
      </c>
    </row>
    <row r="20" spans="1:18">
      <c r="A20" s="419" t="s">
        <v>218</v>
      </c>
      <c r="B20" s="420"/>
      <c r="C20" s="420"/>
      <c r="D20" s="31">
        <f>'Infos Mensuelles'!Q18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Mensuelles'!H18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Mensuelles'!I18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Mensuelles'!J18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Mensuelles'!AG18</f>
        <v>144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Mensuelles'!AJ18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Mensuelles'!AN18</f>
        <v>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Mensuelles'!AQ18</f>
        <v>1306.6400000000001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Mensuelles'!AO18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Mensuelles'!AP18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Mensuelles'!AS18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Mensuelles'!AT18</f>
        <v>800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Mensuelles'!Y18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Mensuelles'!V18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Mensuelles'!X18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Mensuelles'!AU18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Mensuelles'!W18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5950.64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5950.64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J32:L32"/>
    <mergeCell ref="G29:I29"/>
    <mergeCell ref="A31:F31"/>
    <mergeCell ref="G31:I31"/>
    <mergeCell ref="J31:L31"/>
    <mergeCell ref="A1:L1"/>
    <mergeCell ref="A2:L2"/>
    <mergeCell ref="A3:L3"/>
    <mergeCell ref="A4:L4"/>
    <mergeCell ref="A6:L7"/>
    <mergeCell ref="J11:L12"/>
    <mergeCell ref="A13:L14"/>
    <mergeCell ref="J27:L27"/>
    <mergeCell ref="A27:F27"/>
    <mergeCell ref="G27:I27"/>
    <mergeCell ref="A11:C12"/>
    <mergeCell ref="D11:F12"/>
    <mergeCell ref="G11:G12"/>
    <mergeCell ref="H11:I12"/>
    <mergeCell ref="A15:L15"/>
    <mergeCell ref="A20:C20"/>
    <mergeCell ref="E20:G20"/>
    <mergeCell ref="D8:F9"/>
    <mergeCell ref="G8:G9"/>
    <mergeCell ref="H8:I8"/>
    <mergeCell ref="J8:L8"/>
    <mergeCell ref="H9:I9"/>
    <mergeCell ref="J9:L9"/>
    <mergeCell ref="A19:C19"/>
    <mergeCell ref="E19:G19"/>
    <mergeCell ref="I19:K19"/>
    <mergeCell ref="J37:L37"/>
    <mergeCell ref="A29:F29"/>
    <mergeCell ref="J29:L29"/>
    <mergeCell ref="A16:C16"/>
    <mergeCell ref="A21:L22"/>
    <mergeCell ref="A26:F26"/>
    <mergeCell ref="G26:I26"/>
    <mergeCell ref="A30:F30"/>
    <mergeCell ref="G30:I30"/>
    <mergeCell ref="J30:L30"/>
    <mergeCell ref="J28:L28"/>
    <mergeCell ref="A28:F28"/>
    <mergeCell ref="G28:I28"/>
    <mergeCell ref="A37:F37"/>
    <mergeCell ref="I20:K20"/>
    <mergeCell ref="J26:L26"/>
    <mergeCell ref="A23:L23"/>
    <mergeCell ref="A24:F25"/>
    <mergeCell ref="G24:I25"/>
    <mergeCell ref="J24:L25"/>
    <mergeCell ref="A32:F32"/>
    <mergeCell ref="G32:I32"/>
    <mergeCell ref="A5:L5"/>
    <mergeCell ref="A10:L10"/>
    <mergeCell ref="E16:G16"/>
    <mergeCell ref="I16:K16"/>
    <mergeCell ref="A17:C17"/>
    <mergeCell ref="E17:G17"/>
    <mergeCell ref="I17:K17"/>
    <mergeCell ref="A18:C18"/>
    <mergeCell ref="I18:K18"/>
    <mergeCell ref="A8:C9"/>
    <mergeCell ref="D54:F54"/>
    <mergeCell ref="A54:C54"/>
    <mergeCell ref="J33:L33"/>
    <mergeCell ref="A33:F33"/>
    <mergeCell ref="G33:I33"/>
    <mergeCell ref="J35:L35"/>
    <mergeCell ref="A35:F35"/>
    <mergeCell ref="G35:I35"/>
    <mergeCell ref="A39:F39"/>
    <mergeCell ref="G39:I39"/>
    <mergeCell ref="J39:L39"/>
    <mergeCell ref="A36:F36"/>
    <mergeCell ref="G36:I36"/>
    <mergeCell ref="J36:L36"/>
    <mergeCell ref="A40:F40"/>
    <mergeCell ref="G40:I40"/>
    <mergeCell ref="J40:L40"/>
    <mergeCell ref="G37:I37"/>
    <mergeCell ref="A34:F34"/>
    <mergeCell ref="G34:I34"/>
    <mergeCell ref="J34:L34"/>
    <mergeCell ref="A38:F38"/>
    <mergeCell ref="G38:I38"/>
    <mergeCell ref="J38:L38"/>
    <mergeCell ref="A55:L56"/>
    <mergeCell ref="A41:F41"/>
    <mergeCell ref="G41:I41"/>
    <mergeCell ref="J41:L41"/>
    <mergeCell ref="A42:F42"/>
    <mergeCell ref="G42:I42"/>
    <mergeCell ref="A44:F44"/>
    <mergeCell ref="G44:I44"/>
    <mergeCell ref="J44:L44"/>
    <mergeCell ref="A45:F45"/>
    <mergeCell ref="G45:I45"/>
    <mergeCell ref="J45:L45"/>
    <mergeCell ref="A46:L47"/>
    <mergeCell ref="A48:F48"/>
    <mergeCell ref="G48:L48"/>
    <mergeCell ref="J42:L42"/>
    <mergeCell ref="A43:F43"/>
    <mergeCell ref="G43:I43"/>
    <mergeCell ref="J43:L43"/>
    <mergeCell ref="A53:C53"/>
    <mergeCell ref="D53:F53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E58B-17BE-448A-9245-7BFA684E3DDE}">
  <sheetPr>
    <pageSetUpPr fitToPage="1"/>
  </sheetPr>
  <dimension ref="A1:T56"/>
  <sheetViews>
    <sheetView topLeftCell="A6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Mensuelles'!B19</f>
        <v>KHAN AHMAD KHAN</v>
      </c>
      <c r="E8" s="479"/>
      <c r="F8" s="480"/>
      <c r="G8" s="471"/>
      <c r="H8" s="494" t="s">
        <v>201</v>
      </c>
      <c r="I8" s="495"/>
      <c r="J8" s="496">
        <f>'Infos Mensuelles'!F19</f>
        <v>20002038203486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Mensuelles'!D19</f>
        <v>44855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Mensuelles'!C19</f>
        <v>Ibrahim</v>
      </c>
      <c r="E11" s="479"/>
      <c r="F11" s="480"/>
      <c r="G11" s="471"/>
      <c r="H11" s="484" t="s">
        <v>204</v>
      </c>
      <c r="I11" s="485"/>
      <c r="J11" s="488" t="str">
        <f>'Infos Mensuelles'!G19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Mensuelles'!L19</f>
        <v>28</v>
      </c>
      <c r="E16" s="444" t="s">
        <v>207</v>
      </c>
      <c r="F16" s="445"/>
      <c r="G16" s="445"/>
      <c r="H16" s="36">
        <f>'Infos Mensuelles'!S19</f>
        <v>0</v>
      </c>
      <c r="I16" s="446" t="s">
        <v>208</v>
      </c>
      <c r="J16" s="447"/>
      <c r="K16" s="447"/>
      <c r="L16" s="28">
        <f>'Infos Mensuelles'!AE19</f>
        <v>13</v>
      </c>
    </row>
    <row r="17" spans="1:18">
      <c r="A17" s="421" t="s">
        <v>209</v>
      </c>
      <c r="B17" s="422"/>
      <c r="C17" s="422"/>
      <c r="D17" s="29">
        <f>'Infos Mensuelles'!N19</f>
        <v>0</v>
      </c>
      <c r="E17" s="421" t="s">
        <v>210</v>
      </c>
      <c r="F17" s="422"/>
      <c r="G17" s="422"/>
      <c r="H17" s="37">
        <f>'Infos Mensuelles'!T19</f>
        <v>0</v>
      </c>
      <c r="I17" s="448" t="s">
        <v>211</v>
      </c>
      <c r="J17" s="449"/>
      <c r="K17" s="449"/>
      <c r="L17" s="30">
        <f>'Infos Mensuelles'!AH19</f>
        <v>0</v>
      </c>
    </row>
    <row r="18" spans="1:18">
      <c r="A18" s="421" t="s">
        <v>212</v>
      </c>
      <c r="B18" s="422"/>
      <c r="C18" s="422"/>
      <c r="D18" s="29">
        <f>'Infos Mensuelles'!M19</f>
        <v>3</v>
      </c>
      <c r="E18" s="23" t="s">
        <v>213</v>
      </c>
      <c r="F18" s="24"/>
      <c r="G18" s="24"/>
      <c r="H18" s="37">
        <f>'Infos Mensuelles'!U19</f>
        <v>0</v>
      </c>
      <c r="I18" s="421" t="s">
        <v>214</v>
      </c>
      <c r="J18" s="422"/>
      <c r="K18" s="422"/>
      <c r="L18" s="30">
        <f>'Infos Mensuelles'!AL19</f>
        <v>1</v>
      </c>
    </row>
    <row r="19" spans="1:18">
      <c r="A19" s="421" t="s">
        <v>215</v>
      </c>
      <c r="B19" s="422"/>
      <c r="C19" s="422"/>
      <c r="D19" s="33">
        <f>'Infos Mensuelles'!P19</f>
        <v>0</v>
      </c>
      <c r="E19" s="421" t="s">
        <v>216</v>
      </c>
      <c r="F19" s="422"/>
      <c r="G19" s="422"/>
      <c r="H19" s="37">
        <f>'Infos Mensuelles'!R19</f>
        <v>0</v>
      </c>
      <c r="I19" s="421" t="s">
        <v>217</v>
      </c>
      <c r="J19" s="422"/>
      <c r="K19" s="422"/>
      <c r="L19" s="32">
        <f>'Infos Mensuelles'!O19</f>
        <v>0</v>
      </c>
    </row>
    <row r="20" spans="1:18">
      <c r="A20" s="419" t="s">
        <v>218</v>
      </c>
      <c r="B20" s="420"/>
      <c r="C20" s="420"/>
      <c r="D20" s="31">
        <f>'Infos Mensuelles'!Q19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Mensuelles'!H19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Mensuelles'!I19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Mensuelles'!J19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Mensuelles'!AG19</f>
        <v>156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Mensuelles'!AJ19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Mensuelles'!AN19</f>
        <v>141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Mensuelles'!AQ19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Mensuelles'!AO19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Mensuelles'!AP19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Mensuelles'!AS19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Mensuelles'!AT19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Mensuelles'!Y19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Mensuelles'!V19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Mensuelles'!X19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Mensuelles'!AU19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Mensuelles'!W19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4597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4597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5B1E-7D11-4253-A15E-078477E4D898}">
  <dimension ref="A1:T56"/>
  <sheetViews>
    <sheetView topLeftCell="A4" workbookViewId="0">
      <selection activeCell="N46" sqref="N46"/>
    </sheetView>
  </sheetViews>
  <sheetFormatPr defaultRowHeight="15"/>
  <sheetData>
    <row r="1" spans="1:20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  <c r="M1" s="14"/>
      <c r="N1" s="14"/>
      <c r="O1" s="14"/>
      <c r="P1" s="14"/>
      <c r="Q1" s="14"/>
      <c r="R1" s="14"/>
      <c r="S1" s="14"/>
      <c r="T1" s="14"/>
    </row>
    <row r="2" spans="1:20" ht="16.5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  <c r="M2" s="14"/>
      <c r="N2" s="14"/>
      <c r="O2" s="14"/>
      <c r="P2" s="14"/>
      <c r="Q2" s="14"/>
      <c r="R2" s="14"/>
      <c r="S2" s="14"/>
      <c r="T2" s="14"/>
    </row>
    <row r="3" spans="1:20" ht="19.5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  <c r="M3" s="14"/>
      <c r="N3" s="14"/>
      <c r="O3" s="14"/>
      <c r="P3" s="14"/>
      <c r="Q3" s="14"/>
      <c r="R3" s="14"/>
      <c r="S3" s="14"/>
      <c r="T3" s="14"/>
    </row>
    <row r="4" spans="1:20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  <c r="M4" s="14"/>
      <c r="N4" s="14"/>
      <c r="O4" s="14"/>
      <c r="P4" s="14"/>
      <c r="Q4" s="14"/>
      <c r="R4" s="14"/>
      <c r="S4" s="14"/>
      <c r="T4" s="14"/>
    </row>
    <row r="5" spans="1:20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  <c r="M5" s="14"/>
      <c r="N5" s="14"/>
      <c r="O5" s="14"/>
      <c r="P5" s="14"/>
      <c r="Q5" s="14"/>
      <c r="R5" s="14"/>
      <c r="S5" s="14"/>
      <c r="T5" s="14"/>
    </row>
    <row r="6" spans="1:20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  <c r="M6" s="14"/>
      <c r="N6" s="14"/>
      <c r="O6" s="14"/>
      <c r="P6" s="14"/>
      <c r="Q6" s="14"/>
      <c r="R6" s="14"/>
      <c r="S6" s="14"/>
      <c r="T6" s="14"/>
    </row>
    <row r="7" spans="1:20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  <c r="M7" s="14"/>
      <c r="N7" s="14"/>
      <c r="O7" s="14"/>
      <c r="P7" s="14"/>
      <c r="Q7" s="14"/>
      <c r="R7" s="14"/>
      <c r="S7" s="14"/>
      <c r="T7" s="14"/>
    </row>
    <row r="8" spans="1:20" ht="19.5">
      <c r="A8" s="472" t="s">
        <v>200</v>
      </c>
      <c r="B8" s="473"/>
      <c r="C8" s="474"/>
      <c r="D8" s="478">
        <f>'Infos Mensuelles'!B20</f>
        <v>0</v>
      </c>
      <c r="E8" s="479"/>
      <c r="F8" s="480"/>
      <c r="G8" s="471"/>
      <c r="H8" s="494" t="s">
        <v>201</v>
      </c>
      <c r="I8" s="495"/>
      <c r="J8" s="496">
        <f>'Infos Mensuelles'!F20</f>
        <v>20029018381980</v>
      </c>
      <c r="K8" s="497"/>
      <c r="L8" s="498"/>
      <c r="M8" s="14"/>
      <c r="N8" s="14"/>
      <c r="O8" s="14"/>
      <c r="P8" s="14"/>
      <c r="Q8" s="14"/>
      <c r="R8" s="14"/>
      <c r="S8" s="14"/>
      <c r="T8" s="14"/>
    </row>
    <row r="9" spans="1:20" ht="19.5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Mensuelles'!D20</f>
        <v>46030</v>
      </c>
      <c r="K9" s="502"/>
      <c r="L9" s="503"/>
      <c r="M9" s="14"/>
      <c r="N9" s="14"/>
      <c r="O9" s="14"/>
      <c r="P9" s="14"/>
      <c r="Q9" s="14"/>
      <c r="R9" s="14"/>
      <c r="S9" s="14"/>
      <c r="T9" s="14"/>
    </row>
    <row r="10" spans="1:20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  <c r="M10" s="14"/>
      <c r="N10" s="14"/>
      <c r="O10" s="14"/>
      <c r="P10" s="14"/>
      <c r="Q10" s="14"/>
      <c r="R10" s="14"/>
      <c r="S10" s="14"/>
      <c r="T10" s="14"/>
    </row>
    <row r="11" spans="1:20">
      <c r="A11" s="472" t="s">
        <v>203</v>
      </c>
      <c r="B11" s="473"/>
      <c r="C11" s="474"/>
      <c r="D11" s="478" t="str">
        <f>'Infos Mensuelles'!C20</f>
        <v>Haider</v>
      </c>
      <c r="E11" s="479"/>
      <c r="F11" s="480"/>
      <c r="G11" s="471"/>
      <c r="H11" s="484" t="s">
        <v>204</v>
      </c>
      <c r="I11" s="485"/>
      <c r="J11" s="488" t="str">
        <f>'Infos Mensuelles'!G20</f>
        <v>Light Vehicule Driver</v>
      </c>
      <c r="K11" s="489"/>
      <c r="L11" s="490"/>
      <c r="M11" s="14"/>
      <c r="N11" s="14"/>
      <c r="O11" s="14"/>
      <c r="P11" s="14"/>
      <c r="Q11" s="14"/>
      <c r="R11" s="14"/>
      <c r="S11" s="14"/>
      <c r="T11" s="14"/>
    </row>
    <row r="12" spans="1:20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  <c r="M12" s="14"/>
      <c r="N12" s="14"/>
      <c r="O12" s="14"/>
      <c r="P12" s="14"/>
      <c r="Q12" s="14"/>
      <c r="R12" s="14"/>
      <c r="S12" s="14"/>
      <c r="T12" s="14"/>
    </row>
    <row r="13" spans="1:20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  <c r="M13" s="14"/>
      <c r="N13" s="14"/>
      <c r="O13" s="14"/>
      <c r="P13" s="14"/>
      <c r="Q13" s="14"/>
      <c r="R13" s="14"/>
      <c r="S13" s="14"/>
      <c r="T13" s="14"/>
    </row>
    <row r="14" spans="1:20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  <c r="M14" s="14"/>
      <c r="N14" s="14"/>
      <c r="O14" s="14"/>
      <c r="P14" s="14"/>
      <c r="Q14" s="14"/>
      <c r="R14" s="14"/>
      <c r="S14" s="14"/>
      <c r="T14" s="14"/>
    </row>
    <row r="15" spans="1:20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  <c r="M15" s="14"/>
      <c r="N15" s="14"/>
      <c r="O15" s="14"/>
      <c r="P15" s="14"/>
      <c r="Q15" s="14"/>
      <c r="R15" s="14"/>
      <c r="S15" s="14"/>
      <c r="T15" s="14"/>
    </row>
    <row r="16" spans="1:20">
      <c r="A16" s="444" t="s">
        <v>206</v>
      </c>
      <c r="B16" s="445"/>
      <c r="C16" s="445"/>
      <c r="D16" s="27">
        <f>'Infos Mensuelles'!L20</f>
        <v>21</v>
      </c>
      <c r="E16" s="444" t="s">
        <v>207</v>
      </c>
      <c r="F16" s="445"/>
      <c r="G16" s="445"/>
      <c r="H16" s="36">
        <f>'Infos Mensuelles'!S20</f>
        <v>0</v>
      </c>
      <c r="I16" s="446" t="s">
        <v>208</v>
      </c>
      <c r="J16" s="447"/>
      <c r="K16" s="447"/>
      <c r="L16" s="28">
        <f>'Infos Mensuelles'!AE20</f>
        <v>2</v>
      </c>
      <c r="M16" s="14"/>
      <c r="N16" s="14"/>
      <c r="O16" s="14"/>
      <c r="P16" s="14"/>
      <c r="Q16" s="14"/>
      <c r="R16" s="14"/>
      <c r="S16" s="14"/>
      <c r="T16" s="14"/>
    </row>
    <row r="17" spans="1:20">
      <c r="A17" s="421" t="s">
        <v>209</v>
      </c>
      <c r="B17" s="422"/>
      <c r="C17" s="422"/>
      <c r="D17" s="29">
        <f>'Infos Mensuelles'!N20</f>
        <v>0</v>
      </c>
      <c r="E17" s="421" t="s">
        <v>210</v>
      </c>
      <c r="F17" s="422"/>
      <c r="G17" s="422"/>
      <c r="H17" s="37">
        <f>'Infos Mensuelles'!T20</f>
        <v>0</v>
      </c>
      <c r="I17" s="448" t="s">
        <v>211</v>
      </c>
      <c r="J17" s="449"/>
      <c r="K17" s="449"/>
      <c r="L17" s="30">
        <f>'Infos Mensuelles'!AH20</f>
        <v>0</v>
      </c>
      <c r="M17" s="14"/>
      <c r="N17" s="14"/>
      <c r="O17" s="14"/>
      <c r="P17" s="14"/>
      <c r="Q17" s="14"/>
      <c r="R17" s="14"/>
      <c r="S17" s="14"/>
      <c r="T17" s="14"/>
    </row>
    <row r="18" spans="1:20">
      <c r="A18" s="421" t="s">
        <v>212</v>
      </c>
      <c r="B18" s="422"/>
      <c r="C18" s="422"/>
      <c r="D18" s="29">
        <f>'Infos Mensuelles'!M20</f>
        <v>3</v>
      </c>
      <c r="E18" s="23" t="s">
        <v>213</v>
      </c>
      <c r="F18" s="24"/>
      <c r="G18" s="24"/>
      <c r="H18" s="37">
        <f>'Infos Mensuelles'!U20</f>
        <v>0</v>
      </c>
      <c r="I18" s="421" t="s">
        <v>214</v>
      </c>
      <c r="J18" s="422"/>
      <c r="K18" s="422"/>
      <c r="L18" s="30">
        <f>'Infos Mensuelles'!AL20</f>
        <v>0</v>
      </c>
      <c r="M18" s="14"/>
      <c r="N18" s="14"/>
      <c r="O18" s="14"/>
      <c r="P18" s="14"/>
      <c r="Q18" s="14"/>
      <c r="R18" s="14"/>
      <c r="S18" s="14"/>
      <c r="T18" s="14"/>
    </row>
    <row r="19" spans="1:20">
      <c r="A19" s="421" t="s">
        <v>215</v>
      </c>
      <c r="B19" s="422"/>
      <c r="C19" s="422"/>
      <c r="D19" s="29">
        <f>'Infos Mensuelles'!P20</f>
        <v>0</v>
      </c>
      <c r="E19" s="421" t="s">
        <v>216</v>
      </c>
      <c r="F19" s="422"/>
      <c r="G19" s="422"/>
      <c r="H19" s="37">
        <f>'Infos Mensuelles'!R20</f>
        <v>0</v>
      </c>
      <c r="I19" s="421" t="s">
        <v>217</v>
      </c>
      <c r="J19" s="422"/>
      <c r="K19" s="422"/>
      <c r="L19" s="32">
        <f>'Infos Mensuelles'!O20</f>
        <v>0</v>
      </c>
      <c r="M19" s="14"/>
      <c r="N19" s="14"/>
      <c r="O19" s="14"/>
      <c r="P19" s="14"/>
      <c r="Q19" s="14"/>
      <c r="R19" s="14"/>
      <c r="S19" s="14"/>
      <c r="T19" s="14"/>
    </row>
    <row r="20" spans="1:20">
      <c r="A20" s="419" t="s">
        <v>218</v>
      </c>
      <c r="B20" s="420"/>
      <c r="C20" s="420"/>
      <c r="D20" s="31">
        <f>'Infos Mensuelles'!Q20</f>
        <v>24</v>
      </c>
      <c r="E20" s="419"/>
      <c r="F20" s="420"/>
      <c r="G20" s="420"/>
      <c r="H20" s="34"/>
      <c r="I20" s="419"/>
      <c r="J20" s="420"/>
      <c r="K20" s="420"/>
      <c r="L20" s="35"/>
      <c r="M20" s="14"/>
      <c r="N20" s="14"/>
      <c r="O20" s="14"/>
      <c r="P20" s="14"/>
      <c r="Q20" s="14"/>
      <c r="R20" s="14"/>
      <c r="S20" s="14"/>
      <c r="T20" s="14"/>
    </row>
    <row r="21" spans="1:20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M21" s="14"/>
      <c r="N21" s="14"/>
      <c r="O21" s="14"/>
      <c r="P21" s="17"/>
      <c r="Q21" s="14"/>
      <c r="R21" s="14"/>
      <c r="S21" s="14"/>
      <c r="T21" s="14"/>
    </row>
    <row r="22" spans="1:20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  <c r="M22" s="14"/>
      <c r="N22" s="14"/>
      <c r="O22" s="14"/>
      <c r="P22" s="14"/>
      <c r="Q22" s="14"/>
      <c r="R22" s="14"/>
      <c r="S22" s="14"/>
      <c r="T22" s="14"/>
    </row>
    <row r="23" spans="1:20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  <c r="M23" s="14"/>
      <c r="N23" s="14"/>
      <c r="O23" s="14"/>
      <c r="P23" s="14"/>
      <c r="Q23" s="14"/>
      <c r="R23" s="14"/>
      <c r="S23" s="14"/>
      <c r="T23" s="14"/>
    </row>
    <row r="24" spans="1:20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  <c r="S24" s="14"/>
      <c r="T24" s="14"/>
    </row>
    <row r="25" spans="1:20" ht="16.5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  <c r="M25" s="16"/>
      <c r="N25" s="16"/>
      <c r="O25" s="16"/>
      <c r="P25" s="16"/>
      <c r="Q25" s="16"/>
      <c r="R25" s="16"/>
      <c r="S25" s="16"/>
      <c r="T25" s="16"/>
    </row>
    <row r="26" spans="1:20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  <c r="M26" s="16"/>
      <c r="N26" s="16"/>
      <c r="O26" s="16"/>
      <c r="P26" s="16"/>
      <c r="Q26" s="16"/>
      <c r="R26" s="16"/>
      <c r="S26" s="16"/>
      <c r="T26" s="16"/>
    </row>
    <row r="27" spans="1:20" ht="16.5">
      <c r="A27" s="411" t="s">
        <v>224</v>
      </c>
      <c r="B27" s="412"/>
      <c r="C27" s="412"/>
      <c r="D27" s="412"/>
      <c r="E27" s="412"/>
      <c r="F27" s="412"/>
      <c r="G27" s="406">
        <f>'Infos Mensuelles'!H20</f>
        <v>2100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  <c r="S27" s="16"/>
      <c r="T27" s="16"/>
    </row>
    <row r="28" spans="1:20">
      <c r="A28" s="411" t="s">
        <v>16</v>
      </c>
      <c r="B28" s="412"/>
      <c r="C28" s="412"/>
      <c r="D28" s="412"/>
      <c r="E28" s="412"/>
      <c r="F28" s="412"/>
      <c r="G28" s="406">
        <f>'Infos Mensuelles'!I20</f>
        <v>700</v>
      </c>
      <c r="H28" s="407"/>
      <c r="I28" s="407"/>
      <c r="J28" s="416"/>
      <c r="K28" s="417"/>
      <c r="L28" s="418"/>
      <c r="M28" s="14"/>
      <c r="N28" s="14"/>
      <c r="O28" s="14"/>
      <c r="P28" s="14"/>
      <c r="Q28" s="14"/>
      <c r="R28" s="14"/>
      <c r="S28" s="14"/>
      <c r="T28" s="14"/>
    </row>
    <row r="29" spans="1:20">
      <c r="A29" s="411" t="s">
        <v>225</v>
      </c>
      <c r="B29" s="412"/>
      <c r="C29" s="412"/>
      <c r="D29" s="412"/>
      <c r="E29" s="412"/>
      <c r="F29" s="412"/>
      <c r="G29" s="406">
        <f>'Infos Mensuelles'!J20</f>
        <v>700</v>
      </c>
      <c r="H29" s="407"/>
      <c r="I29" s="407"/>
      <c r="J29" s="416"/>
      <c r="K29" s="417"/>
      <c r="L29" s="418"/>
      <c r="M29" s="14"/>
      <c r="N29" s="14"/>
      <c r="O29" s="14"/>
      <c r="P29" s="14"/>
      <c r="Q29" s="14"/>
      <c r="R29" s="14"/>
      <c r="S29" s="14"/>
      <c r="T29" s="14"/>
    </row>
    <row r="30" spans="1:20">
      <c r="A30" s="411" t="s">
        <v>226</v>
      </c>
      <c r="B30" s="412"/>
      <c r="C30" s="412"/>
      <c r="D30" s="412"/>
      <c r="E30" s="412"/>
      <c r="F30" s="412"/>
      <c r="G30" s="406">
        <f>'Infos Mensuelles'!AG20</f>
        <v>20</v>
      </c>
      <c r="H30" s="407"/>
      <c r="I30" s="407"/>
      <c r="J30" s="416"/>
      <c r="K30" s="417"/>
      <c r="L30" s="418"/>
      <c r="M30" s="14"/>
      <c r="N30" s="14"/>
      <c r="O30" s="14"/>
      <c r="P30" s="14"/>
      <c r="Q30" s="14"/>
      <c r="R30" s="14"/>
      <c r="S30" s="14"/>
      <c r="T30" s="14"/>
    </row>
    <row r="31" spans="1:20">
      <c r="A31" s="411" t="s">
        <v>227</v>
      </c>
      <c r="B31" s="412"/>
      <c r="C31" s="412"/>
      <c r="D31" s="412"/>
      <c r="E31" s="412"/>
      <c r="F31" s="412"/>
      <c r="G31" s="406">
        <f>'Infos Mensuelles'!AJ20</f>
        <v>0</v>
      </c>
      <c r="H31" s="407"/>
      <c r="I31" s="407"/>
      <c r="J31" s="416"/>
      <c r="K31" s="417"/>
      <c r="L31" s="418"/>
      <c r="M31" s="14"/>
      <c r="N31" s="14"/>
      <c r="O31" s="14"/>
      <c r="P31" s="14"/>
      <c r="Q31" s="14"/>
      <c r="R31" s="14"/>
      <c r="S31" s="14"/>
      <c r="T31" s="14"/>
    </row>
    <row r="32" spans="1:20">
      <c r="A32" s="411" t="s">
        <v>24</v>
      </c>
      <c r="B32" s="412"/>
      <c r="C32" s="412"/>
      <c r="D32" s="412"/>
      <c r="E32" s="412"/>
      <c r="F32" s="412"/>
      <c r="G32" s="406">
        <f>'Infos Mensuelles'!AN20</f>
        <v>0</v>
      </c>
      <c r="H32" s="407"/>
      <c r="I32" s="407"/>
      <c r="J32" s="416"/>
      <c r="K32" s="417"/>
      <c r="L32" s="418"/>
      <c r="M32" s="14"/>
      <c r="N32" s="14"/>
      <c r="O32" s="14"/>
      <c r="P32" s="14"/>
      <c r="Q32" s="14"/>
      <c r="R32" s="14"/>
      <c r="S32" s="14"/>
      <c r="T32" s="14"/>
    </row>
    <row r="33" spans="1:20">
      <c r="A33" s="411" t="s">
        <v>228</v>
      </c>
      <c r="B33" s="412"/>
      <c r="C33" s="412"/>
      <c r="D33" s="412"/>
      <c r="E33" s="412"/>
      <c r="F33" s="412"/>
      <c r="G33" s="406">
        <f>'Infos Mensuelles'!AQ20</f>
        <v>0</v>
      </c>
      <c r="H33" s="407"/>
      <c r="I33" s="407"/>
      <c r="J33" s="416"/>
      <c r="K33" s="417"/>
      <c r="L33" s="418"/>
      <c r="M33" s="14"/>
      <c r="N33" s="14"/>
      <c r="O33" s="14"/>
      <c r="P33" s="14"/>
      <c r="Q33" s="14"/>
      <c r="R33" s="14"/>
      <c r="S33" s="14"/>
      <c r="T33" s="14"/>
    </row>
    <row r="34" spans="1:20">
      <c r="A34" s="411" t="s">
        <v>25</v>
      </c>
      <c r="B34" s="412"/>
      <c r="C34" s="412"/>
      <c r="D34" s="412"/>
      <c r="E34" s="412"/>
      <c r="F34" s="443"/>
      <c r="G34" s="406">
        <f>'Infos Mensuelles'!AO20</f>
        <v>0</v>
      </c>
      <c r="H34" s="407"/>
      <c r="I34" s="407"/>
      <c r="J34" s="416"/>
      <c r="K34" s="417"/>
      <c r="L34" s="418"/>
      <c r="M34" s="14"/>
      <c r="N34" s="14"/>
      <c r="O34" s="14"/>
      <c r="P34" s="14"/>
      <c r="Q34" s="14"/>
      <c r="R34" s="14"/>
      <c r="S34" s="14"/>
      <c r="T34" s="14"/>
    </row>
    <row r="35" spans="1:20">
      <c r="A35" s="411" t="s">
        <v>229</v>
      </c>
      <c r="B35" s="412"/>
      <c r="C35" s="412"/>
      <c r="D35" s="412"/>
      <c r="E35" s="412"/>
      <c r="F35" s="443"/>
      <c r="G35" s="406">
        <f>'Infos Mensuelles'!AP20</f>
        <v>0</v>
      </c>
      <c r="H35" s="407"/>
      <c r="I35" s="407"/>
      <c r="J35" s="416"/>
      <c r="K35" s="417"/>
      <c r="L35" s="418"/>
      <c r="M35" s="14"/>
      <c r="N35" s="14"/>
      <c r="O35" s="14"/>
      <c r="P35" s="14"/>
      <c r="Q35" s="14"/>
      <c r="R35" s="14"/>
      <c r="S35" s="14"/>
      <c r="T35" s="14"/>
    </row>
    <row r="36" spans="1:20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  <c r="M36" s="14"/>
      <c r="N36" s="14"/>
      <c r="O36" s="14"/>
      <c r="P36" s="14"/>
      <c r="Q36" s="14"/>
      <c r="R36" s="14"/>
      <c r="S36" s="14"/>
      <c r="T36" s="14"/>
    </row>
    <row r="37" spans="1:20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Mensuelles'!AS20</f>
        <v>0</v>
      </c>
      <c r="K37" s="414"/>
      <c r="L37" s="415"/>
      <c r="M37" s="14"/>
      <c r="N37" s="14"/>
      <c r="O37" s="14"/>
      <c r="P37" s="14"/>
      <c r="Q37" s="14"/>
      <c r="R37" s="14"/>
      <c r="S37" s="14"/>
      <c r="T37" s="14"/>
    </row>
    <row r="38" spans="1:20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Mensuelles'!AT20</f>
        <v>426</v>
      </c>
      <c r="K38" s="414"/>
      <c r="L38" s="415"/>
      <c r="M38" s="14"/>
      <c r="N38" s="14"/>
      <c r="O38" s="14"/>
      <c r="P38" s="14"/>
      <c r="Q38" s="14"/>
      <c r="R38" s="14"/>
      <c r="S38" s="14"/>
      <c r="T38" s="14"/>
    </row>
    <row r="39" spans="1:20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Mensuelles'!Y20</f>
        <v>0</v>
      </c>
      <c r="K39" s="414"/>
      <c r="L39" s="415"/>
      <c r="M39" s="14"/>
      <c r="N39" s="14"/>
      <c r="O39" s="14"/>
      <c r="P39" s="14"/>
      <c r="Q39" s="14"/>
      <c r="R39" s="14"/>
      <c r="S39" s="14"/>
      <c r="T39" s="14"/>
    </row>
    <row r="40" spans="1:20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Mensuelles'!V20</f>
        <v>0</v>
      </c>
      <c r="K40" s="414"/>
      <c r="L40" s="415"/>
      <c r="M40" s="14"/>
      <c r="N40" s="14"/>
      <c r="O40" s="14"/>
      <c r="P40" s="14"/>
      <c r="Q40" s="14"/>
      <c r="R40" s="14"/>
      <c r="S40" s="14"/>
      <c r="T40" s="14"/>
    </row>
    <row r="41" spans="1:20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Mensuelles'!X20</f>
        <v>0</v>
      </c>
      <c r="K41" s="414"/>
      <c r="L41" s="415"/>
      <c r="M41" s="14"/>
      <c r="N41" s="14"/>
      <c r="O41" s="14"/>
      <c r="P41" s="14"/>
      <c r="Q41" s="14"/>
      <c r="R41" s="14"/>
      <c r="S41" s="14"/>
      <c r="T41" s="14"/>
    </row>
    <row r="42" spans="1:20">
      <c r="A42" s="411" t="s">
        <v>243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Mensuelles'!AU20</f>
        <v>0</v>
      </c>
      <c r="K42" s="414"/>
      <c r="L42" s="415"/>
      <c r="M42" s="14"/>
      <c r="N42" s="14"/>
      <c r="O42" s="14"/>
      <c r="P42" s="14"/>
      <c r="Q42" s="14"/>
      <c r="R42" s="14"/>
      <c r="S42" s="14"/>
      <c r="T42" s="14"/>
    </row>
    <row r="43" spans="1:20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Mensuelles'!W20</f>
        <v>0</v>
      </c>
      <c r="K43" s="414"/>
      <c r="L43" s="415"/>
      <c r="M43" s="14"/>
      <c r="N43" s="14"/>
      <c r="O43" s="14"/>
      <c r="P43" s="14"/>
      <c r="Q43" s="14"/>
      <c r="R43" s="14"/>
      <c r="S43" s="14"/>
      <c r="T43" s="14"/>
    </row>
    <row r="44" spans="1:20">
      <c r="A44" s="521"/>
      <c r="B44" s="522"/>
      <c r="C44" s="522"/>
      <c r="D44" s="522"/>
      <c r="E44" s="522"/>
      <c r="F44" s="523"/>
      <c r="G44" s="515"/>
      <c r="H44" s="516"/>
      <c r="I44" s="517"/>
      <c r="J44" s="512"/>
      <c r="K44" s="513"/>
      <c r="L44" s="514"/>
      <c r="M44" s="14"/>
      <c r="N44" s="14"/>
      <c r="O44" s="14"/>
      <c r="P44" s="14"/>
      <c r="Q44" s="14"/>
      <c r="R44" s="14"/>
      <c r="S44" s="14"/>
      <c r="T44" s="14"/>
    </row>
    <row r="45" spans="1:20">
      <c r="A45" s="363" t="s">
        <v>236</v>
      </c>
      <c r="B45" s="364"/>
      <c r="C45" s="364"/>
      <c r="D45" s="364"/>
      <c r="E45" s="364"/>
      <c r="F45" s="365"/>
      <c r="G45" s="366">
        <f>SUM(G27:I36)</f>
        <v>3520</v>
      </c>
      <c r="H45" s="367"/>
      <c r="I45" s="368"/>
      <c r="J45" s="366">
        <f>SUM(J42:L44)</f>
        <v>0</v>
      </c>
      <c r="K45" s="367"/>
      <c r="L45" s="368"/>
      <c r="M45" s="14"/>
      <c r="N45" s="14">
        <f>N50*23</f>
        <v>2596.7741935483873</v>
      </c>
      <c r="O45" s="14"/>
      <c r="P45" s="14"/>
      <c r="Q45" s="14"/>
      <c r="R45" s="14"/>
      <c r="S45" s="14"/>
      <c r="T45" s="14"/>
    </row>
    <row r="46" spans="1:20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  <c r="M46" s="14"/>
      <c r="N46" s="14"/>
      <c r="O46" s="14"/>
      <c r="P46" s="14"/>
      <c r="Q46" s="14"/>
      <c r="R46" s="14"/>
      <c r="S46" s="14"/>
      <c r="T46" s="14"/>
    </row>
    <row r="47" spans="1:20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  <c r="M47" s="14"/>
      <c r="N47" s="14">
        <f>N49+N45</f>
        <v>3500</v>
      </c>
      <c r="O47" s="14"/>
      <c r="P47" s="14"/>
      <c r="Q47" s="14"/>
      <c r="R47" s="14"/>
      <c r="S47" s="14"/>
      <c r="T47" s="14"/>
    </row>
    <row r="48" spans="1:20" ht="30.75">
      <c r="A48" s="375" t="s">
        <v>237</v>
      </c>
      <c r="B48" s="376"/>
      <c r="C48" s="376"/>
      <c r="D48" s="376"/>
      <c r="E48" s="376"/>
      <c r="F48" s="376"/>
      <c r="G48" s="377">
        <f>G45-J45</f>
        <v>3520</v>
      </c>
      <c r="H48" s="378"/>
      <c r="I48" s="378"/>
      <c r="J48" s="378"/>
      <c r="K48" s="378"/>
      <c r="L48" s="379"/>
      <c r="M48" s="14"/>
      <c r="N48" s="14"/>
      <c r="O48" s="14"/>
      <c r="P48" s="14"/>
      <c r="Q48" s="14"/>
      <c r="R48" s="14"/>
      <c r="S48" s="14"/>
      <c r="T48" s="14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>
        <f>N50*8</f>
        <v>903.22580645161293</v>
      </c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  <c r="M50" s="14"/>
      <c r="N50" s="14">
        <f>N51/31</f>
        <v>112.90322580645162</v>
      </c>
      <c r="O50" s="14"/>
      <c r="P50" s="14"/>
      <c r="Q50" s="14"/>
      <c r="R50" s="14"/>
      <c r="S50" s="14"/>
      <c r="T50" s="14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  <c r="M51" s="14"/>
      <c r="N51" s="14">
        <v>3500</v>
      </c>
      <c r="O51" s="14"/>
      <c r="P51" s="14"/>
      <c r="Q51" s="14"/>
      <c r="R51" s="14"/>
      <c r="S51" s="14"/>
      <c r="T51" s="14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  <c r="S52" s="14"/>
      <c r="T52" s="14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M53" s="14"/>
      <c r="N53" s="14"/>
      <c r="O53" s="14"/>
      <c r="P53" s="14"/>
      <c r="Q53" s="14"/>
      <c r="R53" s="14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  <c r="M54" s="14"/>
      <c r="N54" s="14"/>
      <c r="O54" s="14"/>
      <c r="P54" s="14"/>
      <c r="Q54" s="14"/>
      <c r="R54" s="14"/>
      <c r="S54" s="14"/>
      <c r="T54" s="14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  <c r="M55" s="14"/>
      <c r="N55" s="14"/>
      <c r="O55" s="14"/>
      <c r="P55" s="14"/>
      <c r="Q55" s="14"/>
      <c r="R55" s="14"/>
      <c r="S55" s="14"/>
      <c r="T55" s="14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  <c r="M56" s="14"/>
      <c r="N56" s="14"/>
      <c r="O56" s="14"/>
      <c r="P56" s="14"/>
      <c r="Q56" s="14"/>
      <c r="R56" s="14"/>
      <c r="S56" s="14"/>
      <c r="T56" s="14"/>
    </row>
  </sheetData>
  <mergeCells count="111">
    <mergeCell ref="A55:L56"/>
    <mergeCell ref="A49:L51"/>
    <mergeCell ref="A52:F52"/>
    <mergeCell ref="G52:L54"/>
    <mergeCell ref="A53:C53"/>
    <mergeCell ref="D53:F53"/>
    <mergeCell ref="A54:C54"/>
    <mergeCell ref="D54:F54"/>
    <mergeCell ref="A45:F45"/>
    <mergeCell ref="G45:I45"/>
    <mergeCell ref="J45:L45"/>
    <mergeCell ref="A46:L47"/>
    <mergeCell ref="A48:F48"/>
    <mergeCell ref="G48:L48"/>
    <mergeCell ref="A43:F43"/>
    <mergeCell ref="G43:I43"/>
    <mergeCell ref="J43:L43"/>
    <mergeCell ref="A44:F44"/>
    <mergeCell ref="G44:I44"/>
    <mergeCell ref="J44:L4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A35:F35"/>
    <mergeCell ref="G35:I35"/>
    <mergeCell ref="J35:L35"/>
    <mergeCell ref="A36:F36"/>
    <mergeCell ref="G36:I36"/>
    <mergeCell ref="J36:L36"/>
    <mergeCell ref="A33:F33"/>
    <mergeCell ref="G33:I33"/>
    <mergeCell ref="J33:L33"/>
    <mergeCell ref="A34:F34"/>
    <mergeCell ref="G34:I34"/>
    <mergeCell ref="J34:L34"/>
    <mergeCell ref="A31:F31"/>
    <mergeCell ref="G31:I31"/>
    <mergeCell ref="J31:L31"/>
    <mergeCell ref="A32:F32"/>
    <mergeCell ref="G32:I32"/>
    <mergeCell ref="J32:L32"/>
    <mergeCell ref="A29:F29"/>
    <mergeCell ref="G29:I29"/>
    <mergeCell ref="J29:L29"/>
    <mergeCell ref="A30:F30"/>
    <mergeCell ref="G30:I30"/>
    <mergeCell ref="J30:L30"/>
    <mergeCell ref="A27:F27"/>
    <mergeCell ref="G27:I27"/>
    <mergeCell ref="J27:L27"/>
    <mergeCell ref="A28:F28"/>
    <mergeCell ref="G28:I28"/>
    <mergeCell ref="J28:L28"/>
    <mergeCell ref="A21:L22"/>
    <mergeCell ref="A23:L23"/>
    <mergeCell ref="A24:F25"/>
    <mergeCell ref="G24:I25"/>
    <mergeCell ref="J24:L25"/>
    <mergeCell ref="A26:F26"/>
    <mergeCell ref="G26:I26"/>
    <mergeCell ref="J26:L26"/>
    <mergeCell ref="A18:C18"/>
    <mergeCell ref="I18:K18"/>
    <mergeCell ref="A19:C19"/>
    <mergeCell ref="E19:G19"/>
    <mergeCell ref="I19:K19"/>
    <mergeCell ref="A20:C20"/>
    <mergeCell ref="E20:G20"/>
    <mergeCell ref="I20:K20"/>
    <mergeCell ref="A13:L14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0DF8-CFD5-4D28-964B-D030A297E0BF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Mensuelles'!B21</f>
        <v>HUSSAIN JAINULLABUDEEN</v>
      </c>
      <c r="E8" s="479"/>
      <c r="F8" s="480"/>
      <c r="G8" s="471"/>
      <c r="H8" s="494" t="s">
        <v>201</v>
      </c>
      <c r="I8" s="495"/>
      <c r="J8" s="496">
        <f>'Infos Mensuelles'!F21</f>
        <v>10001066217554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Mensuelles'!D21</f>
        <v>43653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Mensuelles'!C21</f>
        <v>Jahir</v>
      </c>
      <c r="E11" s="479"/>
      <c r="F11" s="480"/>
      <c r="G11" s="471"/>
      <c r="H11" s="484" t="s">
        <v>204</v>
      </c>
      <c r="I11" s="485"/>
      <c r="J11" s="488" t="str">
        <f>'Infos Mensuelles'!G21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Mensuelles'!L21</f>
        <v>14</v>
      </c>
      <c r="E16" s="444" t="s">
        <v>207</v>
      </c>
      <c r="F16" s="445"/>
      <c r="G16" s="445"/>
      <c r="H16" s="36">
        <f>'Infos Mensuelles'!S21</f>
        <v>0</v>
      </c>
      <c r="I16" s="446" t="s">
        <v>208</v>
      </c>
      <c r="J16" s="447"/>
      <c r="K16" s="447"/>
      <c r="L16" s="28">
        <f>'Infos Mensuelles'!AE21</f>
        <v>4</v>
      </c>
    </row>
    <row r="17" spans="1:18">
      <c r="A17" s="421" t="s">
        <v>209</v>
      </c>
      <c r="B17" s="422"/>
      <c r="C17" s="422"/>
      <c r="D17" s="29">
        <f>'Infos Mensuelles'!N21</f>
        <v>0</v>
      </c>
      <c r="E17" s="421" t="s">
        <v>210</v>
      </c>
      <c r="F17" s="422"/>
      <c r="G17" s="422"/>
      <c r="H17" s="37">
        <f>'Infos Mensuelles'!T21</f>
        <v>0</v>
      </c>
      <c r="I17" s="448" t="s">
        <v>211</v>
      </c>
      <c r="J17" s="449"/>
      <c r="K17" s="449"/>
      <c r="L17" s="30">
        <f>'Infos Mensuelles'!AH21</f>
        <v>0</v>
      </c>
    </row>
    <row r="18" spans="1:18">
      <c r="A18" s="421" t="s">
        <v>212</v>
      </c>
      <c r="B18" s="422"/>
      <c r="C18" s="422"/>
      <c r="D18" s="29">
        <f>'Infos Mensuelles'!M21</f>
        <v>2</v>
      </c>
      <c r="E18" s="23" t="s">
        <v>213</v>
      </c>
      <c r="F18" s="24"/>
      <c r="G18" s="24"/>
      <c r="H18" s="37">
        <f>'Infos Mensuelles'!U21</f>
        <v>0</v>
      </c>
      <c r="I18" s="421" t="s">
        <v>214</v>
      </c>
      <c r="J18" s="422"/>
      <c r="K18" s="422"/>
      <c r="L18" s="30">
        <f>'Infos Mensuelles'!AL21</f>
        <v>1</v>
      </c>
    </row>
    <row r="19" spans="1:18">
      <c r="A19" s="421" t="s">
        <v>215</v>
      </c>
      <c r="B19" s="422"/>
      <c r="C19" s="422"/>
      <c r="D19" s="33">
        <f>'Infos Mensuelles'!P21</f>
        <v>0</v>
      </c>
      <c r="E19" s="421" t="s">
        <v>216</v>
      </c>
      <c r="F19" s="422"/>
      <c r="G19" s="422"/>
      <c r="H19" s="37">
        <f>'Infos Mensuelles'!R21</f>
        <v>15</v>
      </c>
      <c r="I19" s="421" t="s">
        <v>217</v>
      </c>
      <c r="J19" s="422"/>
      <c r="K19" s="422"/>
      <c r="L19" s="32">
        <f>'Infos Mensuelles'!O21</f>
        <v>0</v>
      </c>
    </row>
    <row r="20" spans="1:18">
      <c r="A20" s="419" t="s">
        <v>218</v>
      </c>
      <c r="B20" s="420"/>
      <c r="C20" s="420"/>
      <c r="D20" s="31">
        <f>'Infos Mensuelles'!Q21</f>
        <v>16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Mensuelles'!H21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Mensuelles'!I21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Mensuelles'!J21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Mensuelles'!AG21</f>
        <v>48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Mensuelles'!AJ21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Mensuelles'!AN21</f>
        <v>148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Mensuelles'!AQ21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Mensuelles'!AO21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Mensuelles'!AP21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Mensuelles'!AS21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Mensuelles'!AT21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Mensuelles'!Y21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Mensuelles'!V21</f>
        <v>2177.4193548387098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Mensuelles'!X21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Mensuelles'!AU21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Mensuelles'!W21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4696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4696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BFCB-9BEF-4C17-A6C2-39F942948350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Mensuelles'!B22</f>
        <v>CHERPANATH JOY</v>
      </c>
      <c r="E8" s="479"/>
      <c r="F8" s="480"/>
      <c r="G8" s="471"/>
      <c r="H8" s="494" t="s">
        <v>201</v>
      </c>
      <c r="I8" s="495"/>
      <c r="J8" s="496">
        <f>'Infos Mensuelles'!F22</f>
        <v>10029036003822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Mensuelles'!D22</f>
        <v>42956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Mensuelles'!C22</f>
        <v>Poulose</v>
      </c>
      <c r="E11" s="479"/>
      <c r="F11" s="480"/>
      <c r="G11" s="471"/>
      <c r="H11" s="484" t="s">
        <v>204</v>
      </c>
      <c r="I11" s="485"/>
      <c r="J11" s="488" t="str">
        <f>'Infos Mensuelles'!G22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Mensuelles'!L22</f>
        <v>28</v>
      </c>
      <c r="E16" s="444" t="s">
        <v>207</v>
      </c>
      <c r="F16" s="445"/>
      <c r="G16" s="445"/>
      <c r="H16" s="36">
        <f>'Infos Mensuelles'!S22</f>
        <v>0</v>
      </c>
      <c r="I16" s="446" t="s">
        <v>208</v>
      </c>
      <c r="J16" s="447"/>
      <c r="K16" s="447"/>
      <c r="L16" s="28">
        <f>'Infos Mensuelles'!AE22</f>
        <v>1</v>
      </c>
    </row>
    <row r="17" spans="1:18">
      <c r="A17" s="421" t="s">
        <v>209</v>
      </c>
      <c r="B17" s="422"/>
      <c r="C17" s="422"/>
      <c r="D17" s="29">
        <f>'Infos Mensuelles'!N22</f>
        <v>0</v>
      </c>
      <c r="E17" s="421" t="s">
        <v>210</v>
      </c>
      <c r="F17" s="422"/>
      <c r="G17" s="422"/>
      <c r="H17" s="37">
        <f>'Infos Mensuelles'!T22</f>
        <v>0</v>
      </c>
      <c r="I17" s="448" t="s">
        <v>211</v>
      </c>
      <c r="J17" s="449"/>
      <c r="K17" s="449"/>
      <c r="L17" s="30">
        <f>'Infos Mensuelles'!AH22</f>
        <v>0</v>
      </c>
    </row>
    <row r="18" spans="1:18">
      <c r="A18" s="421" t="s">
        <v>212</v>
      </c>
      <c r="B18" s="422"/>
      <c r="C18" s="422"/>
      <c r="D18" s="29">
        <f>'Infos Mensuelles'!M22</f>
        <v>3</v>
      </c>
      <c r="E18" s="23" t="s">
        <v>213</v>
      </c>
      <c r="F18" s="24"/>
      <c r="G18" s="24"/>
      <c r="H18" s="37">
        <f>'Infos Mensuelles'!U22</f>
        <v>0</v>
      </c>
      <c r="I18" s="421" t="s">
        <v>214</v>
      </c>
      <c r="J18" s="422"/>
      <c r="K18" s="422"/>
      <c r="L18" s="30">
        <f>'Infos Mensuelles'!AL22</f>
        <v>2</v>
      </c>
    </row>
    <row r="19" spans="1:18">
      <c r="A19" s="421" t="s">
        <v>215</v>
      </c>
      <c r="B19" s="422"/>
      <c r="C19" s="422"/>
      <c r="D19" s="33">
        <f>'Infos Mensuelles'!P22</f>
        <v>0</v>
      </c>
      <c r="E19" s="421" t="s">
        <v>216</v>
      </c>
      <c r="F19" s="422"/>
      <c r="G19" s="422"/>
      <c r="H19" s="37">
        <f>'Infos Mensuelles'!R22</f>
        <v>0</v>
      </c>
      <c r="I19" s="421" t="s">
        <v>217</v>
      </c>
      <c r="J19" s="422"/>
      <c r="K19" s="422"/>
      <c r="L19" s="32">
        <f>'Infos Mensuelles'!O22</f>
        <v>0</v>
      </c>
    </row>
    <row r="20" spans="1:18">
      <c r="A20" s="419" t="s">
        <v>218</v>
      </c>
      <c r="B20" s="420"/>
      <c r="C20" s="420"/>
      <c r="D20" s="31">
        <f>'Infos Mensuelles'!Q22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Mensuelles'!H22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Mensuelles'!I22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Mensuelles'!J22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Mensuelles'!AG22</f>
        <v>12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Mensuelles'!AJ22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Mensuelles'!AN22</f>
        <v>296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Mensuelles'!AQ22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Mensuelles'!AO22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Mensuelles'!AP22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Mensuelles'!AS22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Mensuelles'!AT22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Mensuelles'!Y22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Mensuelles'!V22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Mensuelles'!X22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Mensuelles'!AU22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Mensuelles'!W22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4808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4808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1:L22"/>
    <mergeCell ref="A23:L23"/>
    <mergeCell ref="A24:F25"/>
    <mergeCell ref="G24:I25"/>
    <mergeCell ref="J24:L25"/>
    <mergeCell ref="A26:F26"/>
    <mergeCell ref="G26:I26"/>
    <mergeCell ref="J26:L2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A30:F30"/>
    <mergeCell ref="G30:I30"/>
    <mergeCell ref="J30:L30"/>
    <mergeCell ref="J33:L33"/>
    <mergeCell ref="A33:F33"/>
    <mergeCell ref="G33:I33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36:F36"/>
    <mergeCell ref="G36:I36"/>
    <mergeCell ref="J36:L36"/>
    <mergeCell ref="A34:F34"/>
    <mergeCell ref="G34:I34"/>
    <mergeCell ref="J34:L34"/>
    <mergeCell ref="J35:L35"/>
    <mergeCell ref="A35:F35"/>
    <mergeCell ref="G35:I35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42:F42"/>
    <mergeCell ref="G42:I42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A49:L51"/>
    <mergeCell ref="A52:F52"/>
    <mergeCell ref="G52:L54"/>
    <mergeCell ref="A55:L56"/>
    <mergeCell ref="G48:L48"/>
    <mergeCell ref="A53:C53"/>
    <mergeCell ref="D53:F53"/>
    <mergeCell ref="A54:C54"/>
    <mergeCell ref="D54:F54"/>
  </mergeCells>
  <pageMargins left="0.7" right="0.7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D64F-AD33-4DF2-80A3-F564CC82303A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Mensuelles'!B23</f>
        <v>SIRAJ MUHAMMAD</v>
      </c>
      <c r="E8" s="479"/>
      <c r="F8" s="480"/>
      <c r="G8" s="471"/>
      <c r="H8" s="494" t="s">
        <v>201</v>
      </c>
      <c r="I8" s="495"/>
      <c r="J8" s="496">
        <f>'Infos Mensuelles'!F23</f>
        <v>20028129188803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Mensuelles'!D23</f>
        <v>44797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Mensuelles'!C23</f>
        <v>Kamran Khan</v>
      </c>
      <c r="E11" s="479"/>
      <c r="F11" s="480"/>
      <c r="G11" s="471"/>
      <c r="H11" s="484" t="s">
        <v>204</v>
      </c>
      <c r="I11" s="485"/>
      <c r="J11" s="488" t="str">
        <f>'Infos Mensuelles'!G23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Mensuelles'!L23</f>
        <v>28</v>
      </c>
      <c r="E16" s="444" t="s">
        <v>207</v>
      </c>
      <c r="F16" s="445"/>
      <c r="G16" s="445"/>
      <c r="H16" s="36">
        <f>'Infos Mensuelles'!S23</f>
        <v>0</v>
      </c>
      <c r="I16" s="446" t="s">
        <v>208</v>
      </c>
      <c r="J16" s="447"/>
      <c r="K16" s="447"/>
      <c r="L16" s="28">
        <f>'Infos Mensuelles'!AE23</f>
        <v>29</v>
      </c>
    </row>
    <row r="17" spans="1:18">
      <c r="A17" s="421" t="s">
        <v>209</v>
      </c>
      <c r="B17" s="422"/>
      <c r="C17" s="422"/>
      <c r="D17" s="29">
        <f>'Infos Mensuelles'!N23</f>
        <v>0</v>
      </c>
      <c r="E17" s="421" t="s">
        <v>210</v>
      </c>
      <c r="F17" s="422"/>
      <c r="G17" s="422"/>
      <c r="H17" s="37">
        <f>'Infos Mensuelles'!T23</f>
        <v>0</v>
      </c>
      <c r="I17" s="448" t="s">
        <v>211</v>
      </c>
      <c r="J17" s="449"/>
      <c r="K17" s="449"/>
      <c r="L17" s="30">
        <f>'Infos Mensuelles'!AH23</f>
        <v>0</v>
      </c>
    </row>
    <row r="18" spans="1:18">
      <c r="A18" s="421" t="s">
        <v>212</v>
      </c>
      <c r="B18" s="422"/>
      <c r="C18" s="422"/>
      <c r="D18" s="29">
        <f>'Infos Mensuelles'!M23</f>
        <v>3</v>
      </c>
      <c r="E18" s="23" t="s">
        <v>213</v>
      </c>
      <c r="F18" s="24"/>
      <c r="G18" s="24"/>
      <c r="H18" s="37">
        <f>'Infos Mensuelles'!U23</f>
        <v>0</v>
      </c>
      <c r="I18" s="421" t="s">
        <v>214</v>
      </c>
      <c r="J18" s="422"/>
      <c r="K18" s="422"/>
      <c r="L18" s="30">
        <f>'Infos Mensuelles'!AL23</f>
        <v>2</v>
      </c>
    </row>
    <row r="19" spans="1:18">
      <c r="A19" s="421" t="s">
        <v>215</v>
      </c>
      <c r="B19" s="422"/>
      <c r="C19" s="422"/>
      <c r="D19" s="33">
        <f>'Infos Mensuelles'!P23</f>
        <v>0</v>
      </c>
      <c r="E19" s="421" t="s">
        <v>216</v>
      </c>
      <c r="F19" s="422"/>
      <c r="G19" s="422"/>
      <c r="H19" s="37">
        <f>'Infos Mensuelles'!R23</f>
        <v>0</v>
      </c>
      <c r="I19" s="421" t="s">
        <v>217</v>
      </c>
      <c r="J19" s="422"/>
      <c r="K19" s="422"/>
      <c r="L19" s="32">
        <f>'Infos Mensuelles'!O23</f>
        <v>0</v>
      </c>
    </row>
    <row r="20" spans="1:18">
      <c r="A20" s="419" t="s">
        <v>218</v>
      </c>
      <c r="B20" s="420"/>
      <c r="C20" s="420"/>
      <c r="D20" s="31">
        <f>'Infos Mensuelles'!Q23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 customHeight="1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Mensuelles'!H23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Mensuelles'!I23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Mensuelles'!J23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Mensuelles'!AG23</f>
        <v>348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Mensuelles'!AJ23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Mensuelles'!AN23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Mensuelles'!AQ23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Mensuelles'!AO23</f>
        <v>160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Mensuelles'!AP23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Mensuelles'!AS23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Mensuelles'!AT23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Mensuelles'!Y23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Mensuelles'!V23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Mensuelles'!X23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Mensuelles'!AU23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Mensuelles'!W23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5090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5090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 ht="15" customHeight="1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9:F29"/>
    <mergeCell ref="G29:I29"/>
    <mergeCell ref="J29:L29"/>
    <mergeCell ref="A31:F31"/>
    <mergeCell ref="G31:I31"/>
    <mergeCell ref="J31:L31"/>
    <mergeCell ref="A32:F32"/>
    <mergeCell ref="G32:I32"/>
    <mergeCell ref="J32:L32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8:I28"/>
    <mergeCell ref="G36:I36"/>
    <mergeCell ref="J36:L36"/>
    <mergeCell ref="A34:F34"/>
    <mergeCell ref="G34:I34"/>
    <mergeCell ref="J34:L34"/>
    <mergeCell ref="J35:L35"/>
    <mergeCell ref="A35:F35"/>
    <mergeCell ref="G35:I35"/>
    <mergeCell ref="A55:L56"/>
    <mergeCell ref="A36:F36"/>
    <mergeCell ref="A54:C54"/>
    <mergeCell ref="D54:F54"/>
    <mergeCell ref="A40:F40"/>
    <mergeCell ref="G40:I40"/>
    <mergeCell ref="J40:L40"/>
    <mergeCell ref="A41:F41"/>
    <mergeCell ref="G41:I41"/>
    <mergeCell ref="J41:L41"/>
    <mergeCell ref="J37:L37"/>
    <mergeCell ref="J27:L27"/>
    <mergeCell ref="A27:F27"/>
    <mergeCell ref="G27:I27"/>
    <mergeCell ref="A38:F38"/>
    <mergeCell ref="G38:I38"/>
    <mergeCell ref="J38:L38"/>
    <mergeCell ref="A39:F39"/>
    <mergeCell ref="G39:I39"/>
    <mergeCell ref="J39:L39"/>
    <mergeCell ref="A37:F37"/>
    <mergeCell ref="G37:I37"/>
    <mergeCell ref="A30:F30"/>
    <mergeCell ref="G30:I30"/>
    <mergeCell ref="J30:L30"/>
    <mergeCell ref="J33:L33"/>
    <mergeCell ref="A33:F33"/>
    <mergeCell ref="G33:I33"/>
    <mergeCell ref="A17:C17"/>
    <mergeCell ref="I17:K17"/>
    <mergeCell ref="A18:C18"/>
    <mergeCell ref="I18:K18"/>
    <mergeCell ref="A19:C19"/>
    <mergeCell ref="E19:G19"/>
    <mergeCell ref="I19:K19"/>
    <mergeCell ref="A20:C20"/>
    <mergeCell ref="E20:G20"/>
    <mergeCell ref="I20:K20"/>
    <mergeCell ref="E17:G17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13:L14"/>
    <mergeCell ref="A15:L15"/>
    <mergeCell ref="A16:C16"/>
    <mergeCell ref="E16:G16"/>
    <mergeCell ref="I16:K16"/>
    <mergeCell ref="A42:F42"/>
    <mergeCell ref="G42:I42"/>
    <mergeCell ref="A53:C53"/>
    <mergeCell ref="D53:F53"/>
    <mergeCell ref="J42:L42"/>
    <mergeCell ref="A43:F43"/>
    <mergeCell ref="G43:I43"/>
    <mergeCell ref="J43:L43"/>
    <mergeCell ref="A44:F44"/>
    <mergeCell ref="G44:I44"/>
    <mergeCell ref="J44:L44"/>
    <mergeCell ref="A45:F45"/>
    <mergeCell ref="G45:I45"/>
    <mergeCell ref="J45:L45"/>
    <mergeCell ref="A46:L47"/>
    <mergeCell ref="A48:F48"/>
    <mergeCell ref="G48:L48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BB3-68A2-4DA1-9B30-F3CE1421410E}">
  <sheetPr>
    <pageSetUpPr fitToPage="1"/>
  </sheetPr>
  <dimension ref="A1:T56"/>
  <sheetViews>
    <sheetView topLeftCell="A1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Mensuelles'!B24</f>
        <v>RICHARD SEA</v>
      </c>
      <c r="E8" s="479"/>
      <c r="F8" s="480"/>
      <c r="G8" s="471"/>
      <c r="H8" s="494" t="s">
        <v>201</v>
      </c>
      <c r="I8" s="495"/>
      <c r="J8" s="496">
        <f>'Infos Mensuelles'!F24</f>
        <v>41023128217554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Mensuelles'!D24</f>
        <v>45287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Mensuelles'!C24</f>
        <v>Kene</v>
      </c>
      <c r="E11" s="479"/>
      <c r="F11" s="480"/>
      <c r="G11" s="471"/>
      <c r="H11" s="484" t="s">
        <v>204</v>
      </c>
      <c r="I11" s="485"/>
      <c r="J11" s="488" t="str">
        <f>'Infos Mensuelles'!G24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Mensuelles'!L24</f>
        <v>28</v>
      </c>
      <c r="E16" s="444" t="s">
        <v>207</v>
      </c>
      <c r="F16" s="445"/>
      <c r="G16" s="445"/>
      <c r="H16" s="36">
        <f>'Infos Mensuelles'!S24</f>
        <v>0</v>
      </c>
      <c r="I16" s="446" t="s">
        <v>208</v>
      </c>
      <c r="J16" s="447"/>
      <c r="K16" s="447"/>
      <c r="L16" s="28">
        <f>'Infos Mensuelles'!AE24</f>
        <v>18</v>
      </c>
    </row>
    <row r="17" spans="1:18">
      <c r="A17" s="421" t="s">
        <v>209</v>
      </c>
      <c r="B17" s="422"/>
      <c r="C17" s="422"/>
      <c r="D17" s="29">
        <f>'Infos Mensuelles'!N24</f>
        <v>0</v>
      </c>
      <c r="E17" s="421" t="s">
        <v>210</v>
      </c>
      <c r="F17" s="422"/>
      <c r="G17" s="422"/>
      <c r="H17" s="37">
        <f>'Infos Mensuelles'!T24</f>
        <v>0</v>
      </c>
      <c r="I17" s="448" t="s">
        <v>211</v>
      </c>
      <c r="J17" s="449"/>
      <c r="K17" s="449"/>
      <c r="L17" s="30">
        <f>'Infos Mensuelles'!AH24</f>
        <v>0</v>
      </c>
    </row>
    <row r="18" spans="1:18">
      <c r="A18" s="421" t="s">
        <v>212</v>
      </c>
      <c r="B18" s="422"/>
      <c r="C18" s="422"/>
      <c r="D18" s="29">
        <f>'Infos Mensuelles'!M24</f>
        <v>3</v>
      </c>
      <c r="E18" s="23" t="s">
        <v>213</v>
      </c>
      <c r="F18" s="24"/>
      <c r="G18" s="24"/>
      <c r="H18" s="37">
        <f>'Infos Mensuelles'!U24</f>
        <v>0</v>
      </c>
      <c r="I18" s="421" t="s">
        <v>214</v>
      </c>
      <c r="J18" s="422"/>
      <c r="K18" s="422"/>
      <c r="L18" s="30">
        <f>'Infos Mensuelles'!AL24</f>
        <v>2</v>
      </c>
    </row>
    <row r="19" spans="1:18">
      <c r="A19" s="421" t="s">
        <v>215</v>
      </c>
      <c r="B19" s="422"/>
      <c r="C19" s="422"/>
      <c r="D19" s="33">
        <f>'Infos Mensuelles'!P24</f>
        <v>0</v>
      </c>
      <c r="E19" s="421" t="s">
        <v>216</v>
      </c>
      <c r="F19" s="422"/>
      <c r="G19" s="422"/>
      <c r="H19" s="37">
        <f>'Infos Mensuelles'!R24</f>
        <v>0</v>
      </c>
      <c r="I19" s="421" t="s">
        <v>217</v>
      </c>
      <c r="J19" s="422"/>
      <c r="K19" s="422"/>
      <c r="L19" s="32">
        <f>'Infos Mensuelles'!O24</f>
        <v>0</v>
      </c>
    </row>
    <row r="20" spans="1:18">
      <c r="A20" s="419" t="s">
        <v>218</v>
      </c>
      <c r="B20" s="420"/>
      <c r="C20" s="420"/>
      <c r="D20" s="31">
        <f>'Infos Mensuelles'!Q24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Mensuelles'!H24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Mensuelles'!I24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Mensuelles'!J24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Mensuelles'!AG24</f>
        <v>216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Mensuelles'!AJ24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Mensuelles'!AN24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Mensuelles'!AQ24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Mensuelles'!AO24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Mensuelles'!AP24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Mensuelles'!AS24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Mensuelles'!AT24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Mensuelles'!Y24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Mensuelles'!V24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Mensuelles'!X24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Mensuelles'!AU24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Mensuelles'!W24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4692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4692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5:L56"/>
    <mergeCell ref="A48:F48"/>
    <mergeCell ref="G48:L48"/>
    <mergeCell ref="A53:C53"/>
    <mergeCell ref="D53:F53"/>
    <mergeCell ref="A49:L51"/>
    <mergeCell ref="A52:F52"/>
    <mergeCell ref="G52:L54"/>
    <mergeCell ref="I20:K20"/>
    <mergeCell ref="A54:C54"/>
    <mergeCell ref="D54:F54"/>
    <mergeCell ref="J36:L36"/>
    <mergeCell ref="J27:L27"/>
    <mergeCell ref="A27:F27"/>
    <mergeCell ref="G27:I27"/>
    <mergeCell ref="A28:F28"/>
    <mergeCell ref="G28:I28"/>
    <mergeCell ref="J28:L28"/>
    <mergeCell ref="A29:F29"/>
    <mergeCell ref="G29:I29"/>
    <mergeCell ref="J29:L29"/>
    <mergeCell ref="A21:L22"/>
    <mergeCell ref="A23:L23"/>
    <mergeCell ref="A24:F25"/>
    <mergeCell ref="H8:I8"/>
    <mergeCell ref="J8:L8"/>
    <mergeCell ref="H9:I9"/>
    <mergeCell ref="J9:L9"/>
    <mergeCell ref="A13:L14"/>
    <mergeCell ref="A15:L15"/>
    <mergeCell ref="E20:G20"/>
    <mergeCell ref="A16:C16"/>
    <mergeCell ref="E16:G16"/>
    <mergeCell ref="I16:K16"/>
    <mergeCell ref="A17:C17"/>
    <mergeCell ref="E17:G17"/>
    <mergeCell ref="I17:K17"/>
    <mergeCell ref="A18:C18"/>
    <mergeCell ref="I18:K18"/>
    <mergeCell ref="G33:I33"/>
    <mergeCell ref="A35:F35"/>
    <mergeCell ref="G35:I35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G24:I25"/>
    <mergeCell ref="J24:L25"/>
    <mergeCell ref="A26:F26"/>
    <mergeCell ref="G26:I26"/>
    <mergeCell ref="J26:L26"/>
    <mergeCell ref="A20:C20"/>
    <mergeCell ref="A8:C9"/>
    <mergeCell ref="D8:F9"/>
    <mergeCell ref="G8:G9"/>
    <mergeCell ref="A45:F45"/>
    <mergeCell ref="G45:I45"/>
    <mergeCell ref="J45:L45"/>
    <mergeCell ref="A19:C19"/>
    <mergeCell ref="E19:G19"/>
    <mergeCell ref="I19:K19"/>
    <mergeCell ref="J40:L40"/>
    <mergeCell ref="A37:F37"/>
    <mergeCell ref="G37:I37"/>
    <mergeCell ref="J37:L37"/>
    <mergeCell ref="A38:F38"/>
    <mergeCell ref="G38:I38"/>
    <mergeCell ref="J38:L38"/>
    <mergeCell ref="A30:F30"/>
    <mergeCell ref="G30:I30"/>
    <mergeCell ref="J30:L30"/>
    <mergeCell ref="A31:F31"/>
    <mergeCell ref="G31:I31"/>
    <mergeCell ref="J31:L31"/>
    <mergeCell ref="J32:L32"/>
    <mergeCell ref="A32:F32"/>
    <mergeCell ref="G32:I32"/>
    <mergeCell ref="J33:L33"/>
    <mergeCell ref="A33:F33"/>
    <mergeCell ref="A46:L47"/>
    <mergeCell ref="A34:F34"/>
    <mergeCell ref="G34:I34"/>
    <mergeCell ref="J34:L34"/>
    <mergeCell ref="A43:F43"/>
    <mergeCell ref="G43:I43"/>
    <mergeCell ref="J43:L43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35:L35"/>
    <mergeCell ref="A36:F36"/>
    <mergeCell ref="G36:I36"/>
    <mergeCell ref="A44:F44"/>
    <mergeCell ref="G44:I44"/>
    <mergeCell ref="J44:L44"/>
  </mergeCells>
  <pageMargins left="0.7" right="0.7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A045-B8D5-4C1E-B8DF-EAF451491D6F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Mensuelles'!B25</f>
        <v>KAAMIL SYED ALI</v>
      </c>
      <c r="E8" s="479"/>
      <c r="F8" s="480"/>
      <c r="G8" s="471"/>
      <c r="H8" s="494" t="s">
        <v>201</v>
      </c>
      <c r="I8" s="495"/>
      <c r="J8" s="496">
        <f>'Infos Mensuelles'!F25</f>
        <v>10022028260817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Mensuelles'!D25</f>
        <v>43079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Mensuelles'!C25</f>
        <v>Mohsin</v>
      </c>
      <c r="E11" s="479"/>
      <c r="F11" s="480"/>
      <c r="G11" s="471"/>
      <c r="H11" s="484" t="s">
        <v>204</v>
      </c>
      <c r="I11" s="485"/>
      <c r="J11" s="488" t="str">
        <f>'Infos Mensuelles'!G25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Mensuelles'!L25</f>
        <v>20</v>
      </c>
      <c r="E16" s="444" t="s">
        <v>207</v>
      </c>
      <c r="F16" s="445"/>
      <c r="G16" s="445"/>
      <c r="H16" s="36">
        <f>'Infos Mensuelles'!S25</f>
        <v>9</v>
      </c>
      <c r="I16" s="446" t="s">
        <v>208</v>
      </c>
      <c r="J16" s="447"/>
      <c r="K16" s="447"/>
      <c r="L16" s="28">
        <f>'Infos Mensuelles'!AE25</f>
        <v>9</v>
      </c>
    </row>
    <row r="17" spans="1:18">
      <c r="A17" s="421" t="s">
        <v>209</v>
      </c>
      <c r="B17" s="422"/>
      <c r="C17" s="422"/>
      <c r="D17" s="29">
        <f>'Infos Mensuelles'!N25</f>
        <v>0</v>
      </c>
      <c r="E17" s="421" t="s">
        <v>210</v>
      </c>
      <c r="F17" s="422"/>
      <c r="G17" s="422"/>
      <c r="H17" s="37">
        <f>'Infos Mensuelles'!T25</f>
        <v>0</v>
      </c>
      <c r="I17" s="448" t="s">
        <v>211</v>
      </c>
      <c r="J17" s="449"/>
      <c r="K17" s="449"/>
      <c r="L17" s="30">
        <f>'Infos Mensuelles'!AH25</f>
        <v>0</v>
      </c>
    </row>
    <row r="18" spans="1:18">
      <c r="A18" s="421" t="s">
        <v>212</v>
      </c>
      <c r="B18" s="422"/>
      <c r="C18" s="422"/>
      <c r="D18" s="29">
        <f>'Infos Mensuelles'!M25</f>
        <v>2</v>
      </c>
      <c r="E18" s="23" t="s">
        <v>213</v>
      </c>
      <c r="F18" s="24"/>
      <c r="G18" s="24"/>
      <c r="H18" s="37">
        <f>'Infos Mensuelles'!U25</f>
        <v>0</v>
      </c>
      <c r="I18" s="421" t="s">
        <v>214</v>
      </c>
      <c r="J18" s="422"/>
      <c r="K18" s="422"/>
      <c r="L18" s="30">
        <f>'Infos Mensuelles'!AL25</f>
        <v>2</v>
      </c>
    </row>
    <row r="19" spans="1:18">
      <c r="A19" s="421" t="s">
        <v>215</v>
      </c>
      <c r="B19" s="422"/>
      <c r="C19" s="422"/>
      <c r="D19" s="33">
        <f>'Infos Mensuelles'!P25</f>
        <v>0</v>
      </c>
      <c r="E19" s="421" t="s">
        <v>216</v>
      </c>
      <c r="F19" s="422"/>
      <c r="G19" s="422"/>
      <c r="H19" s="37">
        <f>'Infos Mensuelles'!R25</f>
        <v>0</v>
      </c>
      <c r="I19" s="421" t="s">
        <v>217</v>
      </c>
      <c r="J19" s="422"/>
      <c r="K19" s="422"/>
      <c r="L19" s="32">
        <f>'Infos Mensuelles'!O25</f>
        <v>0</v>
      </c>
    </row>
    <row r="20" spans="1:18">
      <c r="A20" s="419" t="s">
        <v>218</v>
      </c>
      <c r="B20" s="420"/>
      <c r="C20" s="420"/>
      <c r="D20" s="31">
        <f>'Infos Mensuelles'!Q25</f>
        <v>22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Mensuelles'!H25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Mensuelles'!I25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Mensuelles'!J25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Mensuelles'!AG25</f>
        <v>108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Mensuelles'!AJ25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Mensuelles'!AN25</f>
        <v>296</v>
      </c>
      <c r="H32" s="407"/>
      <c r="I32" s="407"/>
      <c r="J32" s="416"/>
      <c r="K32" s="417"/>
      <c r="L32" s="418"/>
    </row>
    <row r="33" spans="1:12">
      <c r="A33" s="411" t="s">
        <v>228</v>
      </c>
      <c r="B33" s="412"/>
      <c r="C33" s="412"/>
      <c r="D33" s="412"/>
      <c r="E33" s="412"/>
      <c r="F33" s="412"/>
      <c r="G33" s="406">
        <f>'Infos Mensuelles'!AQ25</f>
        <v>0</v>
      </c>
      <c r="H33" s="407"/>
      <c r="I33" s="407"/>
      <c r="J33" s="416"/>
      <c r="K33" s="417"/>
      <c r="L33" s="418"/>
    </row>
    <row r="34" spans="1:12" ht="15.75" customHeight="1">
      <c r="A34" s="411" t="s">
        <v>25</v>
      </c>
      <c r="B34" s="412"/>
      <c r="C34" s="412"/>
      <c r="D34" s="412"/>
      <c r="E34" s="412"/>
      <c r="F34" s="443"/>
      <c r="G34" s="406">
        <f>'Infos Mensuelles'!AO25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Mensuelles'!AP25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Mensuelles'!AS25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Mensuelles'!AT25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Mensuelles'!Y25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Mensuelles'!V25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Mensuelles'!X25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Mensuelles'!AU25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Mensuelles'!W25</f>
        <v>1306.4516129032259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4904</v>
      </c>
      <c r="H45" s="367"/>
      <c r="I45" s="368"/>
      <c r="J45" s="366">
        <f>SUM(J42:L43)</f>
        <v>1306.4516129032259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3597.5483870967741</v>
      </c>
      <c r="H48" s="378"/>
      <c r="I48" s="378"/>
      <c r="J48" s="378"/>
      <c r="K48" s="378"/>
      <c r="L48" s="379"/>
    </row>
    <row r="49" spans="1:20" ht="1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</row>
    <row r="50" spans="1:20" s="15" customFormat="1" ht="19.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  <c r="M50" s="14"/>
      <c r="N50" s="14"/>
      <c r="O50" s="14"/>
      <c r="P50" s="14"/>
      <c r="Q50" s="14"/>
      <c r="R50" s="14"/>
      <c r="S50" s="14"/>
      <c r="T50" s="14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26:F26"/>
    <mergeCell ref="G26:I26"/>
    <mergeCell ref="J26:L26"/>
    <mergeCell ref="A21:L22"/>
    <mergeCell ref="A30:F30"/>
    <mergeCell ref="G30:I30"/>
    <mergeCell ref="J30:L30"/>
    <mergeCell ref="J34:L34"/>
    <mergeCell ref="A34:F34"/>
    <mergeCell ref="G34:I34"/>
    <mergeCell ref="J27:L27"/>
    <mergeCell ref="A27:F27"/>
    <mergeCell ref="G27:I27"/>
    <mergeCell ref="J28:L28"/>
    <mergeCell ref="A28:F28"/>
    <mergeCell ref="G28:I28"/>
    <mergeCell ref="A29:F29"/>
    <mergeCell ref="G29:I29"/>
    <mergeCell ref="J29:L29"/>
    <mergeCell ref="A31:F31"/>
    <mergeCell ref="G31:I31"/>
    <mergeCell ref="J31:L31"/>
    <mergeCell ref="A13:L14"/>
    <mergeCell ref="A15:L15"/>
    <mergeCell ref="I19:K19"/>
    <mergeCell ref="A20:C20"/>
    <mergeCell ref="E20:G20"/>
    <mergeCell ref="I20:K20"/>
    <mergeCell ref="A23:L23"/>
    <mergeCell ref="A24:F25"/>
    <mergeCell ref="G24:I25"/>
    <mergeCell ref="J24:L2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J37:L37"/>
    <mergeCell ref="A38:F38"/>
    <mergeCell ref="G38:I38"/>
    <mergeCell ref="J38:L38"/>
    <mergeCell ref="A39:F39"/>
    <mergeCell ref="G39:I39"/>
    <mergeCell ref="J39:L39"/>
    <mergeCell ref="A32:F32"/>
    <mergeCell ref="G32:I32"/>
    <mergeCell ref="J32:L32"/>
    <mergeCell ref="A33:F33"/>
    <mergeCell ref="G33:I33"/>
    <mergeCell ref="J33:L33"/>
    <mergeCell ref="A36:F36"/>
    <mergeCell ref="G36:I36"/>
    <mergeCell ref="J36:L36"/>
    <mergeCell ref="A37:F37"/>
    <mergeCell ref="G37:I37"/>
    <mergeCell ref="J35:L35"/>
    <mergeCell ref="A35:F35"/>
    <mergeCell ref="G35:I35"/>
    <mergeCell ref="A42:F42"/>
    <mergeCell ref="G42:I42"/>
    <mergeCell ref="J42:L42"/>
    <mergeCell ref="A43:F43"/>
    <mergeCell ref="G43:I43"/>
    <mergeCell ref="J43:L43"/>
    <mergeCell ref="A40:F40"/>
    <mergeCell ref="G40:I40"/>
    <mergeCell ref="J40:L40"/>
    <mergeCell ref="A41:F41"/>
    <mergeCell ref="G41:I41"/>
    <mergeCell ref="J41:L41"/>
    <mergeCell ref="A49:L51"/>
    <mergeCell ref="A55:L56"/>
    <mergeCell ref="A53:C53"/>
    <mergeCell ref="D53:F53"/>
    <mergeCell ref="A54:C54"/>
    <mergeCell ref="D54:F54"/>
    <mergeCell ref="A52:F52"/>
    <mergeCell ref="G52:L54"/>
    <mergeCell ref="A44:F44"/>
    <mergeCell ref="G44:I44"/>
    <mergeCell ref="J44:L44"/>
    <mergeCell ref="A46:L47"/>
    <mergeCell ref="A48:F48"/>
    <mergeCell ref="G48:L48"/>
    <mergeCell ref="A45:F45"/>
    <mergeCell ref="G45:I45"/>
    <mergeCell ref="J45:L45"/>
  </mergeCells>
  <pageMargins left="0.7" right="0.7" top="0.75" bottom="0.75" header="0.3" footer="0.3"/>
  <pageSetup fitToWidth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B7A7-0BC5-4260-AE5E-9824216A5678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Mensuelles'!B26</f>
        <v>KUNHI MAVAL</v>
      </c>
      <c r="E8" s="479"/>
      <c r="F8" s="480"/>
      <c r="G8" s="471"/>
      <c r="H8" s="494" t="s">
        <v>201</v>
      </c>
      <c r="I8" s="495"/>
      <c r="J8" s="496">
        <f>'Infos Mensuelles'!F26</f>
        <v>10001067941432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Mensuelles'!D26</f>
        <v>44845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Mensuelles'!C26</f>
        <v xml:space="preserve">Moideen </v>
      </c>
      <c r="E11" s="479"/>
      <c r="F11" s="480"/>
      <c r="G11" s="471"/>
      <c r="H11" s="484" t="s">
        <v>204</v>
      </c>
      <c r="I11" s="485"/>
      <c r="J11" s="488" t="str">
        <f>'Infos Mensuelles'!G26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Mensuelles'!L26</f>
        <v>16</v>
      </c>
      <c r="E16" s="444" t="s">
        <v>207</v>
      </c>
      <c r="F16" s="445"/>
      <c r="G16" s="445"/>
      <c r="H16" s="36">
        <f>'Infos Mensuelles'!S26</f>
        <v>14</v>
      </c>
      <c r="I16" s="446" t="s">
        <v>208</v>
      </c>
      <c r="J16" s="447"/>
      <c r="K16" s="447"/>
      <c r="L16" s="28">
        <f>'Infos Mensuelles'!AE26</f>
        <v>19</v>
      </c>
    </row>
    <row r="17" spans="1:18">
      <c r="A17" s="421" t="s">
        <v>209</v>
      </c>
      <c r="B17" s="422"/>
      <c r="C17" s="422"/>
      <c r="D17" s="29">
        <f>'Infos Mensuelles'!N26</f>
        <v>0</v>
      </c>
      <c r="E17" s="421" t="s">
        <v>210</v>
      </c>
      <c r="F17" s="422"/>
      <c r="G17" s="422"/>
      <c r="H17" s="37">
        <f>'Infos Mensuelles'!T26</f>
        <v>0</v>
      </c>
      <c r="I17" s="448" t="s">
        <v>211</v>
      </c>
      <c r="J17" s="449"/>
      <c r="K17" s="449"/>
      <c r="L17" s="30">
        <f>'Infos Mensuelles'!AH26</f>
        <v>0</v>
      </c>
    </row>
    <row r="18" spans="1:18">
      <c r="A18" s="421" t="s">
        <v>212</v>
      </c>
      <c r="B18" s="422"/>
      <c r="C18" s="422"/>
      <c r="D18" s="29">
        <f>'Infos Mensuelles'!M26</f>
        <v>1</v>
      </c>
      <c r="E18" s="23" t="s">
        <v>213</v>
      </c>
      <c r="F18" s="24"/>
      <c r="G18" s="24"/>
      <c r="H18" s="37">
        <f>'Infos Mensuelles'!U26</f>
        <v>0</v>
      </c>
      <c r="I18" s="421" t="s">
        <v>214</v>
      </c>
      <c r="J18" s="422"/>
      <c r="K18" s="422"/>
      <c r="L18" s="30">
        <f>'Infos Mensuelles'!AL26</f>
        <v>2</v>
      </c>
    </row>
    <row r="19" spans="1:18">
      <c r="A19" s="421" t="s">
        <v>215</v>
      </c>
      <c r="B19" s="422"/>
      <c r="C19" s="422"/>
      <c r="D19" s="33">
        <f>'Infos Mensuelles'!P26</f>
        <v>0</v>
      </c>
      <c r="E19" s="421" t="s">
        <v>216</v>
      </c>
      <c r="F19" s="422"/>
      <c r="G19" s="422"/>
      <c r="H19" s="37">
        <f>'Infos Mensuelles'!R26</f>
        <v>0</v>
      </c>
      <c r="I19" s="421" t="s">
        <v>217</v>
      </c>
      <c r="J19" s="422"/>
      <c r="K19" s="422"/>
      <c r="L19" s="32">
        <f>'Infos Mensuelles'!O26</f>
        <v>0</v>
      </c>
    </row>
    <row r="20" spans="1:18">
      <c r="A20" s="419" t="s">
        <v>218</v>
      </c>
      <c r="B20" s="420"/>
      <c r="C20" s="420"/>
      <c r="D20" s="31">
        <f>'Infos Mensuelles'!Q26</f>
        <v>17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Mensuelles'!H26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Mensuelles'!I26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Mensuelles'!J26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Mensuelles'!AG26</f>
        <v>228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Mensuelles'!AJ26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Mensuelles'!AN26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Mensuelles'!AQ26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Mensuelles'!AO26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Mensuelles'!AP26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Mensuelles'!AS26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Mensuelles'!AT26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Mensuelles'!Y26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Mensuelles'!V26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Mensuelles'!X26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Mensuelles'!AU26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Mensuelles'!W26</f>
        <v>1941.9354838709678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4810</v>
      </c>
      <c r="H45" s="367"/>
      <c r="I45" s="368"/>
      <c r="J45" s="366">
        <f>SUM(J42:L43)</f>
        <v>1941.9354838709678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2868.0645161290322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5" customHeight="1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 ht="15" customHeight="1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G24:I25"/>
    <mergeCell ref="J36:L36"/>
    <mergeCell ref="G27:I27"/>
    <mergeCell ref="J28:L28"/>
    <mergeCell ref="A28:F28"/>
    <mergeCell ref="G28:I28"/>
    <mergeCell ref="A29:F29"/>
    <mergeCell ref="E19:G19"/>
    <mergeCell ref="I19:K19"/>
    <mergeCell ref="A20:C20"/>
    <mergeCell ref="E20:G20"/>
    <mergeCell ref="I20:K20"/>
    <mergeCell ref="A21:L22"/>
    <mergeCell ref="A23:L23"/>
    <mergeCell ref="A13:L14"/>
    <mergeCell ref="A15:L15"/>
    <mergeCell ref="A55:L56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30:F30"/>
    <mergeCell ref="G30:I30"/>
    <mergeCell ref="J30:L30"/>
    <mergeCell ref="J33:L33"/>
    <mergeCell ref="A33:F33"/>
    <mergeCell ref="G33:I33"/>
    <mergeCell ref="J27:L27"/>
    <mergeCell ref="A27:F27"/>
    <mergeCell ref="G29:I29"/>
    <mergeCell ref="J29:L29"/>
    <mergeCell ref="A24:F2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37:F37"/>
    <mergeCell ref="G37:I37"/>
    <mergeCell ref="J37:L37"/>
    <mergeCell ref="A38:F38"/>
    <mergeCell ref="G38:I38"/>
    <mergeCell ref="J38:L38"/>
    <mergeCell ref="A31:F31"/>
    <mergeCell ref="G31:I31"/>
    <mergeCell ref="J31:L31"/>
    <mergeCell ref="A32:F32"/>
    <mergeCell ref="G32:I32"/>
    <mergeCell ref="J32:L32"/>
    <mergeCell ref="A35:F35"/>
    <mergeCell ref="G35:I35"/>
    <mergeCell ref="J35:L35"/>
    <mergeCell ref="A36:F36"/>
    <mergeCell ref="G36:I36"/>
    <mergeCell ref="J34:L34"/>
    <mergeCell ref="A34:F34"/>
    <mergeCell ref="G34:I3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53:C53"/>
    <mergeCell ref="D53:F53"/>
    <mergeCell ref="A54:C54"/>
    <mergeCell ref="D54:F54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</mergeCells>
  <pageMargins left="0.7" right="0.7" top="0.75" bottom="0.75" header="0.3" footer="0.3"/>
  <pageSetup fitToWidth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E3AA-BBD5-4461-B758-1210A040D042}">
  <sheetPr>
    <pageSetUpPr fitToPage="1"/>
  </sheetPr>
  <dimension ref="A1:T56"/>
  <sheetViews>
    <sheetView topLeftCell="A2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Mensuelles'!B27</f>
        <v>SURYA GEETHA KUMAR THULASEEDHARAN</v>
      </c>
      <c r="E8" s="479"/>
      <c r="F8" s="480"/>
      <c r="G8" s="471"/>
      <c r="H8" s="494" t="s">
        <v>201</v>
      </c>
      <c r="I8" s="495"/>
      <c r="J8" s="496">
        <f>'Infos Mensuelles'!F27</f>
        <v>10030109962464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Mensuelles'!D27</f>
        <v>45276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Mensuelles'!C27</f>
        <v>Nandhan</v>
      </c>
      <c r="E11" s="479"/>
      <c r="F11" s="480"/>
      <c r="G11" s="471"/>
      <c r="H11" s="484" t="s">
        <v>204</v>
      </c>
      <c r="I11" s="485"/>
      <c r="J11" s="488" t="str">
        <f>'Infos Mensuelles'!G27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Mensuelles'!L27</f>
        <v>27</v>
      </c>
      <c r="E16" s="444" t="s">
        <v>207</v>
      </c>
      <c r="F16" s="445"/>
      <c r="G16" s="445"/>
      <c r="H16" s="36">
        <f>'Infos Mensuelles'!S27</f>
        <v>0</v>
      </c>
      <c r="I16" s="446" t="s">
        <v>208</v>
      </c>
      <c r="J16" s="447"/>
      <c r="K16" s="447"/>
      <c r="L16" s="28">
        <f>'Infos Mensuelles'!AE27</f>
        <v>20</v>
      </c>
    </row>
    <row r="17" spans="1:18">
      <c r="A17" s="421" t="s">
        <v>209</v>
      </c>
      <c r="B17" s="422"/>
      <c r="C17" s="422"/>
      <c r="D17" s="29">
        <f>'Infos Mensuelles'!N27</f>
        <v>0</v>
      </c>
      <c r="E17" s="421" t="s">
        <v>210</v>
      </c>
      <c r="F17" s="422"/>
      <c r="G17" s="422"/>
      <c r="H17" s="37">
        <f>'Infos Mensuelles'!T27</f>
        <v>0</v>
      </c>
      <c r="I17" s="448" t="s">
        <v>211</v>
      </c>
      <c r="J17" s="449"/>
      <c r="K17" s="449"/>
      <c r="L17" s="30">
        <f>'Infos Mensuelles'!AH27</f>
        <v>0</v>
      </c>
    </row>
    <row r="18" spans="1:18">
      <c r="A18" s="421" t="s">
        <v>212</v>
      </c>
      <c r="B18" s="422"/>
      <c r="C18" s="422"/>
      <c r="D18" s="29">
        <f>'Infos Mensuelles'!M27</f>
        <v>4</v>
      </c>
      <c r="E18" s="23" t="s">
        <v>213</v>
      </c>
      <c r="F18" s="24"/>
      <c r="G18" s="24"/>
      <c r="H18" s="37">
        <f>'Infos Mensuelles'!U27</f>
        <v>0</v>
      </c>
      <c r="I18" s="421" t="s">
        <v>214</v>
      </c>
      <c r="J18" s="422"/>
      <c r="K18" s="422"/>
      <c r="L18" s="30">
        <f>'Infos Mensuelles'!AL27</f>
        <v>1</v>
      </c>
    </row>
    <row r="19" spans="1:18">
      <c r="A19" s="421" t="s">
        <v>215</v>
      </c>
      <c r="B19" s="422"/>
      <c r="C19" s="422"/>
      <c r="D19" s="33">
        <f>'Infos Mensuelles'!P27</f>
        <v>0</v>
      </c>
      <c r="E19" s="421" t="s">
        <v>216</v>
      </c>
      <c r="F19" s="422"/>
      <c r="G19" s="422"/>
      <c r="H19" s="37">
        <f>'Infos Mensuelles'!R27</f>
        <v>0</v>
      </c>
      <c r="I19" s="421" t="s">
        <v>217</v>
      </c>
      <c r="J19" s="422"/>
      <c r="K19" s="422"/>
      <c r="L19" s="32">
        <f>'Infos Mensuelles'!O27</f>
        <v>0</v>
      </c>
    </row>
    <row r="20" spans="1:18">
      <c r="A20" s="419" t="s">
        <v>218</v>
      </c>
      <c r="B20" s="420"/>
      <c r="C20" s="420"/>
      <c r="D20" s="31">
        <f>'Infos Mensuelles'!Q27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Mensuelles'!H27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Mensuelles'!I27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Mensuelles'!J27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Mensuelles'!AG27</f>
        <v>240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Mensuelles'!AJ27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Mensuelles'!AN27</f>
        <v>138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Mensuelles'!AQ27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Mensuelles'!AO27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Mensuelles'!AP27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Mensuelles'!AS27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Mensuelles'!AT27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Mensuelles'!Y27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Mensuelles'!V27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Mensuelles'!X27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Mensuelles'!AU27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Mensuelles'!W27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4578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4578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4577-206B-4ED8-A335-63C1B18A9D24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Mensuelles'!B28</f>
        <v>MOHAMMED KOLLAROTHODIKA</v>
      </c>
      <c r="E8" s="479"/>
      <c r="F8" s="480"/>
      <c r="G8" s="471"/>
      <c r="H8" s="494" t="s">
        <v>201</v>
      </c>
      <c r="I8" s="495"/>
      <c r="J8" s="496">
        <f>'Infos Mensuelles'!F28</f>
        <v>10010018229793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Mensuelles'!D28</f>
        <v>42076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Mensuelles'!C28</f>
        <v>Naseem</v>
      </c>
      <c r="E11" s="479"/>
      <c r="F11" s="480"/>
      <c r="G11" s="471"/>
      <c r="H11" s="484" t="s">
        <v>204</v>
      </c>
      <c r="I11" s="485"/>
      <c r="J11" s="488" t="str">
        <f>'Infos Mensuelles'!G28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Mensuelles'!L28</f>
        <v>27</v>
      </c>
      <c r="E16" s="444" t="s">
        <v>207</v>
      </c>
      <c r="F16" s="445"/>
      <c r="G16" s="445"/>
      <c r="H16" s="36">
        <f>'Infos Mensuelles'!S28</f>
        <v>0</v>
      </c>
      <c r="I16" s="446" t="s">
        <v>208</v>
      </c>
      <c r="J16" s="447"/>
      <c r="K16" s="447"/>
      <c r="L16" s="28">
        <f>'Infos Mensuelles'!AE28</f>
        <v>18</v>
      </c>
    </row>
    <row r="17" spans="1:18">
      <c r="A17" s="421" t="s">
        <v>209</v>
      </c>
      <c r="B17" s="422"/>
      <c r="C17" s="422"/>
      <c r="D17" s="29">
        <f>'Infos Mensuelles'!N28</f>
        <v>0</v>
      </c>
      <c r="E17" s="421" t="s">
        <v>210</v>
      </c>
      <c r="F17" s="422"/>
      <c r="G17" s="422"/>
      <c r="H17" s="37">
        <f>'Infos Mensuelles'!T28</f>
        <v>0</v>
      </c>
      <c r="I17" s="448" t="s">
        <v>211</v>
      </c>
      <c r="J17" s="449"/>
      <c r="K17" s="449"/>
      <c r="L17" s="30">
        <f>'Infos Mensuelles'!AH28</f>
        <v>0</v>
      </c>
    </row>
    <row r="18" spans="1:18">
      <c r="A18" s="421" t="s">
        <v>212</v>
      </c>
      <c r="B18" s="422"/>
      <c r="C18" s="422"/>
      <c r="D18" s="29">
        <f>'Infos Mensuelles'!M28</f>
        <v>4</v>
      </c>
      <c r="E18" s="23" t="s">
        <v>213</v>
      </c>
      <c r="F18" s="24"/>
      <c r="G18" s="24"/>
      <c r="H18" s="37">
        <f>'Infos Mensuelles'!U28</f>
        <v>0</v>
      </c>
      <c r="I18" s="421" t="s">
        <v>214</v>
      </c>
      <c r="J18" s="422"/>
      <c r="K18" s="422"/>
      <c r="L18" s="30">
        <f>'Infos Mensuelles'!AL28</f>
        <v>1</v>
      </c>
    </row>
    <row r="19" spans="1:18">
      <c r="A19" s="421" t="s">
        <v>215</v>
      </c>
      <c r="B19" s="422"/>
      <c r="C19" s="422"/>
      <c r="D19" s="33">
        <f>'Infos Mensuelles'!P28</f>
        <v>0</v>
      </c>
      <c r="E19" s="421" t="s">
        <v>216</v>
      </c>
      <c r="F19" s="422"/>
      <c r="G19" s="422"/>
      <c r="H19" s="37">
        <f>'Infos Mensuelles'!R28</f>
        <v>0</v>
      </c>
      <c r="I19" s="421" t="s">
        <v>217</v>
      </c>
      <c r="J19" s="422"/>
      <c r="K19" s="422"/>
      <c r="L19" s="32">
        <f>'Infos Mensuelles'!O28</f>
        <v>0</v>
      </c>
    </row>
    <row r="20" spans="1:18">
      <c r="A20" s="419" t="s">
        <v>218</v>
      </c>
      <c r="B20" s="420"/>
      <c r="C20" s="420"/>
      <c r="D20" s="31">
        <f>'Infos Mensuelles'!Q28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Mensuelles'!H28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Mensuelles'!I28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Mensuelles'!J28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Mensuelles'!AG28</f>
        <v>216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Mensuelles'!AJ28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Mensuelles'!AN28</f>
        <v>148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Mensuelles'!AQ28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Mensuelles'!AO28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Mensuelles'!AP28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Mensuelles'!AS28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Mensuelles'!AT28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Mensuelles'!Y28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Mensuelles'!V28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Mensuelles'!X28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Mensuelles'!AU28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Mensuelles'!W28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4864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4864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6A08-437C-40E5-8E21-2F289F6957B6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Mensuelles'!B29</f>
        <v>ALLAH DITTA</v>
      </c>
      <c r="E8" s="479"/>
      <c r="F8" s="480"/>
      <c r="G8" s="471"/>
      <c r="H8" s="494" t="s">
        <v>201</v>
      </c>
      <c r="I8" s="495"/>
      <c r="J8" s="496" t="str">
        <f>'Infos Mensuelles'!F29</f>
        <v>20001016925583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Mensuelles'!D29</f>
        <v>45232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Mensuelles'!C29</f>
        <v xml:space="preserve">Nawaz Muhammad </v>
      </c>
      <c r="E11" s="479"/>
      <c r="F11" s="480"/>
      <c r="G11" s="471"/>
      <c r="H11" s="484" t="s">
        <v>204</v>
      </c>
      <c r="I11" s="485"/>
      <c r="J11" s="488" t="str">
        <f>'Infos Mensuelles'!G29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Mensuelles'!L29</f>
        <v>28</v>
      </c>
      <c r="E16" s="444" t="s">
        <v>207</v>
      </c>
      <c r="F16" s="445"/>
      <c r="G16" s="445"/>
      <c r="H16" s="36">
        <f>'Infos Mensuelles'!S29</f>
        <v>0</v>
      </c>
      <c r="I16" s="446" t="s">
        <v>208</v>
      </c>
      <c r="J16" s="447"/>
      <c r="K16" s="447"/>
      <c r="L16" s="28">
        <f>'Infos Mensuelles'!AE29</f>
        <v>9</v>
      </c>
    </row>
    <row r="17" spans="1:18">
      <c r="A17" s="421" t="s">
        <v>209</v>
      </c>
      <c r="B17" s="422"/>
      <c r="C17" s="422"/>
      <c r="D17" s="29">
        <f>'Infos Mensuelles'!N29</f>
        <v>0</v>
      </c>
      <c r="E17" s="421" t="s">
        <v>210</v>
      </c>
      <c r="F17" s="422"/>
      <c r="G17" s="422"/>
      <c r="H17" s="37">
        <f>'Infos Mensuelles'!T29</f>
        <v>0</v>
      </c>
      <c r="I17" s="448" t="s">
        <v>211</v>
      </c>
      <c r="J17" s="449"/>
      <c r="K17" s="449"/>
      <c r="L17" s="30">
        <f>'Infos Mensuelles'!AH29</f>
        <v>0</v>
      </c>
    </row>
    <row r="18" spans="1:18">
      <c r="A18" s="421" t="s">
        <v>212</v>
      </c>
      <c r="B18" s="422"/>
      <c r="C18" s="422"/>
      <c r="D18" s="29">
        <f>'Infos Mensuelles'!M29</f>
        <v>3</v>
      </c>
      <c r="E18" s="23" t="s">
        <v>213</v>
      </c>
      <c r="F18" s="24"/>
      <c r="G18" s="24"/>
      <c r="H18" s="37">
        <f>'Infos Mensuelles'!U29</f>
        <v>0</v>
      </c>
      <c r="I18" s="421" t="s">
        <v>214</v>
      </c>
      <c r="J18" s="422"/>
      <c r="K18" s="422"/>
      <c r="L18" s="30">
        <f>'Infos Mensuelles'!AL29</f>
        <v>2</v>
      </c>
    </row>
    <row r="19" spans="1:18">
      <c r="A19" s="421" t="s">
        <v>215</v>
      </c>
      <c r="B19" s="422"/>
      <c r="C19" s="422"/>
      <c r="D19" s="33">
        <f>'Infos Mensuelles'!P29</f>
        <v>0</v>
      </c>
      <c r="E19" s="421" t="s">
        <v>216</v>
      </c>
      <c r="F19" s="422"/>
      <c r="G19" s="422"/>
      <c r="H19" s="37">
        <f>'Infos Mensuelles'!R29</f>
        <v>0</v>
      </c>
      <c r="I19" s="421" t="s">
        <v>217</v>
      </c>
      <c r="J19" s="422"/>
      <c r="K19" s="422"/>
      <c r="L19" s="32">
        <f>'Infos Mensuelles'!O29</f>
        <v>0</v>
      </c>
    </row>
    <row r="20" spans="1:18">
      <c r="A20" s="419" t="s">
        <v>218</v>
      </c>
      <c r="B20" s="420"/>
      <c r="C20" s="420"/>
      <c r="D20" s="31">
        <f>'Infos Mensuelles'!Q29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Mensuelles'!H29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Mensuelles'!I29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Mensuelles'!J29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Mensuelles'!AG29</f>
        <v>108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Mensuelles'!AJ29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Mensuelles'!AN29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Mensuelles'!AQ29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Mensuelles'!AO29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Mensuelles'!AP29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Mensuelles'!AS29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Mensuelles'!AT29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Mensuelles'!Y29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Mensuelles'!V29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Mensuelles'!X29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Mensuelles'!AU29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Mensuelles'!W29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4584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4584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18:C18"/>
    <mergeCell ref="I18:K18"/>
    <mergeCell ref="A55:L56"/>
    <mergeCell ref="G24:I25"/>
    <mergeCell ref="J24:L25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53:C53"/>
    <mergeCell ref="D53:F53"/>
    <mergeCell ref="A43:F43"/>
    <mergeCell ref="G43:I43"/>
    <mergeCell ref="J43:L43"/>
    <mergeCell ref="A46:L47"/>
    <mergeCell ref="A48:F48"/>
    <mergeCell ref="G48:L48"/>
    <mergeCell ref="A54:C54"/>
    <mergeCell ref="D54:F54"/>
    <mergeCell ref="A49:L51"/>
    <mergeCell ref="A52:F52"/>
    <mergeCell ref="G52:L54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8:F38"/>
    <mergeCell ref="G38:I38"/>
    <mergeCell ref="J38:L38"/>
    <mergeCell ref="J27:L27"/>
    <mergeCell ref="A27:F27"/>
    <mergeCell ref="G27:I27"/>
    <mergeCell ref="A31:F31"/>
    <mergeCell ref="G31:I31"/>
    <mergeCell ref="J31:L31"/>
    <mergeCell ref="A32:F32"/>
    <mergeCell ref="G32:I32"/>
    <mergeCell ref="J32:L32"/>
    <mergeCell ref="A37:F37"/>
    <mergeCell ref="G37:I37"/>
    <mergeCell ref="J37:L37"/>
    <mergeCell ref="J36:L36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35:F35"/>
    <mergeCell ref="G35:I35"/>
    <mergeCell ref="J35:L35"/>
    <mergeCell ref="A36:F36"/>
    <mergeCell ref="G36:I36"/>
    <mergeCell ref="J33:L33"/>
    <mergeCell ref="A33:F33"/>
    <mergeCell ref="G33:I33"/>
    <mergeCell ref="J34:L34"/>
    <mergeCell ref="A34:F34"/>
    <mergeCell ref="G34:I34"/>
    <mergeCell ref="A21:L22"/>
    <mergeCell ref="A23:L23"/>
    <mergeCell ref="A24:F25"/>
    <mergeCell ref="A8:C9"/>
    <mergeCell ref="D8:F9"/>
    <mergeCell ref="G8:G9"/>
    <mergeCell ref="H8:I8"/>
    <mergeCell ref="J8:L8"/>
    <mergeCell ref="H9:I9"/>
    <mergeCell ref="J9:L9"/>
    <mergeCell ref="A13:L14"/>
    <mergeCell ref="A19:C19"/>
    <mergeCell ref="E19:G19"/>
    <mergeCell ref="I19:K19"/>
    <mergeCell ref="A20:C20"/>
    <mergeCell ref="E20:G20"/>
    <mergeCell ref="I20:K20"/>
    <mergeCell ref="A15:L15"/>
    <mergeCell ref="A16:C16"/>
    <mergeCell ref="E16:G16"/>
    <mergeCell ref="I16:K16"/>
    <mergeCell ref="A17:C17"/>
    <mergeCell ref="E17:G17"/>
    <mergeCell ref="I17:K17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</mergeCells>
  <pageMargins left="0.7" right="0.7" top="0.75" bottom="0.7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6A26-7C10-411B-B825-9D1A39CDE396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Mensuelles'!B30</f>
        <v>MAHEEN KIDIR MOHAMMED MAHEEN</v>
      </c>
      <c r="E8" s="479"/>
      <c r="F8" s="480"/>
      <c r="G8" s="471"/>
      <c r="H8" s="494" t="s">
        <v>201</v>
      </c>
      <c r="I8" s="495"/>
      <c r="J8" s="496">
        <f>'Infos Mensuelles'!F30</f>
        <v>10013029316206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Mensuelles'!D30</f>
        <v>43661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Mensuelles'!C30</f>
        <v xml:space="preserve">Nizam </v>
      </c>
      <c r="E11" s="479"/>
      <c r="F11" s="480"/>
      <c r="G11" s="471"/>
      <c r="H11" s="484" t="s">
        <v>204</v>
      </c>
      <c r="I11" s="485"/>
      <c r="J11" s="488" t="str">
        <f>'Infos Mensuelles'!G30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Mensuelles'!L30</f>
        <v>28</v>
      </c>
      <c r="E16" s="444" t="s">
        <v>207</v>
      </c>
      <c r="F16" s="445"/>
      <c r="G16" s="445"/>
      <c r="H16" s="36">
        <f>'Infos Mensuelles'!S30</f>
        <v>0</v>
      </c>
      <c r="I16" s="446" t="s">
        <v>208</v>
      </c>
      <c r="J16" s="447"/>
      <c r="K16" s="447"/>
      <c r="L16" s="28">
        <f>'Infos Mensuelles'!AE30</f>
        <v>12</v>
      </c>
    </row>
    <row r="17" spans="1:18">
      <c r="A17" s="421" t="s">
        <v>209</v>
      </c>
      <c r="B17" s="422"/>
      <c r="C17" s="422"/>
      <c r="D17" s="29">
        <f>'Infos Mensuelles'!N30</f>
        <v>0</v>
      </c>
      <c r="E17" s="421" t="s">
        <v>210</v>
      </c>
      <c r="F17" s="422"/>
      <c r="G17" s="422"/>
      <c r="H17" s="37">
        <f>'Infos Mensuelles'!T30</f>
        <v>0</v>
      </c>
      <c r="I17" s="448" t="s">
        <v>211</v>
      </c>
      <c r="J17" s="449"/>
      <c r="K17" s="449"/>
      <c r="L17" s="30">
        <f>'Infos Mensuelles'!AH30</f>
        <v>0</v>
      </c>
    </row>
    <row r="18" spans="1:18">
      <c r="A18" s="421" t="s">
        <v>212</v>
      </c>
      <c r="B18" s="422"/>
      <c r="C18" s="422"/>
      <c r="D18" s="29">
        <f>'Infos Mensuelles'!M30</f>
        <v>3</v>
      </c>
      <c r="E18" s="23" t="s">
        <v>213</v>
      </c>
      <c r="F18" s="24"/>
      <c r="G18" s="24"/>
      <c r="H18" s="37">
        <f>'Infos Mensuelles'!U30</f>
        <v>0</v>
      </c>
      <c r="I18" s="421" t="s">
        <v>214</v>
      </c>
      <c r="J18" s="422"/>
      <c r="K18" s="422"/>
      <c r="L18" s="30">
        <f>'Infos Mensuelles'!AL30</f>
        <v>2</v>
      </c>
    </row>
    <row r="19" spans="1:18">
      <c r="A19" s="421" t="s">
        <v>215</v>
      </c>
      <c r="B19" s="422"/>
      <c r="C19" s="422"/>
      <c r="D19" s="33">
        <f>'Infos Mensuelles'!P30</f>
        <v>0</v>
      </c>
      <c r="E19" s="421" t="s">
        <v>216</v>
      </c>
      <c r="F19" s="422"/>
      <c r="G19" s="422"/>
      <c r="H19" s="37">
        <f>'Infos Mensuelles'!R30</f>
        <v>0</v>
      </c>
      <c r="I19" s="421" t="s">
        <v>217</v>
      </c>
      <c r="J19" s="422"/>
      <c r="K19" s="422"/>
      <c r="L19" s="32">
        <f>'Infos Mensuelles'!O30</f>
        <v>0</v>
      </c>
    </row>
    <row r="20" spans="1:18">
      <c r="A20" s="419" t="s">
        <v>218</v>
      </c>
      <c r="B20" s="420"/>
      <c r="C20" s="420"/>
      <c r="D20" s="31">
        <f>'Infos Mensuelles'!Q30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Mensuelles'!H30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Mensuelles'!I30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Mensuelles'!J30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Mensuelles'!AG30</f>
        <v>144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Mensuelles'!AJ30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Mensuelles'!AN30</f>
        <v>296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Mensuelles'!AQ30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Mensuelles'!AO30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Mensuelles'!AP30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Mensuelles'!AS30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Mensuelles'!AT30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Mensuelles'!Y30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Mensuelles'!V30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Mensuelles'!X30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Mensuelles'!AU30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Mensuelles'!W30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4940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4940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2:F52"/>
    <mergeCell ref="G52:L54"/>
    <mergeCell ref="A55:L56"/>
    <mergeCell ref="G26:I26"/>
    <mergeCell ref="J26:L26"/>
    <mergeCell ref="A44:F44"/>
    <mergeCell ref="G44:I44"/>
    <mergeCell ref="J44:L44"/>
    <mergeCell ref="A45:F45"/>
    <mergeCell ref="G45:I45"/>
    <mergeCell ref="J45:L45"/>
    <mergeCell ref="A46:L47"/>
    <mergeCell ref="A53:C53"/>
    <mergeCell ref="D53:F53"/>
    <mergeCell ref="A54:C54"/>
    <mergeCell ref="D54:F54"/>
    <mergeCell ref="A43:F43"/>
    <mergeCell ref="G43:I43"/>
    <mergeCell ref="J43:L43"/>
    <mergeCell ref="A48:F48"/>
    <mergeCell ref="G48:L48"/>
    <mergeCell ref="A41:F41"/>
    <mergeCell ref="G41:I41"/>
    <mergeCell ref="J41:L41"/>
    <mergeCell ref="A42:F42"/>
    <mergeCell ref="G42:I42"/>
    <mergeCell ref="J42:L42"/>
    <mergeCell ref="A49:L51"/>
    <mergeCell ref="A39:F39"/>
    <mergeCell ref="G39:I39"/>
    <mergeCell ref="J39:L39"/>
    <mergeCell ref="A40:F40"/>
    <mergeCell ref="G40:I40"/>
    <mergeCell ref="J40:L40"/>
    <mergeCell ref="J36:L36"/>
    <mergeCell ref="A37:F37"/>
    <mergeCell ref="G37:I37"/>
    <mergeCell ref="J37:L37"/>
    <mergeCell ref="A38:F38"/>
    <mergeCell ref="G38:I38"/>
    <mergeCell ref="J38:L38"/>
    <mergeCell ref="A31:F31"/>
    <mergeCell ref="G31:I31"/>
    <mergeCell ref="J31:L31"/>
    <mergeCell ref="A32:F32"/>
    <mergeCell ref="G32:I32"/>
    <mergeCell ref="J32:L32"/>
    <mergeCell ref="A36:F36"/>
    <mergeCell ref="G36:I36"/>
    <mergeCell ref="J34:L34"/>
    <mergeCell ref="A34:F34"/>
    <mergeCell ref="G34:I34"/>
    <mergeCell ref="A35:F35"/>
    <mergeCell ref="G35:I35"/>
    <mergeCell ref="J35:L35"/>
    <mergeCell ref="J33:L33"/>
    <mergeCell ref="A33:F33"/>
    <mergeCell ref="G33:I33"/>
    <mergeCell ref="A1:L1"/>
    <mergeCell ref="A2:L2"/>
    <mergeCell ref="A3:L3"/>
    <mergeCell ref="A4:L4"/>
    <mergeCell ref="A6:L7"/>
    <mergeCell ref="J28:L28"/>
    <mergeCell ref="J29:L29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1:C12"/>
    <mergeCell ref="I17:K17"/>
    <mergeCell ref="A18:C18"/>
    <mergeCell ref="I18:K18"/>
    <mergeCell ref="A19:C19"/>
    <mergeCell ref="E19:G19"/>
    <mergeCell ref="I19:K19"/>
    <mergeCell ref="A20:C20"/>
    <mergeCell ref="A30:F30"/>
    <mergeCell ref="G30:I30"/>
    <mergeCell ref="J30:L30"/>
    <mergeCell ref="J27:L27"/>
    <mergeCell ref="A27:F27"/>
    <mergeCell ref="A13:L14"/>
    <mergeCell ref="G27:I27"/>
    <mergeCell ref="A28:F28"/>
    <mergeCell ref="G28:I28"/>
    <mergeCell ref="A29:F29"/>
    <mergeCell ref="G29:I29"/>
    <mergeCell ref="E20:G20"/>
    <mergeCell ref="I20:K20"/>
    <mergeCell ref="A21:L22"/>
    <mergeCell ref="A23:L23"/>
    <mergeCell ref="A24:F25"/>
    <mergeCell ref="G24:I25"/>
    <mergeCell ref="J24:L25"/>
    <mergeCell ref="A26:F26"/>
    <mergeCell ref="D11:F12"/>
    <mergeCell ref="G11:G12"/>
    <mergeCell ref="H11:I12"/>
    <mergeCell ref="J11:L12"/>
    <mergeCell ref="A15:L15"/>
    <mergeCell ref="A16:C16"/>
    <mergeCell ref="E16:G16"/>
    <mergeCell ref="I16:K16"/>
    <mergeCell ref="A17:C17"/>
    <mergeCell ref="E17:G17"/>
  </mergeCells>
  <pageMargins left="0.7" right="0.7" top="0.75" bottom="0.7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765A-0F81-43F1-B003-9F3CE1EE7AB7}">
  <sheetPr>
    <pageSetUpPr fitToPage="1"/>
  </sheetPr>
  <dimension ref="A1:T56"/>
  <sheetViews>
    <sheetView topLeftCell="A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Mensuelles'!B31</f>
        <v>VEETIL KRISHNAN KUNNAMMAL</v>
      </c>
      <c r="E8" s="479"/>
      <c r="F8" s="480"/>
      <c r="G8" s="471"/>
      <c r="H8" s="494" t="s">
        <v>201</v>
      </c>
      <c r="I8" s="495"/>
      <c r="J8" s="496">
        <f>'Infos Mensuelles'!F31</f>
        <v>10020038912465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Mensuelles'!D31</f>
        <v>43650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Mensuelles'!C31</f>
        <v>Pranav</v>
      </c>
      <c r="E11" s="479"/>
      <c r="F11" s="480"/>
      <c r="G11" s="471"/>
      <c r="H11" s="484" t="s">
        <v>204</v>
      </c>
      <c r="I11" s="485"/>
      <c r="J11" s="488" t="str">
        <f>'Infos Mensuelles'!G31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Mensuelles'!L31</f>
        <v>28</v>
      </c>
      <c r="E16" s="444" t="s">
        <v>207</v>
      </c>
      <c r="F16" s="445"/>
      <c r="G16" s="445"/>
      <c r="H16" s="36">
        <f>'Infos Mensuelles'!S31</f>
        <v>0</v>
      </c>
      <c r="I16" s="446" t="s">
        <v>208</v>
      </c>
      <c r="J16" s="447"/>
      <c r="K16" s="447"/>
      <c r="L16" s="28">
        <f>'Infos Mensuelles'!AE31</f>
        <v>9</v>
      </c>
    </row>
    <row r="17" spans="1:18">
      <c r="A17" s="421" t="s">
        <v>209</v>
      </c>
      <c r="B17" s="422"/>
      <c r="C17" s="422"/>
      <c r="D17" s="29">
        <f>'Infos Mensuelles'!N31</f>
        <v>0</v>
      </c>
      <c r="E17" s="421" t="s">
        <v>210</v>
      </c>
      <c r="F17" s="422"/>
      <c r="G17" s="422"/>
      <c r="H17" s="37">
        <f>'Infos Mensuelles'!T31</f>
        <v>0</v>
      </c>
      <c r="I17" s="448" t="s">
        <v>211</v>
      </c>
      <c r="J17" s="449"/>
      <c r="K17" s="449"/>
      <c r="L17" s="30">
        <f>'Infos Mensuelles'!AH31</f>
        <v>0</v>
      </c>
    </row>
    <row r="18" spans="1:18">
      <c r="A18" s="421" t="s">
        <v>212</v>
      </c>
      <c r="B18" s="422"/>
      <c r="C18" s="422"/>
      <c r="D18" s="29">
        <f>'Infos Mensuelles'!M31</f>
        <v>3</v>
      </c>
      <c r="E18" s="23" t="s">
        <v>213</v>
      </c>
      <c r="F18" s="24"/>
      <c r="G18" s="24"/>
      <c r="H18" s="37">
        <f>'Infos Mensuelles'!U31</f>
        <v>0</v>
      </c>
      <c r="I18" s="421" t="s">
        <v>214</v>
      </c>
      <c r="J18" s="422"/>
      <c r="K18" s="422"/>
      <c r="L18" s="30">
        <f>'Infos Mensuelles'!AL31</f>
        <v>2</v>
      </c>
    </row>
    <row r="19" spans="1:18">
      <c r="A19" s="421" t="s">
        <v>215</v>
      </c>
      <c r="B19" s="422"/>
      <c r="C19" s="422"/>
      <c r="D19" s="33">
        <f>'Infos Mensuelles'!P31</f>
        <v>0</v>
      </c>
      <c r="E19" s="421" t="s">
        <v>216</v>
      </c>
      <c r="F19" s="422"/>
      <c r="G19" s="422"/>
      <c r="H19" s="37">
        <f>'Infos Mensuelles'!R31</f>
        <v>0</v>
      </c>
      <c r="I19" s="421" t="s">
        <v>217</v>
      </c>
      <c r="J19" s="422"/>
      <c r="K19" s="422"/>
      <c r="L19" s="32">
        <f>'Infos Mensuelles'!O31</f>
        <v>0</v>
      </c>
    </row>
    <row r="20" spans="1:18">
      <c r="A20" s="419" t="s">
        <v>218</v>
      </c>
      <c r="B20" s="420"/>
      <c r="C20" s="420"/>
      <c r="D20" s="31">
        <f>'Infos Mensuelles'!Q31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Mensuelles'!H31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Mensuelles'!I31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Mensuelles'!J31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Mensuelles'!AG31</f>
        <v>108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Mensuelles'!AJ31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Mensuelles'!AN31</f>
        <v>296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Mensuelles'!AQ31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Mensuelles'!AO31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Mensuelles'!AP31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Mensuelles'!AS31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Mensuelles'!AT31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Mensuelles'!Y31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Mensuelles'!V31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Mensuelles'!X31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Mensuelles'!AU31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Mensuelles'!W31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4904</v>
      </c>
      <c r="H45" s="367"/>
      <c r="I45" s="368"/>
      <c r="J45" s="366">
        <f>SUM(J37:L43)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4904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5" customHeight="1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 ht="15" customHeight="1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Width="0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F7BB-CD6A-41A3-BD6F-A573CC65D941}">
  <sheetPr>
    <pageSetUpPr fitToPage="1"/>
  </sheetPr>
  <dimension ref="A1:T56"/>
  <sheetViews>
    <sheetView topLeftCell="A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Mensuelles'!B32</f>
        <v>MUHAMMAD USMAN GHULAM</v>
      </c>
      <c r="E8" s="479"/>
      <c r="F8" s="480"/>
      <c r="G8" s="471"/>
      <c r="H8" s="494" t="s">
        <v>201</v>
      </c>
      <c r="I8" s="495"/>
      <c r="J8" s="496">
        <f>'Infos Mensuelles'!F32</f>
        <v>20024049662792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Mensuelles'!D32</f>
        <v>45287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Mensuelles'!C32</f>
        <v>Qadir</v>
      </c>
      <c r="E11" s="479"/>
      <c r="F11" s="480"/>
      <c r="G11" s="471"/>
      <c r="H11" s="484" t="s">
        <v>204</v>
      </c>
      <c r="I11" s="485"/>
      <c r="J11" s="488" t="str">
        <f>'Infos Mensuelles'!G32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Mensuelles'!L32</f>
        <v>28</v>
      </c>
      <c r="E16" s="444" t="s">
        <v>207</v>
      </c>
      <c r="F16" s="445"/>
      <c r="G16" s="445"/>
      <c r="H16" s="36">
        <f>'Infos Mensuelles'!S32</f>
        <v>0</v>
      </c>
      <c r="I16" s="446" t="s">
        <v>208</v>
      </c>
      <c r="J16" s="447"/>
      <c r="K16" s="447"/>
      <c r="L16" s="28">
        <f>'Infos Mensuelles'!AE32</f>
        <v>5</v>
      </c>
    </row>
    <row r="17" spans="1:18">
      <c r="A17" s="421" t="s">
        <v>209</v>
      </c>
      <c r="B17" s="422"/>
      <c r="C17" s="422"/>
      <c r="D17" s="29">
        <f>'Infos Mensuelles'!N32</f>
        <v>0</v>
      </c>
      <c r="E17" s="421" t="s">
        <v>210</v>
      </c>
      <c r="F17" s="422"/>
      <c r="G17" s="422"/>
      <c r="H17" s="37">
        <f>'Infos Mensuelles'!T32</f>
        <v>0</v>
      </c>
      <c r="I17" s="448" t="s">
        <v>211</v>
      </c>
      <c r="J17" s="449"/>
      <c r="K17" s="449"/>
      <c r="L17" s="30">
        <f>'Infos Mensuelles'!AH32</f>
        <v>0</v>
      </c>
    </row>
    <row r="18" spans="1:18">
      <c r="A18" s="421" t="s">
        <v>212</v>
      </c>
      <c r="B18" s="422"/>
      <c r="C18" s="422"/>
      <c r="D18" s="29">
        <f>'Infos Mensuelles'!M32</f>
        <v>3</v>
      </c>
      <c r="E18" s="23" t="s">
        <v>213</v>
      </c>
      <c r="F18" s="24"/>
      <c r="G18" s="24"/>
      <c r="H18" s="37">
        <f>'Infos Mensuelles'!U32</f>
        <v>0</v>
      </c>
      <c r="I18" s="421" t="s">
        <v>214</v>
      </c>
      <c r="J18" s="422"/>
      <c r="K18" s="422"/>
      <c r="L18" s="30">
        <f>'Infos Mensuelles'!AL32</f>
        <v>2</v>
      </c>
    </row>
    <row r="19" spans="1:18">
      <c r="A19" s="421" t="s">
        <v>215</v>
      </c>
      <c r="B19" s="422"/>
      <c r="C19" s="422"/>
      <c r="D19" s="33">
        <f>'Infos Mensuelles'!P32</f>
        <v>0</v>
      </c>
      <c r="E19" s="421" t="s">
        <v>216</v>
      </c>
      <c r="F19" s="422"/>
      <c r="G19" s="422"/>
      <c r="H19" s="37">
        <f>'Infos Mensuelles'!R32</f>
        <v>0</v>
      </c>
      <c r="I19" s="421" t="s">
        <v>217</v>
      </c>
      <c r="J19" s="422"/>
      <c r="K19" s="422"/>
      <c r="L19" s="32">
        <f>'Infos Mensuelles'!O32</f>
        <v>0</v>
      </c>
    </row>
    <row r="20" spans="1:18">
      <c r="A20" s="419" t="s">
        <v>218</v>
      </c>
      <c r="B20" s="420"/>
      <c r="C20" s="420"/>
      <c r="D20" s="31">
        <f>'Infos Mensuelles'!Q32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Mensuelles'!H32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Mensuelles'!I32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Mensuelles'!J32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Mensuelles'!AG32</f>
        <v>60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Mensuelles'!AJ32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Mensuelles'!AN32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Mensuelles'!AQ32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Mensuelles'!AO32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Mensuelles'!AP32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Mensuelles'!AS32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Mensuelles'!AT32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Mensuelles'!Y32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Mensuelles'!V32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Mensuelles'!X32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Mensuelles'!AU32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Mensuelles'!W32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4536</v>
      </c>
      <c r="H45" s="367"/>
      <c r="I45" s="368"/>
      <c r="J45" s="366">
        <f>SUM(J37:L43)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4536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Width="0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1036-16A3-4D13-A9A0-0599F964684F}">
  <sheetPr>
    <pageSetUpPr fitToPage="1"/>
  </sheetPr>
  <dimension ref="A1:T56"/>
  <sheetViews>
    <sheetView topLeftCell="A23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Mensuelles'!B33</f>
        <v>KOZHIPPURATH ABOOBACKER</v>
      </c>
      <c r="E8" s="479"/>
      <c r="F8" s="480"/>
      <c r="G8" s="471"/>
      <c r="H8" s="494" t="s">
        <v>201</v>
      </c>
      <c r="I8" s="495"/>
      <c r="J8" s="496">
        <f>'Infos Mensuelles'!F33</f>
        <v>10021057922829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Mensuelles'!D33</f>
        <v>43570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Mensuelles'!C33</f>
        <v>Rasheed</v>
      </c>
      <c r="E11" s="479"/>
      <c r="F11" s="480"/>
      <c r="G11" s="471"/>
      <c r="H11" s="484" t="s">
        <v>204</v>
      </c>
      <c r="I11" s="485"/>
      <c r="J11" s="488" t="str">
        <f>'Infos Mensuelles'!G33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Mensuelles'!L33</f>
        <v>28</v>
      </c>
      <c r="E16" s="444" t="s">
        <v>207</v>
      </c>
      <c r="F16" s="445"/>
      <c r="G16" s="445"/>
      <c r="H16" s="36">
        <f>'Infos Mensuelles'!S33</f>
        <v>0</v>
      </c>
      <c r="I16" s="446" t="s">
        <v>208</v>
      </c>
      <c r="J16" s="447"/>
      <c r="K16" s="447"/>
      <c r="L16" s="28">
        <f>'Infos Mensuelles'!AE33</f>
        <v>50</v>
      </c>
    </row>
    <row r="17" spans="1:18">
      <c r="A17" s="421" t="s">
        <v>209</v>
      </c>
      <c r="B17" s="422"/>
      <c r="C17" s="422"/>
      <c r="D17" s="29">
        <f>'Infos Mensuelles'!N33</f>
        <v>0</v>
      </c>
      <c r="E17" s="421" t="s">
        <v>210</v>
      </c>
      <c r="F17" s="422"/>
      <c r="G17" s="422"/>
      <c r="H17" s="37">
        <f>'Infos Mensuelles'!T33</f>
        <v>0</v>
      </c>
      <c r="I17" s="448" t="s">
        <v>211</v>
      </c>
      <c r="J17" s="449"/>
      <c r="K17" s="449"/>
      <c r="L17" s="30">
        <f>'Infos Mensuelles'!AH33</f>
        <v>0</v>
      </c>
    </row>
    <row r="18" spans="1:18">
      <c r="A18" s="421" t="s">
        <v>212</v>
      </c>
      <c r="B18" s="422"/>
      <c r="C18" s="422"/>
      <c r="D18" s="29">
        <f>'Infos Mensuelles'!M33</f>
        <v>3</v>
      </c>
      <c r="E18" s="23" t="s">
        <v>213</v>
      </c>
      <c r="F18" s="24"/>
      <c r="G18" s="24"/>
      <c r="H18" s="37">
        <f>'Infos Mensuelles'!U33</f>
        <v>0</v>
      </c>
      <c r="I18" s="421" t="s">
        <v>214</v>
      </c>
      <c r="J18" s="422"/>
      <c r="K18" s="422"/>
      <c r="L18" s="30">
        <f>'Infos Mensuelles'!AL33</f>
        <v>2</v>
      </c>
    </row>
    <row r="19" spans="1:18">
      <c r="A19" s="421" t="s">
        <v>215</v>
      </c>
      <c r="B19" s="422"/>
      <c r="C19" s="422"/>
      <c r="D19" s="33">
        <f>'Infos Mensuelles'!P33</f>
        <v>0</v>
      </c>
      <c r="E19" s="421" t="s">
        <v>216</v>
      </c>
      <c r="F19" s="422"/>
      <c r="G19" s="422"/>
      <c r="H19" s="37">
        <f>'Infos Mensuelles'!R33</f>
        <v>0</v>
      </c>
      <c r="I19" s="421" t="s">
        <v>217</v>
      </c>
      <c r="J19" s="422"/>
      <c r="K19" s="422"/>
      <c r="L19" s="32">
        <f>'Infos Mensuelles'!O33</f>
        <v>0</v>
      </c>
    </row>
    <row r="20" spans="1:18">
      <c r="A20" s="419" t="s">
        <v>218</v>
      </c>
      <c r="B20" s="420"/>
      <c r="C20" s="420"/>
      <c r="D20" s="31">
        <f>'Infos Mensuelles'!Q33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Mensuelles'!H33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Mensuelles'!I33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Mensuelles'!J33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Mensuelles'!AG33</f>
        <v>600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Mensuelles'!AJ33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Mensuelles'!AN33</f>
        <v>296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Mensuelles'!AQ33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Mensuelles'!AO33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Mensuelles'!AP33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Mensuelles'!AS33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Mensuelles'!AT33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Mensuelles'!Y33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Mensuelles'!V33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Mensuelles'!X33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Mensuelles'!AU33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Mensuelles'!W33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5396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5396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21274-0750-4220-A57D-ECD7B5B57499}">
  <sheetPr>
    <pageSetUpPr fitToPage="1"/>
  </sheetPr>
  <dimension ref="A1:T56"/>
  <sheetViews>
    <sheetView topLeftCell="A2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Mensuelles'!B34</f>
        <v>ACHARYA</v>
      </c>
      <c r="E8" s="479"/>
      <c r="F8" s="480"/>
      <c r="G8" s="471"/>
      <c r="H8" s="494" t="s">
        <v>201</v>
      </c>
      <c r="I8" s="495"/>
      <c r="J8" s="496">
        <f>'Infos Mensuelles'!F34</f>
        <v>31601127390678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Mensuelles'!D34</f>
        <v>44830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Mensuelles'!C34</f>
        <v>Rajan</v>
      </c>
      <c r="E11" s="479"/>
      <c r="F11" s="480"/>
      <c r="G11" s="471"/>
      <c r="H11" s="484" t="s">
        <v>204</v>
      </c>
      <c r="I11" s="485"/>
      <c r="J11" s="488" t="str">
        <f>'Infos Mensuelles'!G34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Mensuelles'!L34</f>
        <v>27</v>
      </c>
      <c r="E16" s="444" t="s">
        <v>207</v>
      </c>
      <c r="F16" s="445"/>
      <c r="G16" s="445"/>
      <c r="H16" s="36">
        <f>'Infos Mensuelles'!S34</f>
        <v>0</v>
      </c>
      <c r="I16" s="446" t="s">
        <v>208</v>
      </c>
      <c r="J16" s="447"/>
      <c r="K16" s="447"/>
      <c r="L16" s="28">
        <f>'Infos Mensuelles'!AE34</f>
        <v>10</v>
      </c>
    </row>
    <row r="17" spans="1:18">
      <c r="A17" s="421" t="s">
        <v>209</v>
      </c>
      <c r="B17" s="422"/>
      <c r="C17" s="422"/>
      <c r="D17" s="29">
        <f>'Infos Mensuelles'!N34</f>
        <v>0</v>
      </c>
      <c r="E17" s="421" t="s">
        <v>210</v>
      </c>
      <c r="F17" s="422"/>
      <c r="G17" s="422"/>
      <c r="H17" s="37">
        <f>'Infos Mensuelles'!T34</f>
        <v>0</v>
      </c>
      <c r="I17" s="448" t="s">
        <v>211</v>
      </c>
      <c r="J17" s="449"/>
      <c r="K17" s="449"/>
      <c r="L17" s="30">
        <f>'Infos Mensuelles'!AH34</f>
        <v>0</v>
      </c>
    </row>
    <row r="18" spans="1:18">
      <c r="A18" s="421" t="s">
        <v>212</v>
      </c>
      <c r="B18" s="422"/>
      <c r="C18" s="422"/>
      <c r="D18" s="29">
        <f>'Infos Mensuelles'!M34</f>
        <v>4</v>
      </c>
      <c r="E18" s="23" t="s">
        <v>213</v>
      </c>
      <c r="F18" s="24"/>
      <c r="G18" s="24"/>
      <c r="H18" s="37">
        <f>'Infos Mensuelles'!U34</f>
        <v>0</v>
      </c>
      <c r="I18" s="421" t="s">
        <v>214</v>
      </c>
      <c r="J18" s="422"/>
      <c r="K18" s="422"/>
      <c r="L18" s="30">
        <f>'Infos Mensuelles'!AL34</f>
        <v>1</v>
      </c>
    </row>
    <row r="19" spans="1:18">
      <c r="A19" s="421" t="s">
        <v>215</v>
      </c>
      <c r="B19" s="422"/>
      <c r="C19" s="422"/>
      <c r="D19" s="33">
        <f>'Infos Mensuelles'!P34</f>
        <v>0</v>
      </c>
      <c r="E19" s="421" t="s">
        <v>216</v>
      </c>
      <c r="F19" s="422"/>
      <c r="G19" s="422"/>
      <c r="H19" s="37">
        <f>'Infos Mensuelles'!R34</f>
        <v>0</v>
      </c>
      <c r="I19" s="421" t="s">
        <v>217</v>
      </c>
      <c r="J19" s="422"/>
      <c r="K19" s="422"/>
      <c r="L19" s="32">
        <f>'Infos Mensuelles'!O34</f>
        <v>0</v>
      </c>
    </row>
    <row r="20" spans="1:18">
      <c r="A20" s="419" t="s">
        <v>218</v>
      </c>
      <c r="B20" s="420"/>
      <c r="C20" s="420"/>
      <c r="D20" s="31">
        <f>'Infos Mensuelles'!Q34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Mensuelles'!H34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Mensuelles'!I34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Mensuelles'!J34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Mensuelles'!AG34</f>
        <v>120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Mensuelles'!AJ34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Mensuelles'!AN34</f>
        <v>141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Mensuelles'!AQ34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Mensuelles'!AO34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Mensuelles'!AP34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Mensuelles'!AS34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Mensuelles'!AT34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Mensuelles'!Y34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Mensuelles'!V34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Mensuelles'!X34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Mensuelles'!AU34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Mensuelles'!W34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4561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4561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045F-28F2-4A7B-B073-39E998534848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Mensuelles'!B35</f>
        <v>ALIPETTA UMMER</v>
      </c>
      <c r="E8" s="479"/>
      <c r="F8" s="480"/>
      <c r="G8" s="471"/>
      <c r="H8" s="494" t="s">
        <v>201</v>
      </c>
      <c r="I8" s="495"/>
      <c r="J8" s="496">
        <f>'Infos Mensuelles'!F35</f>
        <v>10025088010140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Mensuelles'!D35</f>
        <v>44796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Mensuelles'!C35</f>
        <v>Riyas</v>
      </c>
      <c r="E11" s="479"/>
      <c r="F11" s="480"/>
      <c r="G11" s="471"/>
      <c r="H11" s="484" t="s">
        <v>204</v>
      </c>
      <c r="I11" s="485"/>
      <c r="J11" s="488" t="str">
        <f>'Infos Mensuelles'!G35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Mensuelles'!L35</f>
        <v>28</v>
      </c>
      <c r="E16" s="444" t="s">
        <v>207</v>
      </c>
      <c r="F16" s="445"/>
      <c r="G16" s="445"/>
      <c r="H16" s="36">
        <f>'Infos Mensuelles'!S35</f>
        <v>0</v>
      </c>
      <c r="I16" s="446" t="s">
        <v>208</v>
      </c>
      <c r="J16" s="447"/>
      <c r="K16" s="447"/>
      <c r="L16" s="28">
        <f>'Infos Mensuelles'!AE35</f>
        <v>23</v>
      </c>
    </row>
    <row r="17" spans="1:18">
      <c r="A17" s="421" t="s">
        <v>209</v>
      </c>
      <c r="B17" s="422"/>
      <c r="C17" s="422"/>
      <c r="D17" s="29">
        <f>'Infos Mensuelles'!N35</f>
        <v>0</v>
      </c>
      <c r="E17" s="421" t="s">
        <v>210</v>
      </c>
      <c r="F17" s="422"/>
      <c r="G17" s="422"/>
      <c r="H17" s="37">
        <f>'Infos Mensuelles'!T35</f>
        <v>0</v>
      </c>
      <c r="I17" s="448" t="s">
        <v>211</v>
      </c>
      <c r="J17" s="449"/>
      <c r="K17" s="449"/>
      <c r="L17" s="30">
        <f>'Infos Mensuelles'!AH35</f>
        <v>0</v>
      </c>
    </row>
    <row r="18" spans="1:18">
      <c r="A18" s="421" t="s">
        <v>212</v>
      </c>
      <c r="B18" s="422"/>
      <c r="C18" s="422"/>
      <c r="D18" s="29">
        <f>'Infos Mensuelles'!M35</f>
        <v>3</v>
      </c>
      <c r="E18" s="23" t="s">
        <v>213</v>
      </c>
      <c r="F18" s="24"/>
      <c r="G18" s="24"/>
      <c r="H18" s="37">
        <f>'Infos Mensuelles'!U35</f>
        <v>0</v>
      </c>
      <c r="I18" s="421" t="s">
        <v>214</v>
      </c>
      <c r="J18" s="422"/>
      <c r="K18" s="422"/>
      <c r="L18" s="30">
        <f>'Infos Mensuelles'!AL35</f>
        <v>2</v>
      </c>
    </row>
    <row r="19" spans="1:18">
      <c r="A19" s="421" t="s">
        <v>215</v>
      </c>
      <c r="B19" s="422"/>
      <c r="C19" s="422"/>
      <c r="D19" s="33">
        <f>'Infos Mensuelles'!P35</f>
        <v>0</v>
      </c>
      <c r="E19" s="421" t="s">
        <v>216</v>
      </c>
      <c r="F19" s="422"/>
      <c r="G19" s="422"/>
      <c r="H19" s="37">
        <f>'Infos Mensuelles'!R35</f>
        <v>0</v>
      </c>
      <c r="I19" s="421" t="s">
        <v>217</v>
      </c>
      <c r="J19" s="422"/>
      <c r="K19" s="422"/>
      <c r="L19" s="32">
        <f>'Infos Mensuelles'!O35</f>
        <v>0</v>
      </c>
    </row>
    <row r="20" spans="1:18">
      <c r="A20" s="419" t="s">
        <v>218</v>
      </c>
      <c r="B20" s="420"/>
      <c r="C20" s="420"/>
      <c r="D20" s="31">
        <f>'Infos Mensuelles'!Q35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Mensuelles'!H35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Mensuelles'!I35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Mensuelles'!J35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Mensuelles'!AG35</f>
        <v>276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Mensuelles'!AJ35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Mensuelles'!AN35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Mensuelles'!AQ35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Mensuelles'!AO35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Mensuelles'!AP35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Mensuelles'!AS35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Mensuelles'!AT35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Mensuelles'!Y35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Mensuelles'!V35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Mensuelles'!X35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Mensuelles'!AU35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Mensuelles'!W35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4858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4858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46C9-9E5C-4B10-85A4-A665F30ACAF2}">
  <sheetPr>
    <pageSetUpPr fitToPage="1"/>
  </sheetPr>
  <dimension ref="A1:T56"/>
  <sheetViews>
    <sheetView topLeftCell="A27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9.5">
      <c r="A8" s="472" t="s">
        <v>200</v>
      </c>
      <c r="B8" s="473"/>
      <c r="C8" s="474"/>
      <c r="D8" s="478" t="str">
        <f>'Infos Mensuelles'!B36</f>
        <v>GIRIJA MOHANDAS SREEDHARAN PANICKER</v>
      </c>
      <c r="E8" s="479"/>
      <c r="F8" s="480"/>
      <c r="G8" s="471"/>
      <c r="H8" s="494" t="s">
        <v>201</v>
      </c>
      <c r="I8" s="495"/>
      <c r="J8" s="496">
        <f>'Infos Mensuelles'!F36</f>
        <v>10004078884984</v>
      </c>
      <c r="K8" s="497"/>
      <c r="L8" s="498"/>
    </row>
    <row r="9" spans="1:12" ht="19.5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Mensuelles'!D36</f>
        <v>45344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Mensuelles'!C36</f>
        <v>Riju</v>
      </c>
      <c r="E11" s="479"/>
      <c r="F11" s="480"/>
      <c r="G11" s="471"/>
      <c r="H11" s="484" t="s">
        <v>204</v>
      </c>
      <c r="I11" s="485"/>
      <c r="J11" s="488" t="str">
        <f>'Infos Mensuelles'!G36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Mensuelles'!L36</f>
        <v>25</v>
      </c>
      <c r="E16" s="444" t="s">
        <v>207</v>
      </c>
      <c r="F16" s="445"/>
      <c r="G16" s="445"/>
      <c r="H16" s="36">
        <f>'Infos Mensuelles'!S36</f>
        <v>0</v>
      </c>
      <c r="I16" s="446" t="s">
        <v>208</v>
      </c>
      <c r="J16" s="447"/>
      <c r="K16" s="447"/>
      <c r="L16" s="28">
        <f>'Infos Mensuelles'!AE36</f>
        <v>31</v>
      </c>
    </row>
    <row r="17" spans="1:18">
      <c r="A17" s="421" t="s">
        <v>209</v>
      </c>
      <c r="B17" s="422"/>
      <c r="C17" s="422"/>
      <c r="D17" s="29">
        <f>'Infos Mensuelles'!N36</f>
        <v>0</v>
      </c>
      <c r="E17" s="421" t="s">
        <v>210</v>
      </c>
      <c r="F17" s="422"/>
      <c r="G17" s="422"/>
      <c r="H17" s="37">
        <f>'Infos Mensuelles'!T36</f>
        <v>0</v>
      </c>
      <c r="I17" s="448" t="s">
        <v>211</v>
      </c>
      <c r="J17" s="449"/>
      <c r="K17" s="449"/>
      <c r="L17" s="30">
        <f>'Infos Mensuelles'!AH36</f>
        <v>0</v>
      </c>
    </row>
    <row r="18" spans="1:18">
      <c r="A18" s="421" t="s">
        <v>212</v>
      </c>
      <c r="B18" s="422"/>
      <c r="C18" s="422"/>
      <c r="D18" s="29">
        <f>'Infos Mensuelles'!M36</f>
        <v>4</v>
      </c>
      <c r="E18" s="23" t="s">
        <v>213</v>
      </c>
      <c r="F18" s="24"/>
      <c r="G18" s="24"/>
      <c r="H18" s="37">
        <f>'Infos Mensuelles'!U36</f>
        <v>0</v>
      </c>
      <c r="I18" s="421" t="s">
        <v>214</v>
      </c>
      <c r="J18" s="422"/>
      <c r="K18" s="422"/>
      <c r="L18" s="30">
        <f>'Infos Mensuelles'!AL36</f>
        <v>1</v>
      </c>
    </row>
    <row r="19" spans="1:18">
      <c r="A19" s="421" t="s">
        <v>215</v>
      </c>
      <c r="B19" s="422"/>
      <c r="C19" s="422"/>
      <c r="D19" s="33">
        <f>'Infos Mensuelles'!P36</f>
        <v>2</v>
      </c>
      <c r="E19" s="421" t="s">
        <v>216</v>
      </c>
      <c r="F19" s="422"/>
      <c r="G19" s="422"/>
      <c r="H19" s="37">
        <f>'Infos Mensuelles'!R36</f>
        <v>0</v>
      </c>
      <c r="I19" s="421" t="s">
        <v>217</v>
      </c>
      <c r="J19" s="422"/>
      <c r="K19" s="422"/>
      <c r="L19" s="32">
        <f>'Infos Mensuelles'!O36</f>
        <v>0</v>
      </c>
    </row>
    <row r="20" spans="1:18">
      <c r="A20" s="419" t="s">
        <v>218</v>
      </c>
      <c r="B20" s="420"/>
      <c r="C20" s="420"/>
      <c r="D20" s="31">
        <f>'Infos Mensuelles'!Q36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Mensuelles'!H36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Mensuelles'!I36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Mensuelles'!J36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Mensuelles'!AG36</f>
        <v>372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Mensuelles'!AJ36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Mensuelles'!AN36</f>
        <v>138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Mensuelles'!AQ36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Mensuelles'!AO36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Mensuelles'!AP36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Mensuelles'!AS36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Mensuelles'!AT36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Mensuelles'!Y36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Mensuelles'!V36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Mensuelles'!X36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Mensuelles'!AU36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Mensuelles'!W36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4710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4710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3BAB-D6B0-4000-BED1-5957E0FC8865}">
  <sheetPr>
    <pageSetUpPr fitToPage="1"/>
  </sheetPr>
  <dimension ref="A1:T56"/>
  <sheetViews>
    <sheetView topLeftCell="A14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9.5">
      <c r="A8" s="472" t="s">
        <v>200</v>
      </c>
      <c r="B8" s="473"/>
      <c r="C8" s="474"/>
      <c r="D8" s="478" t="str">
        <f>'Infos Mensuelles'!B37</f>
        <v xml:space="preserve">VANNATHAN POIYEL MOOSSA </v>
      </c>
      <c r="E8" s="479"/>
      <c r="F8" s="480"/>
      <c r="G8" s="471"/>
      <c r="H8" s="494" t="s">
        <v>201</v>
      </c>
      <c r="I8" s="495"/>
      <c r="J8" s="496">
        <f>'Infos Mensuelles'!F37</f>
        <v>10021047655633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Mensuelles'!D37</f>
        <v>45293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Mensuelles'!C37</f>
        <v>Sackeer</v>
      </c>
      <c r="E11" s="479"/>
      <c r="F11" s="480"/>
      <c r="G11" s="471"/>
      <c r="H11" s="484" t="s">
        <v>204</v>
      </c>
      <c r="I11" s="485"/>
      <c r="J11" s="488" t="str">
        <f>'Infos Mensuelles'!G37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Mensuelles'!L37</f>
        <v>27</v>
      </c>
      <c r="E16" s="444" t="s">
        <v>207</v>
      </c>
      <c r="F16" s="445"/>
      <c r="G16" s="445"/>
      <c r="H16" s="36">
        <f>'Infos Mensuelles'!S37</f>
        <v>0</v>
      </c>
      <c r="I16" s="446" t="s">
        <v>208</v>
      </c>
      <c r="J16" s="447"/>
      <c r="K16" s="447"/>
      <c r="L16" s="28">
        <f>'Infos Mensuelles'!AE37</f>
        <v>19</v>
      </c>
    </row>
    <row r="17" spans="1:18">
      <c r="A17" s="421" t="s">
        <v>209</v>
      </c>
      <c r="B17" s="422"/>
      <c r="C17" s="422"/>
      <c r="D17" s="29">
        <f>'Infos Mensuelles'!N37</f>
        <v>0</v>
      </c>
      <c r="E17" s="421" t="s">
        <v>210</v>
      </c>
      <c r="F17" s="422"/>
      <c r="G17" s="422"/>
      <c r="H17" s="37">
        <f>'Infos Mensuelles'!T37</f>
        <v>0</v>
      </c>
      <c r="I17" s="448" t="s">
        <v>211</v>
      </c>
      <c r="J17" s="449"/>
      <c r="K17" s="449"/>
      <c r="L17" s="30">
        <f>'Infos Mensuelles'!AH37</f>
        <v>0</v>
      </c>
    </row>
    <row r="18" spans="1:18">
      <c r="A18" s="421" t="s">
        <v>212</v>
      </c>
      <c r="B18" s="422"/>
      <c r="C18" s="422"/>
      <c r="D18" s="29">
        <f>'Infos Mensuelles'!M37</f>
        <v>4</v>
      </c>
      <c r="E18" s="23" t="s">
        <v>213</v>
      </c>
      <c r="F18" s="24"/>
      <c r="G18" s="24"/>
      <c r="H18" s="37">
        <f>'Infos Mensuelles'!U37</f>
        <v>0</v>
      </c>
      <c r="I18" s="421" t="s">
        <v>214</v>
      </c>
      <c r="J18" s="422"/>
      <c r="K18" s="422"/>
      <c r="L18" s="30">
        <f>'Infos Mensuelles'!AL37</f>
        <v>1</v>
      </c>
    </row>
    <row r="19" spans="1:18">
      <c r="A19" s="421" t="s">
        <v>215</v>
      </c>
      <c r="B19" s="422"/>
      <c r="C19" s="422"/>
      <c r="D19" s="33">
        <f>'Infos Mensuelles'!P37</f>
        <v>0</v>
      </c>
      <c r="E19" s="421" t="s">
        <v>216</v>
      </c>
      <c r="F19" s="422"/>
      <c r="G19" s="422"/>
      <c r="H19" s="37">
        <f>'Infos Mensuelles'!R37</f>
        <v>0</v>
      </c>
      <c r="I19" s="421" t="s">
        <v>217</v>
      </c>
      <c r="J19" s="422"/>
      <c r="K19" s="422"/>
      <c r="L19" s="32">
        <f>'Infos Mensuelles'!O37</f>
        <v>0</v>
      </c>
    </row>
    <row r="20" spans="1:18">
      <c r="A20" s="419" t="s">
        <v>218</v>
      </c>
      <c r="B20" s="420"/>
      <c r="C20" s="420"/>
      <c r="D20" s="31">
        <f>'Infos Mensuelles'!Q37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Mensuelles'!H37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Mensuelles'!I37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Mensuelles'!J37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Mensuelles'!AG37</f>
        <v>228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Mensuelles'!AJ37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Mensuelles'!AN37</f>
        <v>138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Mensuelles'!AQ37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Mensuelles'!AO37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Mensuelles'!AP37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Mensuelles'!AS37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Mensuelles'!AT37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Mensuelles'!Y37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Mensuelles'!V37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Mensuelles'!X37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Mensuelles'!AU37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Mensuelles'!W37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4566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4566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9:L51"/>
    <mergeCell ref="A52:F52"/>
    <mergeCell ref="G52:L54"/>
    <mergeCell ref="A54:C54"/>
    <mergeCell ref="D54:F54"/>
    <mergeCell ref="A43:F43"/>
    <mergeCell ref="G43:I43"/>
    <mergeCell ref="J43:L43"/>
    <mergeCell ref="A45:F45"/>
    <mergeCell ref="G45:I45"/>
    <mergeCell ref="J45:L45"/>
    <mergeCell ref="A46:L47"/>
    <mergeCell ref="A48:F48"/>
    <mergeCell ref="G48:L48"/>
    <mergeCell ref="A53:C53"/>
    <mergeCell ref="D53:F53"/>
    <mergeCell ref="A41:F41"/>
    <mergeCell ref="G41:I41"/>
    <mergeCell ref="J41:L41"/>
    <mergeCell ref="A42:F42"/>
    <mergeCell ref="G42:I42"/>
    <mergeCell ref="J42:L42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A34:F34"/>
    <mergeCell ref="G34:I34"/>
    <mergeCell ref="A35:F35"/>
    <mergeCell ref="G35:I35"/>
    <mergeCell ref="A36:F36"/>
    <mergeCell ref="G36:I36"/>
    <mergeCell ref="J35:L35"/>
    <mergeCell ref="J36:L36"/>
    <mergeCell ref="J34:L34"/>
    <mergeCell ref="A33:F33"/>
    <mergeCell ref="G33:I33"/>
    <mergeCell ref="J33:L33"/>
    <mergeCell ref="A28:F28"/>
    <mergeCell ref="G28:I28"/>
    <mergeCell ref="A29:F29"/>
    <mergeCell ref="G29:I29"/>
    <mergeCell ref="A30:F30"/>
    <mergeCell ref="G30:I30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A8:C9"/>
    <mergeCell ref="D8:F9"/>
    <mergeCell ref="G8:G9"/>
    <mergeCell ref="H8:I8"/>
    <mergeCell ref="J8:L8"/>
    <mergeCell ref="H9:I9"/>
    <mergeCell ref="J9:L9"/>
    <mergeCell ref="A1:L1"/>
    <mergeCell ref="A2:L2"/>
    <mergeCell ref="A3:L3"/>
    <mergeCell ref="A4:L4"/>
    <mergeCell ref="A6:L7"/>
    <mergeCell ref="A5:L5"/>
    <mergeCell ref="E20:G20"/>
    <mergeCell ref="I20:K20"/>
    <mergeCell ref="A13:L14"/>
    <mergeCell ref="A10:L10"/>
    <mergeCell ref="A11:C12"/>
    <mergeCell ref="D11:F12"/>
    <mergeCell ref="G11:G12"/>
    <mergeCell ref="H11:I12"/>
    <mergeCell ref="J11:L12"/>
    <mergeCell ref="A15:L15"/>
    <mergeCell ref="A55:L56"/>
    <mergeCell ref="A21:L22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J27:L27"/>
    <mergeCell ref="A27:F27"/>
    <mergeCell ref="G27:I27"/>
    <mergeCell ref="J29:L29"/>
    <mergeCell ref="J30:L30"/>
    <mergeCell ref="A31:F31"/>
    <mergeCell ref="G31:I31"/>
    <mergeCell ref="J31:L31"/>
    <mergeCell ref="J28:L28"/>
    <mergeCell ref="A32:F32"/>
    <mergeCell ref="G32:I32"/>
    <mergeCell ref="J32:L32"/>
  </mergeCells>
  <pageMargins left="0.7" right="0.7" top="0.75" bottom="0.75" header="0.3" footer="0.3"/>
  <pageSetup fitToHeight="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C0AD-BB04-47B3-9B1B-F3BAB40A33C5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Mensuelles'!B38</f>
        <v>SHAMIL ARIYOLOKOYA ARIYOLI</v>
      </c>
      <c r="E8" s="479"/>
      <c r="F8" s="480"/>
      <c r="G8" s="471"/>
      <c r="H8" s="494" t="s">
        <v>201</v>
      </c>
      <c r="I8" s="495"/>
      <c r="J8" s="496">
        <f>'Infos Mensuelles'!F38</f>
        <v>10012108936044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Mensuelles'!D38</f>
        <v>44802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Mensuelles'!C38</f>
        <v>Muhammed</v>
      </c>
      <c r="E11" s="479"/>
      <c r="F11" s="480"/>
      <c r="G11" s="471"/>
      <c r="H11" s="484" t="s">
        <v>204</v>
      </c>
      <c r="I11" s="485"/>
      <c r="J11" s="488" t="str">
        <f>'Infos Mensuelles'!G38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Mensuelles'!L38</f>
        <v>28</v>
      </c>
      <c r="E16" s="444" t="s">
        <v>207</v>
      </c>
      <c r="F16" s="445"/>
      <c r="G16" s="445"/>
      <c r="H16" s="36">
        <f>'Infos Mensuelles'!S38</f>
        <v>0</v>
      </c>
      <c r="I16" s="446" t="s">
        <v>208</v>
      </c>
      <c r="J16" s="447"/>
      <c r="K16" s="447"/>
      <c r="L16" s="28">
        <f>'Infos Mensuelles'!AE38</f>
        <v>5</v>
      </c>
    </row>
    <row r="17" spans="1:18">
      <c r="A17" s="421" t="s">
        <v>209</v>
      </c>
      <c r="B17" s="422"/>
      <c r="C17" s="422"/>
      <c r="D17" s="29">
        <f>'Infos Mensuelles'!N38</f>
        <v>0</v>
      </c>
      <c r="E17" s="421" t="s">
        <v>210</v>
      </c>
      <c r="F17" s="422"/>
      <c r="G17" s="422"/>
      <c r="H17" s="37">
        <f>'Infos Mensuelles'!T38</f>
        <v>0</v>
      </c>
      <c r="I17" s="448" t="s">
        <v>211</v>
      </c>
      <c r="J17" s="449"/>
      <c r="K17" s="449"/>
      <c r="L17" s="30">
        <f>'Infos Mensuelles'!AH38</f>
        <v>0</v>
      </c>
    </row>
    <row r="18" spans="1:18">
      <c r="A18" s="421" t="s">
        <v>212</v>
      </c>
      <c r="B18" s="422"/>
      <c r="C18" s="422"/>
      <c r="D18" s="29">
        <f>'Infos Mensuelles'!M38</f>
        <v>3</v>
      </c>
      <c r="E18" s="23" t="s">
        <v>213</v>
      </c>
      <c r="F18" s="24"/>
      <c r="G18" s="24"/>
      <c r="H18" s="37">
        <f>'Infos Mensuelles'!U38</f>
        <v>0</v>
      </c>
      <c r="I18" s="421" t="s">
        <v>214</v>
      </c>
      <c r="J18" s="422"/>
      <c r="K18" s="422"/>
      <c r="L18" s="30">
        <f>'Infos Mensuelles'!AL38</f>
        <v>2</v>
      </c>
    </row>
    <row r="19" spans="1:18">
      <c r="A19" s="421" t="s">
        <v>215</v>
      </c>
      <c r="B19" s="422"/>
      <c r="C19" s="422"/>
      <c r="D19" s="33">
        <f>'Infos Mensuelles'!P38</f>
        <v>0</v>
      </c>
      <c r="E19" s="421" t="s">
        <v>216</v>
      </c>
      <c r="F19" s="422"/>
      <c r="G19" s="422"/>
      <c r="H19" s="37">
        <f>'Infos Mensuelles'!R38</f>
        <v>0</v>
      </c>
      <c r="I19" s="421" t="s">
        <v>217</v>
      </c>
      <c r="J19" s="422"/>
      <c r="K19" s="422"/>
      <c r="L19" s="32">
        <f>'Infos Mensuelles'!O38</f>
        <v>0</v>
      </c>
    </row>
    <row r="20" spans="1:18">
      <c r="A20" s="419" t="s">
        <v>218</v>
      </c>
      <c r="B20" s="420"/>
      <c r="C20" s="420"/>
      <c r="D20" s="31">
        <f>'Infos Mensuelles'!Q38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Mensuelles'!H38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Mensuelles'!I38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Mensuelles'!J38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Mensuelles'!AG38</f>
        <v>60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Mensuelles'!AJ38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Mensuelles'!AN38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Mensuelles'!AQ38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Mensuelles'!AO38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Mensuelles'!AP38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Mensuelles'!AS38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Mensuelles'!AT38</f>
        <v>590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Mensuelles'!Y38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Mensuelles'!V38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Mensuelles'!X38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Mensuelles'!AU38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Mensuelles'!W38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4642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4642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7025-7235-4CB0-A6E9-4797103225BD}">
  <sheetPr>
    <pageSetUpPr fitToPage="1"/>
  </sheetPr>
  <dimension ref="A1:T56"/>
  <sheetViews>
    <sheetView topLeftCell="A9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Mensuelles'!B39</f>
        <v>MUHAMMAD BILAL MEHMOOD</v>
      </c>
      <c r="E8" s="479"/>
      <c r="F8" s="480"/>
      <c r="G8" s="471"/>
      <c r="H8" s="494" t="s">
        <v>201</v>
      </c>
      <c r="I8" s="495"/>
      <c r="J8" s="496">
        <f>'Infos Mensuelles'!F39</f>
        <v>20012108325991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Mensuelles'!D39</f>
        <v>45287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Mensuelles'!C39</f>
        <v>Shah</v>
      </c>
      <c r="E11" s="479"/>
      <c r="F11" s="480"/>
      <c r="G11" s="471"/>
      <c r="H11" s="484" t="s">
        <v>204</v>
      </c>
      <c r="I11" s="485"/>
      <c r="J11" s="488" t="str">
        <f>'Infos Mensuelles'!G39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Mensuelles'!L39</f>
        <v>25</v>
      </c>
      <c r="E16" s="444" t="s">
        <v>207</v>
      </c>
      <c r="F16" s="445"/>
      <c r="G16" s="445"/>
      <c r="H16" s="36">
        <f>'Infos Mensuelles'!S39</f>
        <v>0</v>
      </c>
      <c r="I16" s="446" t="s">
        <v>208</v>
      </c>
      <c r="J16" s="447"/>
      <c r="K16" s="447"/>
      <c r="L16" s="28">
        <f>'Infos Mensuelles'!AE39</f>
        <v>5</v>
      </c>
    </row>
    <row r="17" spans="1:18">
      <c r="A17" s="421" t="s">
        <v>209</v>
      </c>
      <c r="B17" s="422"/>
      <c r="C17" s="422"/>
      <c r="D17" s="29">
        <f>'Infos Mensuelles'!N39</f>
        <v>0</v>
      </c>
      <c r="E17" s="421" t="s">
        <v>210</v>
      </c>
      <c r="F17" s="422"/>
      <c r="G17" s="422"/>
      <c r="H17" s="37">
        <f>'Infos Mensuelles'!T39</f>
        <v>0</v>
      </c>
      <c r="I17" s="448" t="s">
        <v>211</v>
      </c>
      <c r="J17" s="449"/>
      <c r="K17" s="449"/>
      <c r="L17" s="30">
        <f>'Infos Mensuelles'!AH39</f>
        <v>0</v>
      </c>
    </row>
    <row r="18" spans="1:18">
      <c r="A18" s="421" t="s">
        <v>212</v>
      </c>
      <c r="B18" s="422"/>
      <c r="C18" s="422"/>
      <c r="D18" s="29">
        <f>'Infos Mensuelles'!M39</f>
        <v>3</v>
      </c>
      <c r="E18" s="23" t="s">
        <v>213</v>
      </c>
      <c r="F18" s="24"/>
      <c r="G18" s="24"/>
      <c r="H18" s="37">
        <f>'Infos Mensuelles'!U39</f>
        <v>0</v>
      </c>
      <c r="I18" s="421" t="s">
        <v>214</v>
      </c>
      <c r="J18" s="422"/>
      <c r="K18" s="422"/>
      <c r="L18" s="30">
        <f>'Infos Mensuelles'!AL39</f>
        <v>2</v>
      </c>
    </row>
    <row r="19" spans="1:18">
      <c r="A19" s="421" t="s">
        <v>215</v>
      </c>
      <c r="B19" s="422"/>
      <c r="C19" s="422"/>
      <c r="D19" s="33">
        <f>'Infos Mensuelles'!P39</f>
        <v>3</v>
      </c>
      <c r="E19" s="421" t="s">
        <v>216</v>
      </c>
      <c r="F19" s="422"/>
      <c r="G19" s="422"/>
      <c r="H19" s="37">
        <f>'Infos Mensuelles'!R39</f>
        <v>0</v>
      </c>
      <c r="I19" s="421" t="s">
        <v>217</v>
      </c>
      <c r="J19" s="422"/>
      <c r="K19" s="422"/>
      <c r="L19" s="32">
        <f>'Infos Mensuelles'!O39</f>
        <v>0</v>
      </c>
    </row>
    <row r="20" spans="1:18">
      <c r="A20" s="419" t="s">
        <v>218</v>
      </c>
      <c r="B20" s="420"/>
      <c r="C20" s="420"/>
      <c r="D20" s="31">
        <f>'Infos Mensuelles'!Q39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Mensuelles'!H39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Mensuelles'!I39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Mensuelles'!J39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Mensuelles'!AG39</f>
        <v>60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Mensuelles'!AJ39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Mensuelles'!AN39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Mensuelles'!AQ39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Mensuelles'!AO39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Mensuelles'!AP39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Mensuelles'!AS39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Mensuelles'!AT39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Mensuelles'!Y39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Mensuelles'!V39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Mensuelles'!X39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Mensuelles'!AU39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Mensuelles'!W39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4536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4536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2:F42"/>
    <mergeCell ref="G42:I42"/>
    <mergeCell ref="J42:L42"/>
    <mergeCell ref="A43:F43"/>
    <mergeCell ref="G43:I43"/>
    <mergeCell ref="J43:L43"/>
    <mergeCell ref="A45:F45"/>
    <mergeCell ref="G45:I45"/>
    <mergeCell ref="J45:L45"/>
    <mergeCell ref="A46:L47"/>
    <mergeCell ref="A48:F48"/>
    <mergeCell ref="G48:L48"/>
    <mergeCell ref="A49:L51"/>
    <mergeCell ref="A52:F52"/>
    <mergeCell ref="G52:L54"/>
    <mergeCell ref="G34:I34"/>
    <mergeCell ref="A35:F35"/>
    <mergeCell ref="G35:I35"/>
    <mergeCell ref="A40:F40"/>
    <mergeCell ref="G40:I40"/>
    <mergeCell ref="J40:L40"/>
    <mergeCell ref="A41:F41"/>
    <mergeCell ref="G41:I41"/>
    <mergeCell ref="J41:L41"/>
    <mergeCell ref="A36:F36"/>
    <mergeCell ref="G36:I36"/>
    <mergeCell ref="J36:L36"/>
    <mergeCell ref="A37:F37"/>
    <mergeCell ref="G37:I37"/>
    <mergeCell ref="A53:C53"/>
    <mergeCell ref="D53:F53"/>
    <mergeCell ref="A54:C54"/>
    <mergeCell ref="D54:F54"/>
    <mergeCell ref="A20:C20"/>
    <mergeCell ref="A29:F29"/>
    <mergeCell ref="G29:I29"/>
    <mergeCell ref="J29:L29"/>
    <mergeCell ref="A30:F30"/>
    <mergeCell ref="G30:I30"/>
    <mergeCell ref="J30:L30"/>
    <mergeCell ref="J27:L27"/>
    <mergeCell ref="A27:F27"/>
    <mergeCell ref="G27:I27"/>
    <mergeCell ref="J28:L28"/>
    <mergeCell ref="A28:F28"/>
    <mergeCell ref="G28:I28"/>
    <mergeCell ref="E20:G20"/>
    <mergeCell ref="I20:K20"/>
    <mergeCell ref="A21:L22"/>
    <mergeCell ref="A23:L23"/>
    <mergeCell ref="A24:F25"/>
    <mergeCell ref="G24:I25"/>
    <mergeCell ref="J24:L25"/>
    <mergeCell ref="A26:F2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34:F34"/>
    <mergeCell ref="A1:L1"/>
    <mergeCell ref="A2:L2"/>
    <mergeCell ref="A3:L3"/>
    <mergeCell ref="A4:L4"/>
    <mergeCell ref="A6:L7"/>
    <mergeCell ref="A5:L5"/>
    <mergeCell ref="A13:L14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15:L15"/>
    <mergeCell ref="A16:C16"/>
    <mergeCell ref="E16:G16"/>
    <mergeCell ref="A55:L56"/>
    <mergeCell ref="G26:I26"/>
    <mergeCell ref="J26:L26"/>
    <mergeCell ref="A44:F44"/>
    <mergeCell ref="G44:I44"/>
    <mergeCell ref="J44:L44"/>
    <mergeCell ref="A31:F31"/>
    <mergeCell ref="G31:I31"/>
    <mergeCell ref="J31:L31"/>
    <mergeCell ref="J37:L37"/>
    <mergeCell ref="A38:F38"/>
    <mergeCell ref="G38:I38"/>
    <mergeCell ref="J38:L38"/>
    <mergeCell ref="A39:F39"/>
    <mergeCell ref="G39:I39"/>
    <mergeCell ref="J39:L39"/>
    <mergeCell ref="A32:F32"/>
    <mergeCell ref="G32:I32"/>
    <mergeCell ref="J32:L32"/>
    <mergeCell ref="J33:L33"/>
    <mergeCell ref="A33:F33"/>
    <mergeCell ref="G33:I33"/>
    <mergeCell ref="J34:L34"/>
    <mergeCell ref="J35:L35"/>
  </mergeCells>
  <pageMargins left="0.7" right="0.7" top="0.75" bottom="0.75" header="0.3" footer="0.3"/>
  <pageSetup paperSize="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1374-2618-4DA1-9D2B-BD05A70EAE7F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Mensuelles'!B40</f>
        <v>ISMAIL KHAN</v>
      </c>
      <c r="E8" s="479"/>
      <c r="F8" s="480"/>
      <c r="G8" s="471"/>
      <c r="H8" s="494" t="s">
        <v>201</v>
      </c>
      <c r="I8" s="495"/>
      <c r="J8" s="496">
        <f>'Infos Mensuelles'!F40</f>
        <v>20021067796071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Mensuelles'!D40</f>
        <v>45287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Mensuelles'!C40</f>
        <v>Shahzad</v>
      </c>
      <c r="E11" s="479"/>
      <c r="F11" s="480"/>
      <c r="G11" s="471"/>
      <c r="H11" s="484" t="s">
        <v>204</v>
      </c>
      <c r="I11" s="485"/>
      <c r="J11" s="488" t="str">
        <f>'Infos Mensuelles'!G40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Mensuelles'!L40</f>
        <v>26</v>
      </c>
      <c r="E16" s="444" t="s">
        <v>207</v>
      </c>
      <c r="F16" s="445"/>
      <c r="G16" s="445"/>
      <c r="H16" s="36">
        <f>'Infos Mensuelles'!S40</f>
        <v>0</v>
      </c>
      <c r="I16" s="446" t="s">
        <v>208</v>
      </c>
      <c r="J16" s="447"/>
      <c r="K16" s="447"/>
      <c r="L16" s="28">
        <f>'Infos Mensuelles'!AE40</f>
        <v>3</v>
      </c>
    </row>
    <row r="17" spans="1:18">
      <c r="A17" s="421" t="s">
        <v>209</v>
      </c>
      <c r="B17" s="422"/>
      <c r="C17" s="422"/>
      <c r="D17" s="29">
        <f>'Infos Mensuelles'!N40</f>
        <v>0</v>
      </c>
      <c r="E17" s="421" t="s">
        <v>210</v>
      </c>
      <c r="F17" s="422"/>
      <c r="G17" s="422"/>
      <c r="H17" s="37">
        <f>'Infos Mensuelles'!T40</f>
        <v>0</v>
      </c>
      <c r="I17" s="448" t="s">
        <v>211</v>
      </c>
      <c r="J17" s="449"/>
      <c r="K17" s="449"/>
      <c r="L17" s="30">
        <f>'Infos Mensuelles'!AH40</f>
        <v>0</v>
      </c>
    </row>
    <row r="18" spans="1:18">
      <c r="A18" s="421" t="s">
        <v>212</v>
      </c>
      <c r="B18" s="422"/>
      <c r="C18" s="422"/>
      <c r="D18" s="29">
        <f>'Infos Mensuelles'!M40</f>
        <v>3</v>
      </c>
      <c r="E18" s="23" t="s">
        <v>213</v>
      </c>
      <c r="F18" s="24"/>
      <c r="G18" s="24"/>
      <c r="H18" s="37">
        <f>'Infos Mensuelles'!U40</f>
        <v>0</v>
      </c>
      <c r="I18" s="421" t="s">
        <v>214</v>
      </c>
      <c r="J18" s="422"/>
      <c r="K18" s="422"/>
      <c r="L18" s="30">
        <f>'Infos Mensuelles'!AL40</f>
        <v>2</v>
      </c>
    </row>
    <row r="19" spans="1:18">
      <c r="A19" s="421" t="s">
        <v>215</v>
      </c>
      <c r="B19" s="422"/>
      <c r="C19" s="422"/>
      <c r="D19" s="33">
        <f>'Infos Mensuelles'!P40</f>
        <v>2</v>
      </c>
      <c r="E19" s="421" t="s">
        <v>216</v>
      </c>
      <c r="F19" s="422"/>
      <c r="G19" s="422"/>
      <c r="H19" s="37">
        <f>'Infos Mensuelles'!R40</f>
        <v>0</v>
      </c>
      <c r="I19" s="421" t="s">
        <v>217</v>
      </c>
      <c r="J19" s="422"/>
      <c r="K19" s="422"/>
      <c r="L19" s="32">
        <f>'Infos Mensuelles'!O40</f>
        <v>0</v>
      </c>
    </row>
    <row r="20" spans="1:18">
      <c r="A20" s="419" t="s">
        <v>218</v>
      </c>
      <c r="B20" s="420"/>
      <c r="C20" s="420"/>
      <c r="D20" s="31">
        <f>'Infos Mensuelles'!Q40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Mensuelles'!H40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Mensuelles'!I40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Mensuelles'!J40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Mensuelles'!AG40</f>
        <v>36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Mensuelles'!AJ40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Mensuelles'!AN40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Mensuelles'!AQ40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Mensuelles'!AO40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Mensuelles'!AP40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Mensuelles'!AS40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Mensuelles'!AT40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Mensuelles'!Y40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Mensuelles'!V40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Mensuelles'!X40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Mensuelles'!AU40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Mensuelles'!W40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4512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4512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9128-C7DB-4B73-9E99-E1D14E068FA6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Mensuelles'!B41</f>
        <v>KANDIRUTHY ACHUTHAN KANDIRUTHY KARAPAN</v>
      </c>
      <c r="E8" s="479"/>
      <c r="F8" s="480"/>
      <c r="G8" s="471"/>
      <c r="H8" s="494" t="s">
        <v>201</v>
      </c>
      <c r="I8" s="495"/>
      <c r="J8" s="496">
        <f>'Infos Mensuelles'!F41</f>
        <v>10020037771919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Mensuelles'!D41</f>
        <v>44525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Mensuelles'!C41</f>
        <v>Shiju</v>
      </c>
      <c r="E11" s="479"/>
      <c r="F11" s="480"/>
      <c r="G11" s="471"/>
      <c r="H11" s="484" t="s">
        <v>204</v>
      </c>
      <c r="I11" s="485"/>
      <c r="J11" s="488" t="str">
        <f>'Infos Mensuelles'!G41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Mensuelles'!L41</f>
        <v>28</v>
      </c>
      <c r="E16" s="444" t="s">
        <v>207</v>
      </c>
      <c r="F16" s="445"/>
      <c r="G16" s="445"/>
      <c r="H16" s="36">
        <f>'Infos Mensuelles'!S41</f>
        <v>0</v>
      </c>
      <c r="I16" s="446" t="s">
        <v>208</v>
      </c>
      <c r="J16" s="447"/>
      <c r="K16" s="447"/>
      <c r="L16" s="28">
        <f>'Infos Mensuelles'!AE41</f>
        <v>11</v>
      </c>
    </row>
    <row r="17" spans="1:18">
      <c r="A17" s="421" t="s">
        <v>209</v>
      </c>
      <c r="B17" s="422"/>
      <c r="C17" s="422"/>
      <c r="D17" s="29">
        <f>'Infos Mensuelles'!N41</f>
        <v>0</v>
      </c>
      <c r="E17" s="421" t="s">
        <v>210</v>
      </c>
      <c r="F17" s="422"/>
      <c r="G17" s="422"/>
      <c r="H17" s="37">
        <f>'Infos Mensuelles'!T41</f>
        <v>0</v>
      </c>
      <c r="I17" s="448" t="s">
        <v>211</v>
      </c>
      <c r="J17" s="449"/>
      <c r="K17" s="449"/>
      <c r="L17" s="30">
        <f>'Infos Mensuelles'!AH41</f>
        <v>0</v>
      </c>
    </row>
    <row r="18" spans="1:18">
      <c r="A18" s="421" t="s">
        <v>212</v>
      </c>
      <c r="B18" s="422"/>
      <c r="C18" s="422"/>
      <c r="D18" s="29">
        <f>'Infos Mensuelles'!M41</f>
        <v>3</v>
      </c>
      <c r="E18" s="23" t="s">
        <v>213</v>
      </c>
      <c r="F18" s="24"/>
      <c r="G18" s="24"/>
      <c r="H18" s="37">
        <f>'Infos Mensuelles'!U41</f>
        <v>0</v>
      </c>
      <c r="I18" s="421" t="s">
        <v>214</v>
      </c>
      <c r="J18" s="422"/>
      <c r="K18" s="422"/>
      <c r="L18" s="30">
        <f>'Infos Mensuelles'!AL41</f>
        <v>2</v>
      </c>
    </row>
    <row r="19" spans="1:18">
      <c r="A19" s="421" t="s">
        <v>215</v>
      </c>
      <c r="B19" s="422"/>
      <c r="C19" s="422"/>
      <c r="D19" s="33">
        <f>'Infos Mensuelles'!P41</f>
        <v>0</v>
      </c>
      <c r="E19" s="421" t="s">
        <v>216</v>
      </c>
      <c r="F19" s="422"/>
      <c r="G19" s="422"/>
      <c r="H19" s="37">
        <f>'Infos Mensuelles'!R41</f>
        <v>0</v>
      </c>
      <c r="I19" s="421" t="s">
        <v>217</v>
      </c>
      <c r="J19" s="422"/>
      <c r="K19" s="422"/>
      <c r="L19" s="32">
        <f>'Infos Mensuelles'!O41</f>
        <v>0</v>
      </c>
    </row>
    <row r="20" spans="1:18">
      <c r="A20" s="419" t="s">
        <v>218</v>
      </c>
      <c r="B20" s="420"/>
      <c r="C20" s="420"/>
      <c r="D20" s="31">
        <f>'Infos Mensuelles'!Q41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Mensuelles'!H41</f>
        <v>2640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Mensuelles'!I41</f>
        <v>880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Mensuelles'!J41</f>
        <v>880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Mensuelles'!AG41</f>
        <v>132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Mensuelles'!AJ41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Mensuelles'!AN41</f>
        <v>290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Mensuelles'!AQ41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Mensuelles'!AO41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Mensuelles'!AP41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Mensuelles'!AS41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Mensuelles'!AT41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Mensuelles'!Y41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Mensuelles'!V41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Mensuelles'!X41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Mensuelles'!AU41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Mensuelles'!W41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4822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4822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G45:I45"/>
    <mergeCell ref="J45:L45"/>
    <mergeCell ref="A46:L47"/>
    <mergeCell ref="A48:F48"/>
    <mergeCell ref="G48:L48"/>
    <mergeCell ref="A53:C53"/>
    <mergeCell ref="G40:I40"/>
    <mergeCell ref="J39:L39"/>
    <mergeCell ref="A37:F37"/>
    <mergeCell ref="G37:I37"/>
    <mergeCell ref="D53:F53"/>
    <mergeCell ref="J40:L40"/>
    <mergeCell ref="A41:F41"/>
    <mergeCell ref="G41:I41"/>
    <mergeCell ref="J41:L41"/>
    <mergeCell ref="A42:F42"/>
    <mergeCell ref="G42:I42"/>
    <mergeCell ref="J42:L42"/>
    <mergeCell ref="A49:L51"/>
    <mergeCell ref="A52:F52"/>
    <mergeCell ref="G52:L54"/>
    <mergeCell ref="A54:C54"/>
    <mergeCell ref="D54:F54"/>
    <mergeCell ref="A43:F43"/>
    <mergeCell ref="G43:I43"/>
    <mergeCell ref="J43:L43"/>
    <mergeCell ref="A44:F44"/>
    <mergeCell ref="G44:I44"/>
    <mergeCell ref="J44:L44"/>
    <mergeCell ref="A45:F45"/>
    <mergeCell ref="A17:C17"/>
    <mergeCell ref="E17:G17"/>
    <mergeCell ref="I17:K17"/>
    <mergeCell ref="A18:C18"/>
    <mergeCell ref="I18:K18"/>
    <mergeCell ref="A36:F36"/>
    <mergeCell ref="A38:F38"/>
    <mergeCell ref="G38:I38"/>
    <mergeCell ref="A39:F39"/>
    <mergeCell ref="G39:I39"/>
    <mergeCell ref="A19:C19"/>
    <mergeCell ref="E19:G19"/>
    <mergeCell ref="I19:K19"/>
    <mergeCell ref="A20:C20"/>
    <mergeCell ref="E20:G20"/>
    <mergeCell ref="I20:K20"/>
    <mergeCell ref="A21:L22"/>
    <mergeCell ref="A34:F34"/>
    <mergeCell ref="G11:G12"/>
    <mergeCell ref="H11:I12"/>
    <mergeCell ref="J11:L12"/>
    <mergeCell ref="A13:L14"/>
    <mergeCell ref="A15:L15"/>
    <mergeCell ref="A16:C16"/>
    <mergeCell ref="E16:G16"/>
    <mergeCell ref="I16:K16"/>
    <mergeCell ref="A31:F31"/>
    <mergeCell ref="G31:I31"/>
    <mergeCell ref="A26:F26"/>
    <mergeCell ref="G26:I26"/>
    <mergeCell ref="J26:L26"/>
    <mergeCell ref="A30:F30"/>
    <mergeCell ref="G30:I30"/>
    <mergeCell ref="G35:I35"/>
    <mergeCell ref="J35:L35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G34:I34"/>
    <mergeCell ref="J34:L34"/>
    <mergeCell ref="A23:L23"/>
    <mergeCell ref="A24:F25"/>
    <mergeCell ref="G24:I25"/>
    <mergeCell ref="J24:L25"/>
    <mergeCell ref="A10:L10"/>
    <mergeCell ref="A11:C12"/>
    <mergeCell ref="D11:F12"/>
    <mergeCell ref="G36:I36"/>
    <mergeCell ref="A40:F40"/>
    <mergeCell ref="A29:F29"/>
    <mergeCell ref="G29:I29"/>
    <mergeCell ref="J36:L36"/>
    <mergeCell ref="A55:L56"/>
    <mergeCell ref="J27:L27"/>
    <mergeCell ref="J28:L28"/>
    <mergeCell ref="A27:F27"/>
    <mergeCell ref="G27:I27"/>
    <mergeCell ref="A28:F28"/>
    <mergeCell ref="G28:I28"/>
    <mergeCell ref="J37:L37"/>
    <mergeCell ref="J38:L38"/>
    <mergeCell ref="J32:L32"/>
    <mergeCell ref="A32:F32"/>
    <mergeCell ref="G32:I32"/>
    <mergeCell ref="A33:F33"/>
    <mergeCell ref="G33:I33"/>
    <mergeCell ref="J33:L33"/>
    <mergeCell ref="J31:L31"/>
    <mergeCell ref="J29:L29"/>
    <mergeCell ref="J30:L30"/>
    <mergeCell ref="A35:F35"/>
  </mergeCells>
  <pageMargins left="0.7" right="0.7" top="0.75" bottom="0.75" header="0.3" footer="0.3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F861-AC71-4A19-A82F-C80134D224CE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Mensuelles'!B42</f>
        <v>SIRAJUDHEEN THOTTIKULATHIL</v>
      </c>
      <c r="E8" s="479"/>
      <c r="F8" s="480"/>
      <c r="G8" s="471"/>
      <c r="H8" s="494" t="s">
        <v>201</v>
      </c>
      <c r="I8" s="495"/>
      <c r="J8" s="496">
        <f>'Infos Mensuelles'!F42</f>
        <v>10016058960893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Mensuelles'!D42</f>
        <v>44460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Mensuelles'!C42</f>
        <v>Muhammed</v>
      </c>
      <c r="E11" s="479"/>
      <c r="F11" s="480"/>
      <c r="G11" s="471"/>
      <c r="H11" s="484" t="s">
        <v>204</v>
      </c>
      <c r="I11" s="485"/>
      <c r="J11" s="488" t="str">
        <f>'Infos Mensuelles'!G42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Mensuelles'!L42</f>
        <v>27</v>
      </c>
      <c r="E16" s="444" t="s">
        <v>207</v>
      </c>
      <c r="F16" s="445"/>
      <c r="G16" s="445"/>
      <c r="H16" s="36">
        <f>'Infos Mensuelles'!S42</f>
        <v>0</v>
      </c>
      <c r="I16" s="446" t="s">
        <v>208</v>
      </c>
      <c r="J16" s="447"/>
      <c r="K16" s="447"/>
      <c r="L16" s="28">
        <f>'Infos Mensuelles'!AE42</f>
        <v>6</v>
      </c>
    </row>
    <row r="17" spans="1:18">
      <c r="A17" s="421" t="s">
        <v>209</v>
      </c>
      <c r="B17" s="422"/>
      <c r="C17" s="422"/>
      <c r="D17" s="29">
        <f>'Infos Mensuelles'!N42</f>
        <v>0</v>
      </c>
      <c r="E17" s="421" t="s">
        <v>210</v>
      </c>
      <c r="F17" s="422"/>
      <c r="G17" s="422"/>
      <c r="H17" s="37">
        <f>'Infos Mensuelles'!T42</f>
        <v>0</v>
      </c>
      <c r="I17" s="448" t="s">
        <v>211</v>
      </c>
      <c r="J17" s="449"/>
      <c r="K17" s="449"/>
      <c r="L17" s="30">
        <f>'Infos Mensuelles'!AH42</f>
        <v>0</v>
      </c>
    </row>
    <row r="18" spans="1:18">
      <c r="A18" s="421" t="s">
        <v>212</v>
      </c>
      <c r="B18" s="422"/>
      <c r="C18" s="422"/>
      <c r="D18" s="29">
        <f>'Infos Mensuelles'!M42</f>
        <v>4</v>
      </c>
      <c r="E18" s="23" t="s">
        <v>213</v>
      </c>
      <c r="F18" s="24"/>
      <c r="G18" s="24"/>
      <c r="H18" s="37">
        <f>'Infos Mensuelles'!U42</f>
        <v>0</v>
      </c>
      <c r="I18" s="421" t="s">
        <v>214</v>
      </c>
      <c r="J18" s="422"/>
      <c r="K18" s="422"/>
      <c r="L18" s="30">
        <f>'Infos Mensuelles'!AL42</f>
        <v>0</v>
      </c>
    </row>
    <row r="19" spans="1:18">
      <c r="A19" s="421" t="s">
        <v>215</v>
      </c>
      <c r="B19" s="422"/>
      <c r="C19" s="422"/>
      <c r="D19" s="33">
        <f>'Infos Mensuelles'!P42</f>
        <v>0</v>
      </c>
      <c r="E19" s="421" t="s">
        <v>216</v>
      </c>
      <c r="F19" s="422"/>
      <c r="G19" s="422"/>
      <c r="H19" s="37">
        <f>'Infos Mensuelles'!R42</f>
        <v>0</v>
      </c>
      <c r="I19" s="421" t="s">
        <v>217</v>
      </c>
      <c r="J19" s="422"/>
      <c r="K19" s="422"/>
      <c r="L19" s="32">
        <f>'Infos Mensuelles'!O42</f>
        <v>0</v>
      </c>
    </row>
    <row r="20" spans="1:18">
      <c r="A20" s="419" t="s">
        <v>218</v>
      </c>
      <c r="B20" s="420"/>
      <c r="C20" s="420"/>
      <c r="D20" s="31">
        <f>'Infos Mensuelles'!Q42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Mensuelles'!H42</f>
        <v>2640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Mensuelles'!I42</f>
        <v>880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Mensuelles'!J42</f>
        <v>880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Mensuelles'!AG42</f>
        <v>72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Mensuelles'!AJ42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Mensuelles'!AN42</f>
        <v>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Mensuelles'!AQ42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Mensuelles'!AO42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Mensuelles'!AP42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Mensuelles'!AS42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Mensuelles'!AT42</f>
        <v>200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Mensuelles'!Y42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Mensuelles'!V42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Mensuelles'!X42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Mensuelles'!AU42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Mensuelles'!W42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4472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4472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I20:K20"/>
    <mergeCell ref="A42:F42"/>
    <mergeCell ref="G42:I42"/>
    <mergeCell ref="J42:L42"/>
    <mergeCell ref="A43:F43"/>
    <mergeCell ref="J27:L27"/>
    <mergeCell ref="A27:F27"/>
    <mergeCell ref="G27:I27"/>
    <mergeCell ref="A21:L22"/>
    <mergeCell ref="G43:I43"/>
    <mergeCell ref="J43:L43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1:F31"/>
    <mergeCell ref="G31:I31"/>
    <mergeCell ref="J31:L31"/>
    <mergeCell ref="A32:F32"/>
    <mergeCell ref="G32:I32"/>
    <mergeCell ref="J32:L32"/>
    <mergeCell ref="J28:L28"/>
    <mergeCell ref="A28:F28"/>
    <mergeCell ref="G28:I28"/>
    <mergeCell ref="A29:F29"/>
    <mergeCell ref="G29:I29"/>
    <mergeCell ref="J29:L29"/>
    <mergeCell ref="A30:F30"/>
    <mergeCell ref="G30:I30"/>
    <mergeCell ref="J30:L30"/>
    <mergeCell ref="A13:L14"/>
    <mergeCell ref="A15:L15"/>
    <mergeCell ref="A16:C16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20:C20"/>
    <mergeCell ref="E20:G20"/>
    <mergeCell ref="A1:L1"/>
    <mergeCell ref="A2:L2"/>
    <mergeCell ref="A3:L3"/>
    <mergeCell ref="A4:L4"/>
    <mergeCell ref="A6:L7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23:L23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36:F36"/>
    <mergeCell ref="G36:I36"/>
    <mergeCell ref="J36:L36"/>
    <mergeCell ref="A37:F37"/>
    <mergeCell ref="G37:I37"/>
    <mergeCell ref="J33:L33"/>
    <mergeCell ref="A33:F33"/>
    <mergeCell ref="G33:I33"/>
    <mergeCell ref="J34:L34"/>
    <mergeCell ref="J35:L35"/>
    <mergeCell ref="A34:F34"/>
    <mergeCell ref="G34:I34"/>
    <mergeCell ref="A35:F35"/>
    <mergeCell ref="G35:I35"/>
    <mergeCell ref="A54:C54"/>
    <mergeCell ref="D54:F54"/>
    <mergeCell ref="A55:L56"/>
    <mergeCell ref="A45:F45"/>
    <mergeCell ref="G45:I45"/>
    <mergeCell ref="J45:L45"/>
    <mergeCell ref="A46:L47"/>
    <mergeCell ref="A48:F48"/>
    <mergeCell ref="G48:L48"/>
    <mergeCell ref="A49:L51"/>
    <mergeCell ref="A53:C53"/>
    <mergeCell ref="D53:F53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66F2-3586-44CF-9A60-9E57FC37A193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Mensuelles'!B43</f>
        <v>KHALID MUHAMMAD KHALID</v>
      </c>
      <c r="E8" s="479"/>
      <c r="F8" s="480"/>
      <c r="G8" s="471"/>
      <c r="H8" s="494" t="s">
        <v>201</v>
      </c>
      <c r="I8" s="495"/>
      <c r="J8" s="496">
        <f>'Infos Mensuelles'!F43</f>
        <v>20008089268334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Mensuelles'!D43</f>
        <v>45240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Mensuelles'!C43</f>
        <v xml:space="preserve">Sohail </v>
      </c>
      <c r="E11" s="479"/>
      <c r="F11" s="480"/>
      <c r="G11" s="471"/>
      <c r="H11" s="484" t="s">
        <v>204</v>
      </c>
      <c r="I11" s="485"/>
      <c r="J11" s="488" t="str">
        <f>'Infos Mensuelles'!G43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Mensuelles'!L43</f>
        <v>28</v>
      </c>
      <c r="E16" s="444" t="s">
        <v>207</v>
      </c>
      <c r="F16" s="445"/>
      <c r="G16" s="445"/>
      <c r="H16" s="36">
        <f>'Infos Mensuelles'!S43</f>
        <v>0</v>
      </c>
      <c r="I16" s="446" t="s">
        <v>208</v>
      </c>
      <c r="J16" s="447"/>
      <c r="K16" s="447"/>
      <c r="L16" s="28">
        <f>'Infos Mensuelles'!AE43</f>
        <v>11</v>
      </c>
    </row>
    <row r="17" spans="1:18">
      <c r="A17" s="421" t="s">
        <v>209</v>
      </c>
      <c r="B17" s="422"/>
      <c r="C17" s="422"/>
      <c r="D17" s="29">
        <f>'Infos Mensuelles'!N43</f>
        <v>0</v>
      </c>
      <c r="E17" s="421" t="s">
        <v>210</v>
      </c>
      <c r="F17" s="422"/>
      <c r="G17" s="422"/>
      <c r="H17" s="37">
        <f>'Infos Mensuelles'!T43</f>
        <v>0</v>
      </c>
      <c r="I17" s="448" t="s">
        <v>211</v>
      </c>
      <c r="J17" s="449"/>
      <c r="K17" s="449"/>
      <c r="L17" s="30">
        <f>'Infos Mensuelles'!AH43</f>
        <v>0</v>
      </c>
    </row>
    <row r="18" spans="1:18">
      <c r="A18" s="421" t="s">
        <v>212</v>
      </c>
      <c r="B18" s="422"/>
      <c r="C18" s="422"/>
      <c r="D18" s="29">
        <f>'Infos Mensuelles'!M43</f>
        <v>3</v>
      </c>
      <c r="E18" s="23" t="s">
        <v>213</v>
      </c>
      <c r="F18" s="24"/>
      <c r="G18" s="24"/>
      <c r="H18" s="37">
        <f>'Infos Mensuelles'!U43</f>
        <v>0</v>
      </c>
      <c r="I18" s="421" t="s">
        <v>214</v>
      </c>
      <c r="J18" s="422"/>
      <c r="K18" s="422"/>
      <c r="L18" s="30">
        <f>'Infos Mensuelles'!AL43</f>
        <v>2</v>
      </c>
    </row>
    <row r="19" spans="1:18">
      <c r="A19" s="421" t="s">
        <v>215</v>
      </c>
      <c r="B19" s="422"/>
      <c r="C19" s="422"/>
      <c r="D19" s="29">
        <f>'Infos Mensuelles'!P43</f>
        <v>0</v>
      </c>
      <c r="E19" s="421" t="s">
        <v>216</v>
      </c>
      <c r="F19" s="422"/>
      <c r="G19" s="422"/>
      <c r="H19" s="37">
        <f>'Infos Mensuelles'!R43</f>
        <v>0</v>
      </c>
      <c r="I19" s="421" t="s">
        <v>217</v>
      </c>
      <c r="J19" s="422"/>
      <c r="K19" s="422"/>
      <c r="L19" s="32">
        <f>'Infos Mensuelles'!O43</f>
        <v>0</v>
      </c>
    </row>
    <row r="20" spans="1:18">
      <c r="A20" s="419" t="s">
        <v>218</v>
      </c>
      <c r="B20" s="420"/>
      <c r="C20" s="420"/>
      <c r="D20" s="31">
        <f>'Infos Mensuelles'!Q43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 customHeight="1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Mensuelles'!H43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Mensuelles'!I43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Mensuelles'!J43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Mensuelles'!AG43</f>
        <v>132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Mensuelles'!AJ43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Mensuelles'!AN43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Mensuelles'!AQ43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Mensuelles'!AO43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Mensuelles'!AP43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Mensuelles'!AS43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Mensuelles'!AT43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Mensuelles'!Y43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Mensuelles'!V43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Mensuelles'!X43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Mensuelles'!AU43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Mensuelles'!W43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4608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4608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3:F43"/>
    <mergeCell ref="G43:I43"/>
    <mergeCell ref="J43:L43"/>
    <mergeCell ref="A40:F40"/>
    <mergeCell ref="A41:F41"/>
    <mergeCell ref="G41:I41"/>
    <mergeCell ref="J41:L41"/>
    <mergeCell ref="G40:I40"/>
    <mergeCell ref="J40:L40"/>
    <mergeCell ref="A20:C20"/>
    <mergeCell ref="E20:G20"/>
    <mergeCell ref="I20:K20"/>
    <mergeCell ref="G32:I32"/>
    <mergeCell ref="J32:L32"/>
    <mergeCell ref="J29:L29"/>
    <mergeCell ref="A30:F30"/>
    <mergeCell ref="G30:I30"/>
    <mergeCell ref="J30:L30"/>
    <mergeCell ref="A21:L22"/>
    <mergeCell ref="A23:L23"/>
    <mergeCell ref="A24:F25"/>
    <mergeCell ref="G24:I25"/>
    <mergeCell ref="J24:L25"/>
    <mergeCell ref="A26:F26"/>
    <mergeCell ref="G26:I26"/>
    <mergeCell ref="J26:L26"/>
    <mergeCell ref="J28:L28"/>
    <mergeCell ref="A28:F28"/>
    <mergeCell ref="G29:I29"/>
    <mergeCell ref="A15:L15"/>
    <mergeCell ref="E16:G16"/>
    <mergeCell ref="I16:K16"/>
    <mergeCell ref="A17:C17"/>
    <mergeCell ref="E17:G17"/>
    <mergeCell ref="I17:K17"/>
    <mergeCell ref="A18:C18"/>
    <mergeCell ref="I18:K18"/>
    <mergeCell ref="J34:L34"/>
    <mergeCell ref="A34:F34"/>
    <mergeCell ref="G34:I34"/>
    <mergeCell ref="J27:L27"/>
    <mergeCell ref="A27:F27"/>
    <mergeCell ref="G27:I27"/>
    <mergeCell ref="A31:F31"/>
    <mergeCell ref="G31:I31"/>
    <mergeCell ref="J31:L31"/>
    <mergeCell ref="A32:F32"/>
    <mergeCell ref="A16:C16"/>
    <mergeCell ref="A19:C19"/>
    <mergeCell ref="G28:I28"/>
    <mergeCell ref="A29:F29"/>
    <mergeCell ref="E19:G19"/>
    <mergeCell ref="I19:K19"/>
    <mergeCell ref="A1:L1"/>
    <mergeCell ref="A2:L2"/>
    <mergeCell ref="A3:L3"/>
    <mergeCell ref="A4:L4"/>
    <mergeCell ref="A6:L7"/>
    <mergeCell ref="A13:L14"/>
    <mergeCell ref="A5:L5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  <mergeCell ref="A55:L56"/>
    <mergeCell ref="A45:F45"/>
    <mergeCell ref="G45:I45"/>
    <mergeCell ref="J45:L45"/>
    <mergeCell ref="A46:L47"/>
    <mergeCell ref="A48:F48"/>
    <mergeCell ref="G48:L48"/>
    <mergeCell ref="A53:C53"/>
    <mergeCell ref="D53:F53"/>
    <mergeCell ref="A54:C54"/>
    <mergeCell ref="D54:F54"/>
    <mergeCell ref="A49:L51"/>
    <mergeCell ref="A52:F52"/>
    <mergeCell ref="G52:L54"/>
    <mergeCell ref="J33:L33"/>
    <mergeCell ref="A33:F33"/>
    <mergeCell ref="J37:L37"/>
    <mergeCell ref="A38:F38"/>
    <mergeCell ref="G38:I38"/>
    <mergeCell ref="J38:L38"/>
    <mergeCell ref="A39:F39"/>
    <mergeCell ref="A44:F44"/>
    <mergeCell ref="G44:I44"/>
    <mergeCell ref="J44:L44"/>
    <mergeCell ref="A36:F36"/>
    <mergeCell ref="G36:I36"/>
    <mergeCell ref="J36:L36"/>
    <mergeCell ref="A37:F37"/>
    <mergeCell ref="G37:I37"/>
    <mergeCell ref="G39:I39"/>
    <mergeCell ref="J39:L39"/>
    <mergeCell ref="G33:I33"/>
    <mergeCell ref="J35:L35"/>
    <mergeCell ref="A35:F35"/>
    <mergeCell ref="G35:I35"/>
    <mergeCell ref="A42:F42"/>
    <mergeCell ref="G42:I42"/>
    <mergeCell ref="J42:L42"/>
  </mergeCells>
  <pageMargins left="0.7" right="0.7" top="0.75" bottom="0.75" header="0.3" footer="0.3"/>
  <pageSetup fitToHeight="0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F79A-E60D-4EEF-A948-EE6F19FCB0DC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Mensuelles'!B44</f>
        <v>SOMAN MALLAKSHY CHANDRASEKHARAN</v>
      </c>
      <c r="E8" s="479"/>
      <c r="F8" s="480"/>
      <c r="G8" s="471"/>
      <c r="H8" s="494" t="s">
        <v>201</v>
      </c>
      <c r="I8" s="495"/>
      <c r="J8" s="496">
        <f>'Infos Mensuelles'!F44</f>
        <v>10003028452154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Mensuelles'!D44</f>
        <v>43545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Mensuelles'!C44</f>
        <v>Sumesh</v>
      </c>
      <c r="E11" s="479"/>
      <c r="F11" s="480"/>
      <c r="G11" s="471"/>
      <c r="H11" s="484" t="s">
        <v>204</v>
      </c>
      <c r="I11" s="485"/>
      <c r="J11" s="488" t="str">
        <f>'Infos Mensuelles'!G44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Mensuelles'!L44</f>
        <v>27</v>
      </c>
      <c r="E16" s="444" t="s">
        <v>207</v>
      </c>
      <c r="F16" s="445"/>
      <c r="G16" s="445"/>
      <c r="H16" s="36">
        <f>'Infos Mensuelles'!S44</f>
        <v>0</v>
      </c>
      <c r="I16" s="446" t="s">
        <v>208</v>
      </c>
      <c r="J16" s="447"/>
      <c r="K16" s="447"/>
      <c r="L16" s="28">
        <f>'Infos Mensuelles'!AE44</f>
        <v>23</v>
      </c>
    </row>
    <row r="17" spans="1:18">
      <c r="A17" s="421" t="s">
        <v>209</v>
      </c>
      <c r="B17" s="422"/>
      <c r="C17" s="422"/>
      <c r="D17" s="29">
        <f>'Infos Mensuelles'!N44</f>
        <v>0</v>
      </c>
      <c r="E17" s="421" t="s">
        <v>210</v>
      </c>
      <c r="F17" s="422"/>
      <c r="G17" s="422"/>
      <c r="H17" s="37">
        <f>'Infos Mensuelles'!T44</f>
        <v>0</v>
      </c>
      <c r="I17" s="448" t="s">
        <v>211</v>
      </c>
      <c r="J17" s="449"/>
      <c r="K17" s="449"/>
      <c r="L17" s="30">
        <f>'Infos Mensuelles'!AH44</f>
        <v>0</v>
      </c>
    </row>
    <row r="18" spans="1:18">
      <c r="A18" s="421" t="s">
        <v>212</v>
      </c>
      <c r="B18" s="422"/>
      <c r="C18" s="422"/>
      <c r="D18" s="29">
        <f>'Infos Mensuelles'!M44</f>
        <v>4</v>
      </c>
      <c r="E18" s="23" t="s">
        <v>213</v>
      </c>
      <c r="F18" s="24"/>
      <c r="G18" s="24"/>
      <c r="H18" s="37">
        <f>'Infos Mensuelles'!U44</f>
        <v>0</v>
      </c>
      <c r="I18" s="421" t="s">
        <v>214</v>
      </c>
      <c r="J18" s="422"/>
      <c r="K18" s="422"/>
      <c r="L18" s="30">
        <f>'Infos Mensuelles'!AL44</f>
        <v>0</v>
      </c>
    </row>
    <row r="19" spans="1:18">
      <c r="A19" s="421" t="s">
        <v>215</v>
      </c>
      <c r="B19" s="422"/>
      <c r="C19" s="422"/>
      <c r="D19" s="33">
        <f>'Infos Mensuelles'!P44</f>
        <v>0</v>
      </c>
      <c r="E19" s="421" t="s">
        <v>216</v>
      </c>
      <c r="F19" s="422"/>
      <c r="G19" s="422"/>
      <c r="H19" s="37">
        <f>'Infos Mensuelles'!R44</f>
        <v>0</v>
      </c>
      <c r="I19" s="421" t="s">
        <v>217</v>
      </c>
      <c r="J19" s="422"/>
      <c r="K19" s="422"/>
      <c r="L19" s="32">
        <f>'Infos Mensuelles'!O44</f>
        <v>0</v>
      </c>
    </row>
    <row r="20" spans="1:18">
      <c r="A20" s="419" t="s">
        <v>218</v>
      </c>
      <c r="B20" s="420"/>
      <c r="C20" s="420"/>
      <c r="D20" s="31">
        <f>'Infos Mensuelles'!Q44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Mensuelles'!H44</f>
        <v>2700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Mensuelles'!I44</f>
        <v>900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Mensuelles'!J44</f>
        <v>900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Mensuelles'!AG44</f>
        <v>276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Mensuelles'!AJ44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Mensuelles'!AN44</f>
        <v>0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Mensuelles'!AQ44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Mensuelles'!AO44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Mensuelles'!AP44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Mensuelles'!AS44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Mensuelles'!AT44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Mensuelles'!Y44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Mensuelles'!V44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Mensuelles'!X44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Mensuelles'!AU44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Mensuelles'!W44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4776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4776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  <mergeCell ref="G36:I36"/>
    <mergeCell ref="J36:L36"/>
    <mergeCell ref="G24:I25"/>
    <mergeCell ref="J24:L25"/>
    <mergeCell ref="J28:L28"/>
    <mergeCell ref="A28:F28"/>
    <mergeCell ref="G28:I28"/>
    <mergeCell ref="A40:F40"/>
    <mergeCell ref="G40:I40"/>
    <mergeCell ref="J40:L40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  <pageSetup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78CA-278E-4EE7-8ECE-8B0BD67BC4DC}"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Mensuelles'!B45</f>
        <v>WASEEM MUHAMMAD</v>
      </c>
      <c r="E8" s="479"/>
      <c r="F8" s="480"/>
      <c r="G8" s="471"/>
      <c r="H8" s="494" t="s">
        <v>201</v>
      </c>
      <c r="I8" s="495"/>
      <c r="J8" s="496">
        <f>'Infos Mensuelles'!F45</f>
        <v>20001018332487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Mensuelles'!D45</f>
        <v>44726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Mensuelles'!C45</f>
        <v>Usman</v>
      </c>
      <c r="E11" s="479"/>
      <c r="F11" s="480"/>
      <c r="G11" s="471"/>
      <c r="H11" s="484" t="s">
        <v>204</v>
      </c>
      <c r="I11" s="485"/>
      <c r="J11" s="488" t="str">
        <f>'Infos Mensuelles'!G45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Mensuelles'!L45</f>
        <v>28</v>
      </c>
      <c r="E16" s="444" t="s">
        <v>207</v>
      </c>
      <c r="F16" s="445"/>
      <c r="G16" s="445"/>
      <c r="H16" s="36">
        <f>'Infos Mensuelles'!S45</f>
        <v>0</v>
      </c>
      <c r="I16" s="446" t="s">
        <v>208</v>
      </c>
      <c r="J16" s="447"/>
      <c r="K16" s="447"/>
      <c r="L16" s="28">
        <f>'Infos Mensuelles'!AE45</f>
        <v>1</v>
      </c>
    </row>
    <row r="17" spans="1:18">
      <c r="A17" s="421" t="s">
        <v>209</v>
      </c>
      <c r="B17" s="422"/>
      <c r="C17" s="422"/>
      <c r="D17" s="29">
        <f>'Infos Mensuelles'!N45</f>
        <v>0</v>
      </c>
      <c r="E17" s="421" t="s">
        <v>210</v>
      </c>
      <c r="F17" s="422"/>
      <c r="G17" s="422"/>
      <c r="H17" s="37">
        <f>'Infos Mensuelles'!T45</f>
        <v>0</v>
      </c>
      <c r="I17" s="448" t="s">
        <v>211</v>
      </c>
      <c r="J17" s="449"/>
      <c r="K17" s="449"/>
      <c r="L17" s="30">
        <f>'Infos Mensuelles'!AH45</f>
        <v>0</v>
      </c>
    </row>
    <row r="18" spans="1:18">
      <c r="A18" s="421" t="s">
        <v>212</v>
      </c>
      <c r="B18" s="422"/>
      <c r="C18" s="422"/>
      <c r="D18" s="29">
        <f>'Infos Mensuelles'!M45</f>
        <v>3</v>
      </c>
      <c r="E18" s="23" t="s">
        <v>213</v>
      </c>
      <c r="F18" s="24"/>
      <c r="G18" s="24"/>
      <c r="H18" s="37">
        <f>'Infos Mensuelles'!U45</f>
        <v>0</v>
      </c>
      <c r="I18" s="421" t="s">
        <v>214</v>
      </c>
      <c r="J18" s="422"/>
      <c r="K18" s="422"/>
      <c r="L18" s="30">
        <f>'Infos Mensuelles'!AL45</f>
        <v>2</v>
      </c>
    </row>
    <row r="19" spans="1:18">
      <c r="A19" s="421" t="s">
        <v>215</v>
      </c>
      <c r="B19" s="422"/>
      <c r="C19" s="422"/>
      <c r="D19" s="33">
        <f>'Infos Mensuelles'!P45</f>
        <v>0</v>
      </c>
      <c r="E19" s="421" t="s">
        <v>216</v>
      </c>
      <c r="F19" s="422"/>
      <c r="G19" s="422"/>
      <c r="H19" s="37">
        <f>'Infos Mensuelles'!R45</f>
        <v>0</v>
      </c>
      <c r="I19" s="421" t="s">
        <v>217</v>
      </c>
      <c r="J19" s="422"/>
      <c r="K19" s="422"/>
      <c r="L19" s="32">
        <f>'Infos Mensuelles'!O45</f>
        <v>0</v>
      </c>
    </row>
    <row r="20" spans="1:18">
      <c r="A20" s="419" t="s">
        <v>218</v>
      </c>
      <c r="B20" s="420"/>
      <c r="C20" s="420"/>
      <c r="D20" s="31">
        <f>'Infos Mensuelles'!Q45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Mensuelles'!H45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Mensuelles'!I45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Mensuelles'!J45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Mensuelles'!AG45</f>
        <v>12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Mensuelles'!AJ45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Mensuelles'!AN45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Mensuelles'!AQ45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Mensuelles'!AO45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Mensuelles'!AP45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Mensuelles'!AS45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Mensuelles'!AT45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Mensuelles'!Y45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Mensuelles'!V45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Mensuelles'!X45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Mensuelles'!AU45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Mensuelles'!W45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4594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4594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A49:L51"/>
    <mergeCell ref="A52:F52"/>
    <mergeCell ref="G52:L54"/>
    <mergeCell ref="G36:I36"/>
    <mergeCell ref="J36:L36"/>
    <mergeCell ref="G24:I25"/>
    <mergeCell ref="J24:L25"/>
    <mergeCell ref="J28:L28"/>
    <mergeCell ref="A28:F28"/>
    <mergeCell ref="G28:I28"/>
    <mergeCell ref="A40:F40"/>
    <mergeCell ref="G40:I40"/>
    <mergeCell ref="J40:L40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A2E4-339A-4E57-A187-A39E045C5639}">
  <sheetPr>
    <pageSetUpPr fitToPage="1"/>
  </sheetPr>
  <dimension ref="A1:T56"/>
  <sheetViews>
    <sheetView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Mensuelles'!B46</f>
        <v>NISAR MUHAMMAD</v>
      </c>
      <c r="E8" s="479"/>
      <c r="F8" s="480"/>
      <c r="G8" s="471"/>
      <c r="H8" s="494" t="s">
        <v>201</v>
      </c>
      <c r="I8" s="495"/>
      <c r="J8" s="496">
        <f>'Infos Mensuelles'!F46</f>
        <v>20001019050434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Mensuelles'!D46</f>
        <v>44855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Mensuelles'!C46</f>
        <v>Umer</v>
      </c>
      <c r="E11" s="479"/>
      <c r="F11" s="480"/>
      <c r="G11" s="471"/>
      <c r="H11" s="484" t="s">
        <v>204</v>
      </c>
      <c r="I11" s="485"/>
      <c r="J11" s="488" t="str">
        <f>'Infos Mensuelles'!G46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Mensuelles'!L46</f>
        <v>26</v>
      </c>
      <c r="E16" s="444" t="s">
        <v>207</v>
      </c>
      <c r="F16" s="445"/>
      <c r="G16" s="445"/>
      <c r="H16" s="36">
        <f>'Infos Mensuelles'!S46</f>
        <v>0</v>
      </c>
      <c r="I16" s="446" t="s">
        <v>208</v>
      </c>
      <c r="J16" s="447"/>
      <c r="K16" s="447"/>
      <c r="L16" s="28">
        <f>'Infos Mensuelles'!AE46</f>
        <v>7</v>
      </c>
    </row>
    <row r="17" spans="1:18">
      <c r="A17" s="421" t="s">
        <v>209</v>
      </c>
      <c r="B17" s="422"/>
      <c r="C17" s="422"/>
      <c r="D17" s="29">
        <f>'Infos Mensuelles'!N46</f>
        <v>0</v>
      </c>
      <c r="E17" s="421" t="s">
        <v>210</v>
      </c>
      <c r="F17" s="422"/>
      <c r="G17" s="422"/>
      <c r="H17" s="37">
        <f>'Infos Mensuelles'!T46</f>
        <v>0</v>
      </c>
      <c r="I17" s="448" t="s">
        <v>211</v>
      </c>
      <c r="J17" s="449"/>
      <c r="K17" s="449"/>
      <c r="L17" s="30">
        <f>'Infos Mensuelles'!AH46</f>
        <v>0</v>
      </c>
    </row>
    <row r="18" spans="1:18">
      <c r="A18" s="421" t="s">
        <v>212</v>
      </c>
      <c r="B18" s="422"/>
      <c r="C18" s="422"/>
      <c r="D18" s="29">
        <f>'Infos Mensuelles'!M46</f>
        <v>3</v>
      </c>
      <c r="E18" s="23" t="s">
        <v>213</v>
      </c>
      <c r="F18" s="24"/>
      <c r="G18" s="24"/>
      <c r="H18" s="37">
        <f>'Infos Mensuelles'!U46</f>
        <v>0</v>
      </c>
      <c r="I18" s="421" t="s">
        <v>214</v>
      </c>
      <c r="J18" s="422"/>
      <c r="K18" s="422"/>
      <c r="L18" s="30">
        <f>'Infos Mensuelles'!AL46</f>
        <v>2</v>
      </c>
    </row>
    <row r="19" spans="1:18">
      <c r="A19" s="421" t="s">
        <v>215</v>
      </c>
      <c r="B19" s="422"/>
      <c r="C19" s="422"/>
      <c r="D19" s="33">
        <f>'Infos Mensuelles'!P46</f>
        <v>2</v>
      </c>
      <c r="E19" s="421" t="s">
        <v>216</v>
      </c>
      <c r="F19" s="422"/>
      <c r="G19" s="422"/>
      <c r="H19" s="37">
        <f>'Infos Mensuelles'!R46</f>
        <v>0</v>
      </c>
      <c r="I19" s="421" t="s">
        <v>217</v>
      </c>
      <c r="J19" s="422"/>
      <c r="K19" s="422"/>
      <c r="L19" s="32">
        <f>'Infos Mensuelles'!O46</f>
        <v>0</v>
      </c>
    </row>
    <row r="20" spans="1:18">
      <c r="A20" s="419" t="s">
        <v>218</v>
      </c>
      <c r="B20" s="420"/>
      <c r="C20" s="420"/>
      <c r="D20" s="31">
        <f>'Infos Mensuelles'!Q46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Mensuelles'!H46</f>
        <v>2580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Mensuelles'!I46</f>
        <v>860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Mensuelles'!J46</f>
        <v>860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Mensuelles'!AG46</f>
        <v>84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Mensuelles'!AJ46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Mensuelles'!AN46</f>
        <v>282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Mensuelles'!AQ46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Mensuelles'!AO46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Mensuelles'!AP46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Mensuelles'!AS46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Mensuelles'!AT46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Mensuelles'!Y46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Mensuelles'!V46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Mensuelles'!X46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Mensuelles'!AU46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Mensuelles'!W46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4666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4666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46:L47"/>
    <mergeCell ref="A19:C19"/>
    <mergeCell ref="E19:G19"/>
    <mergeCell ref="I19:K19"/>
    <mergeCell ref="A20:C20"/>
    <mergeCell ref="E20:G20"/>
    <mergeCell ref="I20:K20"/>
    <mergeCell ref="A43:F43"/>
    <mergeCell ref="G43:I43"/>
    <mergeCell ref="J43:L43"/>
    <mergeCell ref="A41:F41"/>
    <mergeCell ref="G41:I41"/>
    <mergeCell ref="J41:L41"/>
    <mergeCell ref="A42:F42"/>
    <mergeCell ref="G42:I42"/>
    <mergeCell ref="J42:L42"/>
    <mergeCell ref="A45:F45"/>
    <mergeCell ref="G45:I45"/>
    <mergeCell ref="J45:L45"/>
    <mergeCell ref="A39:F39"/>
    <mergeCell ref="G39:I39"/>
    <mergeCell ref="J39:L39"/>
    <mergeCell ref="A40:F40"/>
    <mergeCell ref="G40:I40"/>
    <mergeCell ref="J40:L40"/>
    <mergeCell ref="A37:F37"/>
    <mergeCell ref="G37:I37"/>
    <mergeCell ref="J37:L37"/>
    <mergeCell ref="A38:F38"/>
    <mergeCell ref="G38:I38"/>
    <mergeCell ref="J38:L38"/>
    <mergeCell ref="J30:L30"/>
    <mergeCell ref="A31:F31"/>
    <mergeCell ref="G31:I31"/>
    <mergeCell ref="J31:L31"/>
    <mergeCell ref="J33:L33"/>
    <mergeCell ref="J34:L34"/>
    <mergeCell ref="J32:L32"/>
    <mergeCell ref="A34:F34"/>
    <mergeCell ref="G34:I34"/>
    <mergeCell ref="A10:L10"/>
    <mergeCell ref="A11:C12"/>
    <mergeCell ref="D11:F12"/>
    <mergeCell ref="G28:I28"/>
    <mergeCell ref="J28:L28"/>
    <mergeCell ref="A29:F29"/>
    <mergeCell ref="G29:I29"/>
    <mergeCell ref="J29:L29"/>
    <mergeCell ref="A28:F28"/>
    <mergeCell ref="A18:C18"/>
    <mergeCell ref="I18:K18"/>
    <mergeCell ref="G11:G12"/>
    <mergeCell ref="H11:I12"/>
    <mergeCell ref="J11:L12"/>
    <mergeCell ref="A13:L14"/>
    <mergeCell ref="A15:L15"/>
    <mergeCell ref="A16:C16"/>
    <mergeCell ref="E16:G16"/>
    <mergeCell ref="I16:K16"/>
    <mergeCell ref="A17:C17"/>
    <mergeCell ref="E17:G17"/>
    <mergeCell ref="I17:K17"/>
    <mergeCell ref="A21:L22"/>
    <mergeCell ref="A23:L23"/>
    <mergeCell ref="A1:L1"/>
    <mergeCell ref="A2:L2"/>
    <mergeCell ref="A3:L3"/>
    <mergeCell ref="A4:L4"/>
    <mergeCell ref="A6:L7"/>
    <mergeCell ref="A5:L5"/>
    <mergeCell ref="A8:C9"/>
    <mergeCell ref="D8:F9"/>
    <mergeCell ref="G8:G9"/>
    <mergeCell ref="H8:I8"/>
    <mergeCell ref="J8:L8"/>
    <mergeCell ref="H9:I9"/>
    <mergeCell ref="J9:L9"/>
    <mergeCell ref="A24:F25"/>
    <mergeCell ref="G24:I25"/>
    <mergeCell ref="J24:L25"/>
    <mergeCell ref="A26:F26"/>
    <mergeCell ref="G26:I26"/>
    <mergeCell ref="J26:L26"/>
    <mergeCell ref="A44:F44"/>
    <mergeCell ref="G44:I44"/>
    <mergeCell ref="J44:L44"/>
    <mergeCell ref="A27:F27"/>
    <mergeCell ref="G27:I27"/>
    <mergeCell ref="J27:L27"/>
    <mergeCell ref="A32:F32"/>
    <mergeCell ref="G32:I32"/>
    <mergeCell ref="A33:F33"/>
    <mergeCell ref="G33:I33"/>
    <mergeCell ref="A30:F30"/>
    <mergeCell ref="G30:I30"/>
    <mergeCell ref="A35:F35"/>
    <mergeCell ref="G35:I35"/>
    <mergeCell ref="J35:L35"/>
    <mergeCell ref="A36:F36"/>
    <mergeCell ref="G36:I36"/>
    <mergeCell ref="J36:L36"/>
    <mergeCell ref="A54:C54"/>
    <mergeCell ref="D54:F54"/>
    <mergeCell ref="A55:L56"/>
    <mergeCell ref="A48:F48"/>
    <mergeCell ref="G48:L48"/>
    <mergeCell ref="A53:C53"/>
    <mergeCell ref="D53:F53"/>
    <mergeCell ref="A49:L51"/>
    <mergeCell ref="A52:F52"/>
    <mergeCell ref="G52:L54"/>
  </mergeCells>
  <pageMargins left="0.7" right="0.7" top="0.75" bottom="0.75" header="0.3" footer="0.3"/>
  <pageSetup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3477-6EF6-4BAB-BFC9-66D7FC3F1D15}">
  <dimension ref="A1:T56"/>
  <sheetViews>
    <sheetView topLeftCell="A28" workbookViewId="0">
      <selection activeCell="A49" sqref="A49:T56"/>
    </sheetView>
  </sheetViews>
  <sheetFormatPr defaultRowHeight="15"/>
  <cols>
    <col min="1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Mensuelles'!B47</f>
        <v>BILAND KHAN</v>
      </c>
      <c r="E8" s="479"/>
      <c r="F8" s="480"/>
      <c r="G8" s="471"/>
      <c r="H8" s="494" t="s">
        <v>201</v>
      </c>
      <c r="I8" s="495"/>
      <c r="J8" s="496">
        <f>'Infos Mensuelles'!F47</f>
        <v>20011018393999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Mensuelles'!D47</f>
        <v>45241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Mensuelles'!C47</f>
        <v>Wahid Khan</v>
      </c>
      <c r="E11" s="479"/>
      <c r="F11" s="480"/>
      <c r="G11" s="471"/>
      <c r="H11" s="484" t="s">
        <v>204</v>
      </c>
      <c r="I11" s="485"/>
      <c r="J11" s="488" t="str">
        <f>'Infos Mensuelles'!G47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Mensuelles'!L47</f>
        <v>28</v>
      </c>
      <c r="E16" s="444" t="s">
        <v>207</v>
      </c>
      <c r="F16" s="445"/>
      <c r="G16" s="445"/>
      <c r="H16" s="36">
        <f>'Infos Mensuelles'!S47</f>
        <v>0</v>
      </c>
      <c r="I16" s="446" t="s">
        <v>208</v>
      </c>
      <c r="J16" s="447"/>
      <c r="K16" s="447"/>
      <c r="L16" s="28">
        <f>'Infos Mensuelles'!AE47</f>
        <v>4</v>
      </c>
    </row>
    <row r="17" spans="1:18">
      <c r="A17" s="421" t="s">
        <v>209</v>
      </c>
      <c r="B17" s="422"/>
      <c r="C17" s="422"/>
      <c r="D17" s="29">
        <f>'Infos Mensuelles'!N47</f>
        <v>0</v>
      </c>
      <c r="E17" s="421" t="s">
        <v>210</v>
      </c>
      <c r="F17" s="422"/>
      <c r="G17" s="422"/>
      <c r="H17" s="37">
        <f>'Infos Mensuelles'!T47</f>
        <v>0</v>
      </c>
      <c r="I17" s="448" t="s">
        <v>211</v>
      </c>
      <c r="J17" s="449"/>
      <c r="K17" s="449"/>
      <c r="L17" s="30">
        <f>'Infos Mensuelles'!AH47</f>
        <v>0</v>
      </c>
    </row>
    <row r="18" spans="1:18">
      <c r="A18" s="421" t="s">
        <v>212</v>
      </c>
      <c r="B18" s="422"/>
      <c r="C18" s="422"/>
      <c r="D18" s="29">
        <f>'Infos Mensuelles'!M47</f>
        <v>3</v>
      </c>
      <c r="E18" s="23" t="s">
        <v>213</v>
      </c>
      <c r="F18" s="24"/>
      <c r="G18" s="24"/>
      <c r="H18" s="37">
        <f>'Infos Mensuelles'!U47</f>
        <v>0</v>
      </c>
      <c r="I18" s="421" t="s">
        <v>214</v>
      </c>
      <c r="J18" s="422"/>
      <c r="K18" s="422"/>
      <c r="L18" s="30">
        <f>'Infos Mensuelles'!AL47</f>
        <v>2</v>
      </c>
    </row>
    <row r="19" spans="1:18">
      <c r="A19" s="421" t="s">
        <v>215</v>
      </c>
      <c r="B19" s="422"/>
      <c r="C19" s="422"/>
      <c r="D19" s="33">
        <f>'Infos Mensuelles'!P47</f>
        <v>0</v>
      </c>
      <c r="E19" s="421" t="s">
        <v>216</v>
      </c>
      <c r="F19" s="422"/>
      <c r="G19" s="422"/>
      <c r="H19" s="37">
        <f>'Infos Mensuelles'!R47</f>
        <v>0</v>
      </c>
      <c r="I19" s="421" t="s">
        <v>217</v>
      </c>
      <c r="J19" s="422"/>
      <c r="K19" s="422"/>
      <c r="L19" s="32">
        <f>'Infos Mensuelles'!O47</f>
        <v>0</v>
      </c>
    </row>
    <row r="20" spans="1:18">
      <c r="A20" s="419" t="s">
        <v>218</v>
      </c>
      <c r="B20" s="420"/>
      <c r="C20" s="420"/>
      <c r="D20" s="31">
        <f>'Infos Mensuelles'!Q47</f>
        <v>31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Mensuelles'!H47</f>
        <v>2520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Mensuelles'!I47</f>
        <v>840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Mensuelles'!J47</f>
        <v>840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Mensuelles'!AG47</f>
        <v>48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Mensuelles'!AJ47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Mensuelles'!AN47</f>
        <v>276</v>
      </c>
      <c r="H32" s="407"/>
      <c r="I32" s="407"/>
      <c r="J32" s="416"/>
      <c r="K32" s="417"/>
      <c r="L32" s="418"/>
    </row>
    <row r="33" spans="1:12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Mensuelles'!AQ47</f>
        <v>0</v>
      </c>
      <c r="H33" s="407"/>
      <c r="I33" s="407"/>
      <c r="J33" s="416"/>
      <c r="K33" s="417"/>
      <c r="L33" s="418"/>
    </row>
    <row r="34" spans="1:12">
      <c r="A34" s="411" t="s">
        <v>25</v>
      </c>
      <c r="B34" s="412"/>
      <c r="C34" s="412"/>
      <c r="D34" s="412"/>
      <c r="E34" s="412"/>
      <c r="F34" s="443"/>
      <c r="G34" s="406">
        <f>'Infos Mensuelles'!AO47</f>
        <v>0</v>
      </c>
      <c r="H34" s="407"/>
      <c r="I34" s="407"/>
      <c r="J34" s="416"/>
      <c r="K34" s="417"/>
      <c r="L34" s="418"/>
    </row>
    <row r="35" spans="1:12">
      <c r="A35" s="411" t="s">
        <v>229</v>
      </c>
      <c r="B35" s="412"/>
      <c r="C35" s="412"/>
      <c r="D35" s="412"/>
      <c r="E35" s="412"/>
      <c r="F35" s="443"/>
      <c r="G35" s="406">
        <f>'Infos Mensuelles'!AP47</f>
        <v>0</v>
      </c>
      <c r="H35" s="407"/>
      <c r="I35" s="407"/>
      <c r="J35" s="416"/>
      <c r="K35" s="417"/>
      <c r="L35" s="418"/>
    </row>
    <row r="36" spans="1:12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2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Mensuelles'!AS47</f>
        <v>0</v>
      </c>
      <c r="K37" s="414"/>
      <c r="L37" s="415"/>
    </row>
    <row r="38" spans="1:12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Mensuelles'!AT47</f>
        <v>0</v>
      </c>
      <c r="K38" s="414"/>
      <c r="L38" s="415"/>
    </row>
    <row r="39" spans="1:12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Mensuelles'!Y47</f>
        <v>0</v>
      </c>
      <c r="K39" s="414"/>
      <c r="L39" s="415"/>
    </row>
    <row r="40" spans="1:12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Mensuelles'!V47</f>
        <v>0</v>
      </c>
      <c r="K40" s="414"/>
      <c r="L40" s="415"/>
    </row>
    <row r="41" spans="1:12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Mensuelles'!X47</f>
        <v>0</v>
      </c>
      <c r="K41" s="414"/>
      <c r="L41" s="415"/>
    </row>
    <row r="42" spans="1:12">
      <c r="A42" s="411" t="s">
        <v>229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Mensuelles'!AU47</f>
        <v>0</v>
      </c>
      <c r="K42" s="414"/>
      <c r="L42" s="415"/>
    </row>
    <row r="43" spans="1:12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Mensuelles'!W47</f>
        <v>0</v>
      </c>
      <c r="K43" s="414"/>
      <c r="L43" s="415"/>
    </row>
    <row r="44" spans="1:12">
      <c r="A44" s="518"/>
      <c r="B44" s="519"/>
      <c r="C44" s="519"/>
      <c r="D44" s="519"/>
      <c r="E44" s="519"/>
      <c r="F44" s="520"/>
      <c r="G44" s="515"/>
      <c r="H44" s="516"/>
      <c r="I44" s="517"/>
      <c r="J44" s="512"/>
      <c r="K44" s="513"/>
      <c r="L44" s="514"/>
    </row>
    <row r="45" spans="1:12">
      <c r="A45" s="363" t="s">
        <v>236</v>
      </c>
      <c r="B45" s="364"/>
      <c r="C45" s="364"/>
      <c r="D45" s="364"/>
      <c r="E45" s="364"/>
      <c r="F45" s="365"/>
      <c r="G45" s="366">
        <f>SUM(G27:I36)</f>
        <v>4524</v>
      </c>
      <c r="H45" s="367"/>
      <c r="I45" s="368"/>
      <c r="J45" s="366">
        <f>SUM(J42:L43)</f>
        <v>0</v>
      </c>
      <c r="K45" s="367"/>
      <c r="L45" s="368"/>
    </row>
    <row r="46" spans="1:12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2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2" ht="30.75">
      <c r="A48" s="375" t="s">
        <v>237</v>
      </c>
      <c r="B48" s="376"/>
      <c r="C48" s="376"/>
      <c r="D48" s="376"/>
      <c r="E48" s="376"/>
      <c r="F48" s="376"/>
      <c r="G48" s="377">
        <f>G45-J45</f>
        <v>4524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s="15" customFormat="1" ht="19.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  <c r="M50" s="14"/>
      <c r="N50" s="14"/>
      <c r="O50" s="14"/>
      <c r="P50" s="14"/>
      <c r="Q50" s="14"/>
      <c r="R50" s="14"/>
      <c r="S50" s="14"/>
      <c r="T50" s="14"/>
    </row>
    <row r="51" spans="1:20" ht="15" customHeight="1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 ht="15" customHeight="1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A53:C53"/>
    <mergeCell ref="D53:F53"/>
    <mergeCell ref="A54:C54"/>
    <mergeCell ref="D54:F54"/>
    <mergeCell ref="A42:F42"/>
    <mergeCell ref="G42:I42"/>
    <mergeCell ref="J42:L42"/>
    <mergeCell ref="A43:F43"/>
    <mergeCell ref="G43:I43"/>
    <mergeCell ref="J43:L43"/>
    <mergeCell ref="A46:L47"/>
    <mergeCell ref="A48:F48"/>
    <mergeCell ref="G48:L48"/>
    <mergeCell ref="G52:L54"/>
    <mergeCell ref="A49:L51"/>
    <mergeCell ref="A52:F52"/>
    <mergeCell ref="J28:L28"/>
    <mergeCell ref="A28:F28"/>
    <mergeCell ref="G28:I28"/>
    <mergeCell ref="A40:F40"/>
    <mergeCell ref="G40:I40"/>
    <mergeCell ref="J40:L40"/>
    <mergeCell ref="A41:F41"/>
    <mergeCell ref="G41:I41"/>
    <mergeCell ref="J41:L41"/>
    <mergeCell ref="J37:L37"/>
    <mergeCell ref="A38:F38"/>
    <mergeCell ref="G38:I38"/>
    <mergeCell ref="J38:L38"/>
    <mergeCell ref="A39:F39"/>
    <mergeCell ref="G39:I39"/>
    <mergeCell ref="J39:L39"/>
    <mergeCell ref="A37:F37"/>
    <mergeCell ref="G37:I37"/>
    <mergeCell ref="A29:F29"/>
    <mergeCell ref="G29:I29"/>
    <mergeCell ref="J29:L29"/>
    <mergeCell ref="A36:F36"/>
    <mergeCell ref="G31:I31"/>
    <mergeCell ref="J31:L31"/>
    <mergeCell ref="A32:F32"/>
    <mergeCell ref="G32:I32"/>
    <mergeCell ref="J32:L32"/>
    <mergeCell ref="A33:F33"/>
    <mergeCell ref="G33:I33"/>
    <mergeCell ref="G36:I36"/>
    <mergeCell ref="J36:L36"/>
    <mergeCell ref="A1:L1"/>
    <mergeCell ref="A2:L2"/>
    <mergeCell ref="A3:L3"/>
    <mergeCell ref="A4:L4"/>
    <mergeCell ref="A6:L7"/>
    <mergeCell ref="A11:C12"/>
    <mergeCell ref="D11:F12"/>
    <mergeCell ref="G11:G12"/>
    <mergeCell ref="H11:I12"/>
    <mergeCell ref="J11:L12"/>
    <mergeCell ref="A5:L5"/>
    <mergeCell ref="A8:C9"/>
    <mergeCell ref="D8:F9"/>
    <mergeCell ref="G8:G9"/>
    <mergeCell ref="H8:I8"/>
    <mergeCell ref="J8:L8"/>
    <mergeCell ref="H9:I9"/>
    <mergeCell ref="J9:L9"/>
    <mergeCell ref="A10:L10"/>
    <mergeCell ref="A13:L14"/>
    <mergeCell ref="A15:L15"/>
    <mergeCell ref="A16:C16"/>
    <mergeCell ref="I20:K20"/>
    <mergeCell ref="A21:L22"/>
    <mergeCell ref="A23:L23"/>
    <mergeCell ref="A24:F25"/>
    <mergeCell ref="A20:C20"/>
    <mergeCell ref="E20:G20"/>
    <mergeCell ref="E16:G16"/>
    <mergeCell ref="I16:K16"/>
    <mergeCell ref="A17:C17"/>
    <mergeCell ref="E17:G17"/>
    <mergeCell ref="I17:K17"/>
    <mergeCell ref="A18:C18"/>
    <mergeCell ref="I18:K18"/>
    <mergeCell ref="A19:C19"/>
    <mergeCell ref="E19:G19"/>
    <mergeCell ref="I19:K19"/>
    <mergeCell ref="G24:I25"/>
    <mergeCell ref="J24:L25"/>
    <mergeCell ref="A55:L56"/>
    <mergeCell ref="A26:F26"/>
    <mergeCell ref="G26:I26"/>
    <mergeCell ref="J26:L26"/>
    <mergeCell ref="A44:F44"/>
    <mergeCell ref="G44:I44"/>
    <mergeCell ref="J44:L44"/>
    <mergeCell ref="A45:F45"/>
    <mergeCell ref="G45:I45"/>
    <mergeCell ref="J45:L45"/>
    <mergeCell ref="A27:F27"/>
    <mergeCell ref="G27:I27"/>
    <mergeCell ref="J27:L27"/>
    <mergeCell ref="J34:L34"/>
    <mergeCell ref="J35:L35"/>
    <mergeCell ref="A34:F34"/>
    <mergeCell ref="G34:I34"/>
    <mergeCell ref="A35:F35"/>
    <mergeCell ref="A30:F30"/>
    <mergeCell ref="G30:I30"/>
    <mergeCell ref="G35:I35"/>
    <mergeCell ref="J30:L30"/>
    <mergeCell ref="J33:L33"/>
    <mergeCell ref="A31:F3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8557-099F-4BEF-A9CC-5783B753F3F4}">
  <sheetPr>
    <pageSetUpPr fitToPage="1"/>
  </sheetPr>
  <dimension ref="A1:T56"/>
  <sheetViews>
    <sheetView workbookViewId="0">
      <selection activeCell="A42" sqref="A42:F42"/>
    </sheetView>
  </sheetViews>
  <sheetFormatPr defaultRowHeight="15"/>
  <cols>
    <col min="1" max="5" width="9.140625" style="14"/>
    <col min="6" max="6" width="12.140625" style="14" customWidth="1"/>
    <col min="7" max="16384" width="9.140625" style="14"/>
  </cols>
  <sheetData>
    <row r="1" spans="1:12" ht="19.5">
      <c r="A1" s="450" t="s">
        <v>196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2"/>
    </row>
    <row r="2" spans="1:12" ht="16.5" customHeight="1">
      <c r="A2" s="453" t="s">
        <v>197</v>
      </c>
      <c r="B2" s="454"/>
      <c r="C2" s="454"/>
      <c r="D2" s="454"/>
      <c r="E2" s="454"/>
      <c r="F2" s="454"/>
      <c r="G2" s="454"/>
      <c r="H2" s="454"/>
      <c r="I2" s="454"/>
      <c r="J2" s="454"/>
      <c r="K2" s="454"/>
      <c r="L2" s="455"/>
    </row>
    <row r="3" spans="1:12" ht="19.5" customHeight="1">
      <c r="A3" s="456" t="s">
        <v>198</v>
      </c>
      <c r="B3" s="457"/>
      <c r="C3" s="457"/>
      <c r="D3" s="457"/>
      <c r="E3" s="457"/>
      <c r="F3" s="457"/>
      <c r="G3" s="457"/>
      <c r="H3" s="457"/>
      <c r="I3" s="457"/>
      <c r="J3" s="457"/>
      <c r="K3" s="457"/>
      <c r="L3" s="458"/>
    </row>
    <row r="4" spans="1:12" ht="16.5">
      <c r="A4" s="459" t="s">
        <v>199</v>
      </c>
      <c r="B4" s="460"/>
      <c r="C4" s="460"/>
      <c r="D4" s="460"/>
      <c r="E4" s="460"/>
      <c r="F4" s="460"/>
      <c r="G4" s="460"/>
      <c r="H4" s="460"/>
      <c r="I4" s="460"/>
      <c r="J4" s="460"/>
      <c r="K4" s="460"/>
      <c r="L4" s="461"/>
    </row>
    <row r="5" spans="1:12" ht="16.5">
      <c r="A5" s="462" t="str">
        <f>'Infos Mensuelles'!A1</f>
        <v>Salary slip January 2026</v>
      </c>
      <c r="B5" s="463"/>
      <c r="C5" s="463"/>
      <c r="D5" s="463"/>
      <c r="E5" s="463"/>
      <c r="F5" s="463"/>
      <c r="G5" s="463"/>
      <c r="H5" s="463"/>
      <c r="I5" s="463"/>
      <c r="J5" s="463"/>
      <c r="K5" s="463"/>
      <c r="L5" s="464"/>
    </row>
    <row r="6" spans="1:12" ht="16.5" customHeight="1">
      <c r="A6" s="465"/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7"/>
    </row>
    <row r="7" spans="1:12" ht="15" customHeight="1">
      <c r="A7" s="468"/>
      <c r="B7" s="469"/>
      <c r="C7" s="469"/>
      <c r="D7" s="469"/>
      <c r="E7" s="469"/>
      <c r="F7" s="469"/>
      <c r="G7" s="469"/>
      <c r="H7" s="469"/>
      <c r="I7" s="469"/>
      <c r="J7" s="469"/>
      <c r="K7" s="469"/>
      <c r="L7" s="470"/>
    </row>
    <row r="8" spans="1:12" ht="17.25" customHeight="1">
      <c r="A8" s="472" t="s">
        <v>200</v>
      </c>
      <c r="B8" s="473"/>
      <c r="C8" s="474"/>
      <c r="D8" s="478" t="str">
        <f>'Infos Mensuelles'!B48</f>
        <v>AL IMAD</v>
      </c>
      <c r="E8" s="479"/>
      <c r="F8" s="480"/>
      <c r="G8" s="471"/>
      <c r="H8" s="494" t="s">
        <v>201</v>
      </c>
      <c r="I8" s="495"/>
      <c r="J8" s="496">
        <f>'Infos Mensuelles'!F48</f>
        <v>20014039369363</v>
      </c>
      <c r="K8" s="497"/>
      <c r="L8" s="498"/>
    </row>
    <row r="9" spans="1:12" ht="17.25" customHeight="1">
      <c r="A9" s="475"/>
      <c r="B9" s="476"/>
      <c r="C9" s="477"/>
      <c r="D9" s="481"/>
      <c r="E9" s="482"/>
      <c r="F9" s="483"/>
      <c r="G9" s="471"/>
      <c r="H9" s="499" t="s">
        <v>202</v>
      </c>
      <c r="I9" s="500"/>
      <c r="J9" s="501">
        <f>'Infos Mensuelles'!D48</f>
        <v>46028</v>
      </c>
      <c r="K9" s="502"/>
      <c r="L9" s="503"/>
    </row>
    <row r="10" spans="1:12" ht="17.25" customHeight="1">
      <c r="A10" s="369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1"/>
    </row>
    <row r="11" spans="1:12" ht="17.25" customHeight="1">
      <c r="A11" s="472" t="s">
        <v>203</v>
      </c>
      <c r="B11" s="473"/>
      <c r="C11" s="474"/>
      <c r="D11" s="478" t="str">
        <f>'Infos Mensuelles'!C48</f>
        <v>Waqar</v>
      </c>
      <c r="E11" s="479"/>
      <c r="F11" s="480"/>
      <c r="G11" s="471"/>
      <c r="H11" s="484" t="s">
        <v>204</v>
      </c>
      <c r="I11" s="485"/>
      <c r="J11" s="488" t="str">
        <f>'Infos Mensuelles'!G48</f>
        <v>Light Vehicule Driver</v>
      </c>
      <c r="K11" s="489"/>
      <c r="L11" s="490"/>
    </row>
    <row r="12" spans="1:12" ht="17.25" customHeight="1">
      <c r="A12" s="475"/>
      <c r="B12" s="476"/>
      <c r="C12" s="477"/>
      <c r="D12" s="481"/>
      <c r="E12" s="482"/>
      <c r="F12" s="483"/>
      <c r="G12" s="471"/>
      <c r="H12" s="486"/>
      <c r="I12" s="487"/>
      <c r="J12" s="491"/>
      <c r="K12" s="492"/>
      <c r="L12" s="493"/>
    </row>
    <row r="13" spans="1:12">
      <c r="A13" s="369"/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1"/>
    </row>
    <row r="14" spans="1:12">
      <c r="A14" s="372"/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4"/>
    </row>
    <row r="15" spans="1:12" ht="19.5">
      <c r="A15" s="383" t="s">
        <v>205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5"/>
    </row>
    <row r="16" spans="1:12">
      <c r="A16" s="444" t="s">
        <v>206</v>
      </c>
      <c r="B16" s="445"/>
      <c r="C16" s="445"/>
      <c r="D16" s="27">
        <f>'Infos Mensuelles'!L48</f>
        <v>23</v>
      </c>
      <c r="E16" s="444" t="s">
        <v>207</v>
      </c>
      <c r="F16" s="445"/>
      <c r="G16" s="445"/>
      <c r="H16" s="36">
        <f>'Infos Mensuelles'!S48</f>
        <v>0</v>
      </c>
      <c r="I16" s="446" t="s">
        <v>208</v>
      </c>
      <c r="J16" s="447"/>
      <c r="K16" s="447"/>
      <c r="L16" s="28">
        <f>'Infos Mensuelles'!AE48</f>
        <v>5</v>
      </c>
    </row>
    <row r="17" spans="1:18">
      <c r="A17" s="421" t="s">
        <v>209</v>
      </c>
      <c r="B17" s="422"/>
      <c r="C17" s="422"/>
      <c r="D17" s="29">
        <f>'Infos Mensuelles'!N48</f>
        <v>0</v>
      </c>
      <c r="E17" s="421" t="s">
        <v>210</v>
      </c>
      <c r="F17" s="422"/>
      <c r="G17" s="422"/>
      <c r="H17" s="37">
        <f>'Infos Mensuelles'!T48</f>
        <v>0</v>
      </c>
      <c r="I17" s="448" t="s">
        <v>211</v>
      </c>
      <c r="J17" s="449"/>
      <c r="K17" s="449"/>
      <c r="L17" s="30">
        <f>'Infos Mensuelles'!AH48</f>
        <v>0</v>
      </c>
    </row>
    <row r="18" spans="1:18">
      <c r="A18" s="421" t="s">
        <v>212</v>
      </c>
      <c r="B18" s="422"/>
      <c r="C18" s="422"/>
      <c r="D18" s="29">
        <f>'Infos Mensuelles'!M48</f>
        <v>3</v>
      </c>
      <c r="E18" s="23" t="s">
        <v>213</v>
      </c>
      <c r="F18" s="24"/>
      <c r="G18" s="24"/>
      <c r="H18" s="37">
        <f>'Infos Mensuelles'!U48</f>
        <v>0</v>
      </c>
      <c r="I18" s="421" t="s">
        <v>214</v>
      </c>
      <c r="J18" s="422"/>
      <c r="K18" s="422"/>
      <c r="L18" s="30">
        <f>'Infos Mensuelles'!AL48</f>
        <v>0</v>
      </c>
    </row>
    <row r="19" spans="1:18">
      <c r="A19" s="421" t="s">
        <v>215</v>
      </c>
      <c r="B19" s="422"/>
      <c r="C19" s="422"/>
      <c r="D19" s="33">
        <f>'Infos Mensuelles'!P48</f>
        <v>0</v>
      </c>
      <c r="E19" s="421" t="s">
        <v>216</v>
      </c>
      <c r="F19" s="422"/>
      <c r="G19" s="422"/>
      <c r="H19" s="37">
        <f>'Infos Mensuelles'!R48</f>
        <v>0</v>
      </c>
      <c r="I19" s="421" t="s">
        <v>217</v>
      </c>
      <c r="J19" s="422"/>
      <c r="K19" s="422"/>
      <c r="L19" s="32">
        <f>'Infos Mensuelles'!O48</f>
        <v>0</v>
      </c>
    </row>
    <row r="20" spans="1:18">
      <c r="A20" s="419" t="s">
        <v>218</v>
      </c>
      <c r="B20" s="420"/>
      <c r="C20" s="420"/>
      <c r="D20" s="31">
        <f>'Infos Mensuelles'!Q48</f>
        <v>26</v>
      </c>
      <c r="E20" s="419"/>
      <c r="F20" s="420"/>
      <c r="G20" s="420"/>
      <c r="H20" s="34"/>
      <c r="I20" s="419"/>
      <c r="J20" s="420"/>
      <c r="K20" s="420"/>
      <c r="L20" s="35"/>
    </row>
    <row r="21" spans="1:18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P21" s="17"/>
    </row>
    <row r="22" spans="1:18">
      <c r="A22" s="380"/>
      <c r="B22" s="381"/>
      <c r="C22" s="381"/>
      <c r="D22" s="381"/>
      <c r="E22" s="381"/>
      <c r="F22" s="381"/>
      <c r="G22" s="381"/>
      <c r="H22" s="381"/>
      <c r="I22" s="381"/>
      <c r="J22" s="381"/>
      <c r="K22" s="381"/>
      <c r="L22" s="382"/>
    </row>
    <row r="23" spans="1:18" ht="19.5">
      <c r="A23" s="383" t="s">
        <v>219</v>
      </c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5"/>
    </row>
    <row r="24" spans="1:18" ht="16.5">
      <c r="A24" s="386" t="s">
        <v>220</v>
      </c>
      <c r="B24" s="387"/>
      <c r="C24" s="387"/>
      <c r="D24" s="387"/>
      <c r="E24" s="387"/>
      <c r="F24" s="388"/>
      <c r="G24" s="392" t="s">
        <v>221</v>
      </c>
      <c r="H24" s="393"/>
      <c r="I24" s="394"/>
      <c r="J24" s="398" t="s">
        <v>222</v>
      </c>
      <c r="K24" s="399"/>
      <c r="L24" s="400"/>
      <c r="M24" s="16"/>
      <c r="N24" s="16"/>
      <c r="O24" s="16"/>
      <c r="P24" s="16"/>
      <c r="Q24" s="16"/>
      <c r="R24" s="16"/>
    </row>
    <row r="25" spans="1:18" s="16" customFormat="1" ht="16.5" customHeight="1">
      <c r="A25" s="389"/>
      <c r="B25" s="390"/>
      <c r="C25" s="390"/>
      <c r="D25" s="390"/>
      <c r="E25" s="390"/>
      <c r="F25" s="391"/>
      <c r="G25" s="395"/>
      <c r="H25" s="396"/>
      <c r="I25" s="397"/>
      <c r="J25" s="401"/>
      <c r="K25" s="402"/>
      <c r="L25" s="403"/>
    </row>
    <row r="26" spans="1:18" s="16" customFormat="1" ht="16.5">
      <c r="A26" s="404" t="s">
        <v>223</v>
      </c>
      <c r="B26" s="405"/>
      <c r="C26" s="405"/>
      <c r="D26" s="405"/>
      <c r="E26" s="405"/>
      <c r="F26" s="405"/>
      <c r="G26" s="406"/>
      <c r="H26" s="407"/>
      <c r="I26" s="407"/>
      <c r="J26" s="408"/>
      <c r="K26" s="409"/>
      <c r="L26" s="410"/>
    </row>
    <row r="27" spans="1:18" s="16" customFormat="1" ht="16.5">
      <c r="A27" s="411" t="s">
        <v>224</v>
      </c>
      <c r="B27" s="412"/>
      <c r="C27" s="412"/>
      <c r="D27" s="412"/>
      <c r="E27" s="412"/>
      <c r="F27" s="412"/>
      <c r="G27" s="406">
        <f>'Infos Mensuelles'!H48</f>
        <v>2100</v>
      </c>
      <c r="H27" s="407"/>
      <c r="I27" s="407"/>
      <c r="J27" s="416"/>
      <c r="K27" s="417"/>
      <c r="L27" s="418"/>
      <c r="M27" s="14"/>
      <c r="N27" s="14"/>
      <c r="O27" s="14"/>
      <c r="P27" s="14"/>
      <c r="Q27" s="14"/>
      <c r="R27" s="14"/>
    </row>
    <row r="28" spans="1:18">
      <c r="A28" s="411" t="s">
        <v>16</v>
      </c>
      <c r="B28" s="412"/>
      <c r="C28" s="412"/>
      <c r="D28" s="412"/>
      <c r="E28" s="412"/>
      <c r="F28" s="412"/>
      <c r="G28" s="406">
        <f>'Infos Mensuelles'!I48</f>
        <v>700</v>
      </c>
      <c r="H28" s="407"/>
      <c r="I28" s="407"/>
      <c r="J28" s="416"/>
      <c r="K28" s="417"/>
      <c r="L28" s="418"/>
    </row>
    <row r="29" spans="1:18">
      <c r="A29" s="411" t="s">
        <v>225</v>
      </c>
      <c r="B29" s="412"/>
      <c r="C29" s="412"/>
      <c r="D29" s="412"/>
      <c r="E29" s="412"/>
      <c r="F29" s="412"/>
      <c r="G29" s="406">
        <f>'Infos Mensuelles'!J48</f>
        <v>700</v>
      </c>
      <c r="H29" s="407"/>
      <c r="I29" s="407"/>
      <c r="J29" s="416"/>
      <c r="K29" s="417"/>
      <c r="L29" s="418"/>
    </row>
    <row r="30" spans="1:18">
      <c r="A30" s="411" t="s">
        <v>226</v>
      </c>
      <c r="B30" s="412"/>
      <c r="C30" s="412"/>
      <c r="D30" s="412"/>
      <c r="E30" s="412"/>
      <c r="F30" s="412"/>
      <c r="G30" s="406">
        <f>'Infos Mensuelles'!AG48</f>
        <v>50</v>
      </c>
      <c r="H30" s="407"/>
      <c r="I30" s="407"/>
      <c r="J30" s="416"/>
      <c r="K30" s="417"/>
      <c r="L30" s="418"/>
    </row>
    <row r="31" spans="1:18">
      <c r="A31" s="411" t="s">
        <v>227</v>
      </c>
      <c r="B31" s="412"/>
      <c r="C31" s="412"/>
      <c r="D31" s="412"/>
      <c r="E31" s="412"/>
      <c r="F31" s="412"/>
      <c r="G31" s="406">
        <f>'Infos Mensuelles'!AJ48</f>
        <v>0</v>
      </c>
      <c r="H31" s="407"/>
      <c r="I31" s="407"/>
      <c r="J31" s="416"/>
      <c r="K31" s="417"/>
      <c r="L31" s="418"/>
    </row>
    <row r="32" spans="1:18">
      <c r="A32" s="411" t="s">
        <v>24</v>
      </c>
      <c r="B32" s="412"/>
      <c r="C32" s="412"/>
      <c r="D32" s="412"/>
      <c r="E32" s="412"/>
      <c r="F32" s="412"/>
      <c r="G32" s="406">
        <f>'Infos Mensuelles'!AN48</f>
        <v>0</v>
      </c>
      <c r="H32" s="407"/>
      <c r="I32" s="407"/>
      <c r="J32" s="416"/>
      <c r="K32" s="417"/>
      <c r="L32" s="418"/>
    </row>
    <row r="33" spans="1:14" ht="15.75" customHeight="1">
      <c r="A33" s="411" t="s">
        <v>228</v>
      </c>
      <c r="B33" s="412"/>
      <c r="C33" s="412"/>
      <c r="D33" s="412"/>
      <c r="E33" s="412"/>
      <c r="F33" s="412"/>
      <c r="G33" s="406">
        <f>'Infos Mensuelles'!AQ48</f>
        <v>0</v>
      </c>
      <c r="H33" s="407"/>
      <c r="I33" s="407"/>
      <c r="J33" s="416"/>
      <c r="K33" s="417"/>
      <c r="L33" s="418"/>
    </row>
    <row r="34" spans="1:14">
      <c r="A34" s="411" t="s">
        <v>25</v>
      </c>
      <c r="B34" s="412"/>
      <c r="C34" s="412"/>
      <c r="D34" s="412"/>
      <c r="E34" s="412"/>
      <c r="F34" s="443"/>
      <c r="G34" s="406">
        <f>'Infos Mensuelles'!AO48</f>
        <v>0</v>
      </c>
      <c r="H34" s="407"/>
      <c r="I34" s="407"/>
      <c r="J34" s="416"/>
      <c r="K34" s="417"/>
      <c r="L34" s="418"/>
    </row>
    <row r="35" spans="1:14">
      <c r="A35" s="411" t="s">
        <v>229</v>
      </c>
      <c r="B35" s="412"/>
      <c r="C35" s="412"/>
      <c r="D35" s="412"/>
      <c r="E35" s="412"/>
      <c r="F35" s="443"/>
      <c r="G35" s="406">
        <f>'Infos Mensuelles'!AP48</f>
        <v>0</v>
      </c>
      <c r="H35" s="407"/>
      <c r="I35" s="407"/>
      <c r="J35" s="416"/>
      <c r="K35" s="417"/>
      <c r="L35" s="418"/>
    </row>
    <row r="36" spans="1:14">
      <c r="A36" s="441" t="s">
        <v>4</v>
      </c>
      <c r="B36" s="442"/>
      <c r="C36" s="442"/>
      <c r="D36" s="442"/>
      <c r="E36" s="442"/>
      <c r="F36" s="442"/>
      <c r="G36" s="406"/>
      <c r="H36" s="407"/>
      <c r="I36" s="407"/>
      <c r="J36" s="416"/>
      <c r="K36" s="417"/>
      <c r="L36" s="418"/>
    </row>
    <row r="37" spans="1:14">
      <c r="A37" s="411" t="s">
        <v>230</v>
      </c>
      <c r="B37" s="412"/>
      <c r="C37" s="412"/>
      <c r="D37" s="412"/>
      <c r="E37" s="412"/>
      <c r="F37" s="412"/>
      <c r="G37" s="406"/>
      <c r="H37" s="407"/>
      <c r="I37" s="407"/>
      <c r="J37" s="413">
        <f>'Infos Mensuelles'!AS48</f>
        <v>0</v>
      </c>
      <c r="K37" s="414"/>
      <c r="L37" s="415"/>
    </row>
    <row r="38" spans="1:14">
      <c r="A38" s="411" t="s">
        <v>231</v>
      </c>
      <c r="B38" s="412"/>
      <c r="C38" s="412"/>
      <c r="D38" s="412"/>
      <c r="E38" s="412"/>
      <c r="F38" s="412"/>
      <c r="G38" s="406"/>
      <c r="H38" s="407"/>
      <c r="I38" s="407"/>
      <c r="J38" s="413">
        <f>'Infos Mensuelles'!AT48</f>
        <v>126</v>
      </c>
      <c r="K38" s="414"/>
      <c r="L38" s="415"/>
    </row>
    <row r="39" spans="1:14">
      <c r="A39" s="411" t="s">
        <v>232</v>
      </c>
      <c r="B39" s="412"/>
      <c r="C39" s="412"/>
      <c r="D39" s="412"/>
      <c r="E39" s="412"/>
      <c r="F39" s="412"/>
      <c r="G39" s="406"/>
      <c r="H39" s="407"/>
      <c r="I39" s="407"/>
      <c r="J39" s="413">
        <f>'Infos Mensuelles'!Y48</f>
        <v>0</v>
      </c>
      <c r="K39" s="414"/>
      <c r="L39" s="415"/>
      <c r="N39" s="14">
        <f>N44*25</f>
        <v>2822.5806451612902</v>
      </c>
    </row>
    <row r="40" spans="1:14">
      <c r="A40" s="411" t="s">
        <v>233</v>
      </c>
      <c r="B40" s="412"/>
      <c r="C40" s="412"/>
      <c r="D40" s="412"/>
      <c r="E40" s="412"/>
      <c r="F40" s="412"/>
      <c r="G40" s="416"/>
      <c r="H40" s="417"/>
      <c r="I40" s="417"/>
      <c r="J40" s="413">
        <f>'Infos Mensuelles'!V48</f>
        <v>0</v>
      </c>
      <c r="K40" s="414"/>
      <c r="L40" s="415"/>
    </row>
    <row r="41" spans="1:14">
      <c r="A41" s="411" t="s">
        <v>234</v>
      </c>
      <c r="B41" s="412"/>
      <c r="C41" s="412"/>
      <c r="D41" s="412"/>
      <c r="E41" s="412"/>
      <c r="F41" s="412"/>
      <c r="G41" s="416"/>
      <c r="H41" s="417"/>
      <c r="I41" s="417"/>
      <c r="J41" s="413">
        <f>'Infos Mensuelles'!X48</f>
        <v>0</v>
      </c>
      <c r="K41" s="414"/>
      <c r="L41" s="415"/>
      <c r="N41" s="14">
        <f>N43+N39</f>
        <v>3500</v>
      </c>
    </row>
    <row r="42" spans="1:14">
      <c r="A42" s="411" t="s">
        <v>243</v>
      </c>
      <c r="B42" s="412"/>
      <c r="C42" s="412"/>
      <c r="D42" s="412"/>
      <c r="E42" s="412"/>
      <c r="F42" s="412"/>
      <c r="G42" s="416"/>
      <c r="H42" s="417"/>
      <c r="I42" s="417"/>
      <c r="J42" s="413">
        <f>'Infos Mensuelles'!AU48</f>
        <v>0</v>
      </c>
      <c r="K42" s="414"/>
      <c r="L42" s="415"/>
    </row>
    <row r="43" spans="1:14">
      <c r="A43" s="411" t="s">
        <v>235</v>
      </c>
      <c r="B43" s="412"/>
      <c r="C43" s="412"/>
      <c r="D43" s="412"/>
      <c r="E43" s="412"/>
      <c r="F43" s="412"/>
      <c r="G43" s="416"/>
      <c r="H43" s="417"/>
      <c r="I43" s="417"/>
      <c r="J43" s="413">
        <f>'Infos Mensuelles'!W48</f>
        <v>0</v>
      </c>
      <c r="K43" s="414"/>
      <c r="L43" s="415"/>
      <c r="N43" s="14">
        <f>N44*6</f>
        <v>677.41935483870975</v>
      </c>
    </row>
    <row r="44" spans="1:14">
      <c r="A44" s="521"/>
      <c r="B44" s="522"/>
      <c r="C44" s="522"/>
      <c r="D44" s="522"/>
      <c r="E44" s="522"/>
      <c r="F44" s="523"/>
      <c r="G44" s="515"/>
      <c r="H44" s="516"/>
      <c r="I44" s="517"/>
      <c r="J44" s="512"/>
      <c r="K44" s="513"/>
      <c r="L44" s="514"/>
      <c r="N44" s="14">
        <f>N45/31</f>
        <v>112.90322580645162</v>
      </c>
    </row>
    <row r="45" spans="1:14">
      <c r="A45" s="363" t="s">
        <v>236</v>
      </c>
      <c r="B45" s="364"/>
      <c r="C45" s="364"/>
      <c r="D45" s="364"/>
      <c r="E45" s="364"/>
      <c r="F45" s="365"/>
      <c r="G45" s="366">
        <f>SUM(G27:I36)</f>
        <v>3550</v>
      </c>
      <c r="H45" s="367"/>
      <c r="I45" s="368"/>
      <c r="J45" s="366">
        <f>SUM(J42:L44)</f>
        <v>0</v>
      </c>
      <c r="K45" s="367"/>
      <c r="L45" s="368"/>
      <c r="N45" s="14">
        <v>3500</v>
      </c>
    </row>
    <row r="46" spans="1:14">
      <c r="A46" s="369"/>
      <c r="B46" s="370"/>
      <c r="C46" s="370"/>
      <c r="D46" s="370"/>
      <c r="E46" s="370"/>
      <c r="F46" s="370"/>
      <c r="G46" s="370"/>
      <c r="H46" s="370"/>
      <c r="I46" s="370"/>
      <c r="J46" s="370"/>
      <c r="K46" s="370"/>
      <c r="L46" s="371"/>
    </row>
    <row r="47" spans="1:14" ht="15" customHeight="1">
      <c r="A47" s="372"/>
      <c r="B47" s="373"/>
      <c r="C47" s="373"/>
      <c r="D47" s="373"/>
      <c r="E47" s="373"/>
      <c r="F47" s="373"/>
      <c r="G47" s="373"/>
      <c r="H47" s="373"/>
      <c r="I47" s="373"/>
      <c r="J47" s="373"/>
      <c r="K47" s="373"/>
      <c r="L47" s="374"/>
    </row>
    <row r="48" spans="1:14" ht="30.75">
      <c r="A48" s="375" t="s">
        <v>237</v>
      </c>
      <c r="B48" s="376"/>
      <c r="C48" s="376"/>
      <c r="D48" s="376"/>
      <c r="E48" s="376"/>
      <c r="F48" s="376"/>
      <c r="G48" s="377">
        <f>G45-J45</f>
        <v>3550</v>
      </c>
      <c r="H48" s="378"/>
      <c r="I48" s="378"/>
      <c r="J48" s="378"/>
      <c r="K48" s="378"/>
      <c r="L48" s="379"/>
    </row>
    <row r="49" spans="1:20" s="15" customFormat="1" ht="19.5" customHeight="1">
      <c r="A49" s="504"/>
      <c r="B49" s="505"/>
      <c r="C49" s="505"/>
      <c r="D49" s="505"/>
      <c r="E49" s="505"/>
      <c r="F49" s="505"/>
      <c r="G49" s="505"/>
      <c r="H49" s="505"/>
      <c r="I49" s="505"/>
      <c r="J49" s="505"/>
      <c r="K49" s="505"/>
      <c r="L49" s="506"/>
      <c r="M49" s="14"/>
      <c r="N49" s="14"/>
      <c r="O49" s="14"/>
      <c r="P49" s="14"/>
      <c r="Q49" s="14"/>
      <c r="R49" s="14"/>
      <c r="S49" s="14"/>
      <c r="T49" s="14"/>
    </row>
    <row r="50" spans="1:20" ht="15" customHeight="1">
      <c r="A50" s="504"/>
      <c r="B50" s="505"/>
      <c r="C50" s="505"/>
      <c r="D50" s="505"/>
      <c r="E50" s="505"/>
      <c r="F50" s="505"/>
      <c r="G50" s="505"/>
      <c r="H50" s="505"/>
      <c r="I50" s="505"/>
      <c r="J50" s="505"/>
      <c r="K50" s="505"/>
      <c r="L50" s="506"/>
    </row>
    <row r="51" spans="1:20">
      <c r="A51" s="504"/>
      <c r="B51" s="505"/>
      <c r="C51" s="505"/>
      <c r="D51" s="505"/>
      <c r="E51" s="505"/>
      <c r="F51" s="505"/>
      <c r="G51" s="505"/>
      <c r="H51" s="505"/>
      <c r="I51" s="505"/>
      <c r="J51" s="505"/>
      <c r="K51" s="505"/>
      <c r="L51" s="506"/>
    </row>
    <row r="52" spans="1:20" ht="19.5">
      <c r="A52" s="507" t="s">
        <v>238</v>
      </c>
      <c r="B52" s="508"/>
      <c r="C52" s="508"/>
      <c r="D52" s="508"/>
      <c r="E52" s="508"/>
      <c r="F52" s="509"/>
      <c r="G52" s="510"/>
      <c r="H52" s="510"/>
      <c r="I52" s="510"/>
      <c r="J52" s="510"/>
      <c r="K52" s="510"/>
      <c r="L52" s="511"/>
      <c r="M52" s="15"/>
      <c r="N52" s="15"/>
      <c r="O52" s="15"/>
      <c r="P52" s="15"/>
      <c r="Q52" s="15"/>
      <c r="R52" s="15"/>
    </row>
    <row r="53" spans="1:20" ht="19.5">
      <c r="A53" s="429" t="s">
        <v>239</v>
      </c>
      <c r="B53" s="430"/>
      <c r="C53" s="431"/>
      <c r="D53" s="435">
        <f>'Infos Mensuelles'!E1</f>
        <v>46053</v>
      </c>
      <c r="E53" s="436"/>
      <c r="F53" s="437"/>
      <c r="G53" s="510"/>
      <c r="H53" s="510"/>
      <c r="I53" s="510"/>
      <c r="J53" s="510"/>
      <c r="K53" s="510"/>
      <c r="L53" s="511"/>
      <c r="S53" s="15"/>
      <c r="T53" s="15"/>
    </row>
    <row r="54" spans="1:20">
      <c r="A54" s="432" t="s">
        <v>240</v>
      </c>
      <c r="B54" s="433"/>
      <c r="C54" s="434"/>
      <c r="D54" s="438" t="s">
        <v>241</v>
      </c>
      <c r="E54" s="439"/>
      <c r="F54" s="440"/>
      <c r="G54" s="510"/>
      <c r="H54" s="510"/>
      <c r="I54" s="510"/>
      <c r="J54" s="510"/>
      <c r="K54" s="510"/>
      <c r="L54" s="511"/>
    </row>
    <row r="55" spans="1:20">
      <c r="A55" s="423" t="s">
        <v>242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5"/>
    </row>
    <row r="56" spans="1:20">
      <c r="A56" s="426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8"/>
    </row>
  </sheetData>
  <mergeCells count="111">
    <mergeCell ref="G44:I44"/>
    <mergeCell ref="J44:L44"/>
    <mergeCell ref="A45:F45"/>
    <mergeCell ref="G45:I45"/>
    <mergeCell ref="J45:L45"/>
    <mergeCell ref="A46:L47"/>
    <mergeCell ref="A48:F48"/>
    <mergeCell ref="G48:L48"/>
    <mergeCell ref="A53:C53"/>
    <mergeCell ref="D53:F53"/>
    <mergeCell ref="A41:F41"/>
    <mergeCell ref="G41:I41"/>
    <mergeCell ref="J41:L41"/>
    <mergeCell ref="A49:L51"/>
    <mergeCell ref="A52:F52"/>
    <mergeCell ref="G52:L54"/>
    <mergeCell ref="A38:F38"/>
    <mergeCell ref="G38:I38"/>
    <mergeCell ref="J38:L38"/>
    <mergeCell ref="A39:F39"/>
    <mergeCell ref="G39:I39"/>
    <mergeCell ref="J39:L39"/>
    <mergeCell ref="A40:F40"/>
    <mergeCell ref="G40:I40"/>
    <mergeCell ref="J40:L40"/>
    <mergeCell ref="A54:C54"/>
    <mergeCell ref="D54:F54"/>
    <mergeCell ref="A42:F42"/>
    <mergeCell ref="G42:I42"/>
    <mergeCell ref="J42:L42"/>
    <mergeCell ref="A43:F43"/>
    <mergeCell ref="G43:I43"/>
    <mergeCell ref="J43:L43"/>
    <mergeCell ref="A44:F44"/>
    <mergeCell ref="A36:F36"/>
    <mergeCell ref="G36:I36"/>
    <mergeCell ref="J36:L36"/>
    <mergeCell ref="A37:F37"/>
    <mergeCell ref="G37:I37"/>
    <mergeCell ref="J37:L37"/>
    <mergeCell ref="A34:F34"/>
    <mergeCell ref="G34:I34"/>
    <mergeCell ref="J34:L34"/>
    <mergeCell ref="A35:F35"/>
    <mergeCell ref="G35:I35"/>
    <mergeCell ref="J35:L35"/>
    <mergeCell ref="A33:F33"/>
    <mergeCell ref="G33:I33"/>
    <mergeCell ref="J33:L33"/>
    <mergeCell ref="A30:F30"/>
    <mergeCell ref="G30:I30"/>
    <mergeCell ref="J30:L30"/>
    <mergeCell ref="A31:F31"/>
    <mergeCell ref="G31:I31"/>
    <mergeCell ref="J31:L31"/>
    <mergeCell ref="A29:F29"/>
    <mergeCell ref="G29:I29"/>
    <mergeCell ref="J29:L29"/>
    <mergeCell ref="A27:F27"/>
    <mergeCell ref="G27:I27"/>
    <mergeCell ref="J27:L27"/>
    <mergeCell ref="A32:F32"/>
    <mergeCell ref="G32:I32"/>
    <mergeCell ref="J32:L32"/>
    <mergeCell ref="I16:K16"/>
    <mergeCell ref="A17:C17"/>
    <mergeCell ref="E17:G17"/>
    <mergeCell ref="I17:K17"/>
    <mergeCell ref="A18:C18"/>
    <mergeCell ref="I18:K18"/>
    <mergeCell ref="A28:F28"/>
    <mergeCell ref="G28:I28"/>
    <mergeCell ref="J28:L28"/>
    <mergeCell ref="E19:G19"/>
    <mergeCell ref="I19:K19"/>
    <mergeCell ref="A20:C20"/>
    <mergeCell ref="E20:G20"/>
    <mergeCell ref="I20:K20"/>
    <mergeCell ref="A19:C19"/>
    <mergeCell ref="A21:L22"/>
    <mergeCell ref="A23:L23"/>
    <mergeCell ref="A24:F25"/>
    <mergeCell ref="G24:I25"/>
    <mergeCell ref="J24:L25"/>
    <mergeCell ref="A26:F26"/>
    <mergeCell ref="G26:I26"/>
    <mergeCell ref="J26:L26"/>
    <mergeCell ref="A55:L56"/>
    <mergeCell ref="A13:L14"/>
    <mergeCell ref="A15:L15"/>
    <mergeCell ref="A16:C16"/>
    <mergeCell ref="E16:G16"/>
    <mergeCell ref="A1:L1"/>
    <mergeCell ref="A2:L2"/>
    <mergeCell ref="A3:L3"/>
    <mergeCell ref="A4:L4"/>
    <mergeCell ref="A5:L5"/>
    <mergeCell ref="A6:L7"/>
    <mergeCell ref="A10:L10"/>
    <mergeCell ref="A11:C12"/>
    <mergeCell ref="D11:F12"/>
    <mergeCell ref="G11:G12"/>
    <mergeCell ref="H11:I12"/>
    <mergeCell ref="J11:L12"/>
    <mergeCell ref="A8:C9"/>
    <mergeCell ref="D8:F9"/>
    <mergeCell ref="G8:G9"/>
    <mergeCell ref="H8:I8"/>
    <mergeCell ref="J8:L8"/>
    <mergeCell ref="H9:I9"/>
    <mergeCell ref="J9:L9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FF025B3AC03942B6BD9A819FBE5546" ma:contentTypeVersion="13" ma:contentTypeDescription="Crée un document." ma:contentTypeScope="" ma:versionID="da89c0cb7a1cee688584c073ba1651dc">
  <xsd:schema xmlns:xsd="http://www.w3.org/2001/XMLSchema" xmlns:xs="http://www.w3.org/2001/XMLSchema" xmlns:p="http://schemas.microsoft.com/office/2006/metadata/properties" xmlns:ns2="42f05a0f-c563-4a5b-a62a-7553abd7ec7a" xmlns:ns3="03331e12-c1a2-4c9a-9f54-d17065250a4e" targetNamespace="http://schemas.microsoft.com/office/2006/metadata/properties" ma:root="true" ma:fieldsID="790f723be173e04e006d098aa2bf80e3" ns2:_="" ns3:_="">
    <xsd:import namespace="42f05a0f-c563-4a5b-a62a-7553abd7ec7a"/>
    <xsd:import namespace="03331e12-c1a2-4c9a-9f54-d17065250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05a0f-c563-4a5b-a62a-7553abd7e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e375fb1-6e51-48e2-8e67-9b3fce358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31e12-c1a2-4c9a-9f54-d17065250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f05a0f-c563-4a5b-a62a-7553abd7ec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A912E2-07B6-4CAD-8E83-ADC89693C158}"/>
</file>

<file path=customXml/itemProps2.xml><?xml version="1.0" encoding="utf-8"?>
<ds:datastoreItem xmlns:ds="http://schemas.openxmlformats.org/officeDocument/2006/customXml" ds:itemID="{9CCD07A9-570C-4140-9B78-E0E049CB9F49}"/>
</file>

<file path=customXml/itemProps3.xml><?xml version="1.0" encoding="utf-8"?>
<ds:datastoreItem xmlns:ds="http://schemas.openxmlformats.org/officeDocument/2006/customXml" ds:itemID="{0E117633-2AC2-40BB-8FD2-B7EC08429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Mélanie CERALINE</dc:creator>
  <cp:keywords/>
  <dc:description/>
  <cp:lastModifiedBy>Melanie EUZET</cp:lastModifiedBy>
  <cp:revision/>
  <dcterms:created xsi:type="dcterms:W3CDTF">2023-02-02T05:13:37Z</dcterms:created>
  <dcterms:modified xsi:type="dcterms:W3CDTF">2026-02-09T11:21:45Z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0x0101003DFF025B3AC03942B6BD9A819FBE5546</vt:lpwstr>
  </property>
  <property fmtid="{D5CDD505-2E9C-101B-9397-08002B2CF9AE}" pid="3" name="MediaServiceImageTags">
    <vt:lpwstr/>
  </property>
</Properties>
</file>